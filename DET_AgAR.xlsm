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8800" windowHeight="1221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DropDownLists!$B$7:$AJ$7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ValueDomains!$F$225:$G$225</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DropDownLists!$AI$8:$AI$30</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_One">DropDownLists!$AJ$8:$AJ$9</definedName>
  </definedNames>
  <calcPr calcId="171027"/>
</workbook>
</file>

<file path=xl/calcChain.xml><?xml version="1.0" encoding="utf-8"?>
<calcChain xmlns="http://schemas.openxmlformats.org/spreadsheetml/2006/main">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EU1" i="99" l="1"/>
  <c r="K7" i="105" l="1"/>
  <c r="H7" i="105"/>
  <c r="D7" i="105"/>
  <c r="AM1" i="99" l="1"/>
  <c r="FC1" i="99" l="1"/>
  <c r="ES4" i="99" l="1"/>
  <c r="D53" i="103"/>
  <c r="F305"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8"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29" i="82" l="1"/>
  <c r="F522" i="82"/>
  <c r="F485" i="82"/>
  <c r="F435" i="82"/>
  <c r="F402" i="82"/>
  <c r="F385" i="82"/>
  <c r="F340" i="82"/>
  <c r="F317" i="82"/>
  <c r="F298" i="82"/>
  <c r="F269" i="82"/>
  <c r="F221" i="82"/>
  <c r="F195" i="82"/>
  <c r="F185" i="82"/>
  <c r="F184" i="82"/>
  <c r="F174" i="82"/>
  <c r="F168" i="82"/>
  <c r="F160" i="82"/>
  <c r="F149" i="82"/>
  <c r="F130" i="82"/>
  <c r="F109" i="82"/>
  <c r="F98" i="82"/>
  <c r="F86" i="82"/>
  <c r="F85" i="82"/>
  <c r="F57" i="82"/>
  <c r="F38" i="82"/>
</calcChain>
</file>

<file path=xl/sharedStrings.xml><?xml version="1.0" encoding="utf-8"?>
<sst xmlns="http://schemas.openxmlformats.org/spreadsheetml/2006/main" count="9220" uniqueCount="2306">
  <si>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</si>
  <si>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</si>
  <si>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</si>
  <si>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</si>
  <si>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</si>
  <si>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</si>
  <si>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</si>
  <si>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</si>
  <si>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</si>
  <si>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</si>
  <si>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</si>
  <si>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</si>
  <si>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</si>
  <si>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</si>
  <si>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</si>
  <si>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</si>
  <si>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</si>
  <si>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</si>
  <si>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</si>
  <si>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</si>
  <si>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</si>
  <si>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</si>
  <si>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</si>
  <si>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</si>
  <si>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</si>
  <si>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</si>
  <si>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</si>
  <si>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</si>
  <si>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</si>
  <si>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</si>
  <si>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</si>
  <si>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</si>
  <si>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</si>
  <si>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</si>
  <si>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</si>
  <si>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</si>
  <si>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</si>
  <si>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</si>
  <si>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</si>
  <si>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</si>
  <si>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</si>
  <si>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</si>
  <si>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</si>
  <si>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</si>
  <si>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</si>
  <si>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</si>
  <si>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</si>
  <si>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</si>
  <si>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</si>
  <si>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</si>
  <si>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</si>
  <si>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</si>
  <si>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</si>
  <si>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</si>
  <si>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</si>
  <si>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</si>
  <si>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</si>
  <si>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</si>
  <si>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</si>
  <si>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</si>
  <si>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</si>
  <si>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</si>
  <si>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</si>
  <si>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</si>
  <si>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</si>
  <si>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</si>
  <si>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</si>
  <si>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</si>
  <si>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</si>
  <si>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</si>
  <si>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</si>
  <si>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</si>
  <si>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</si>
  <si>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</si>
  <si>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</si>
  <si>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</si>
  <si>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</si>
  <si>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</si>
  <si>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</si>
  <si>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</si>
  <si>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</si>
  <si>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</si>
  <si>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</si>
  <si>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</si>
  <si>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</si>
  <si>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</si>
  <si>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</si>
  <si>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</si>
  <si>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</si>
  <si>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</si>
  <si>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</si>
  <si>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</si>
  <si>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</si>
  <si>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</si>
  <si>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</si>
  <si>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</si>
  <si>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</si>
  <si>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</si>
  <si>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</si>
  <si>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</si>
  <si>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</si>
  <si>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</si>
  <si>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</si>
  <si>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</si>
  <si>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</si>
  <si>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</si>
  <si>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</si>
  <si>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</si>
  <si>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</si>
  <si>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</si>
  <si>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</si>
  <si>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</si>
  <si>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</si>
  <si>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</si>
  <si>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</si>
  <si>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</si>
  <si>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</si>
  <si>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</si>
  <si>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</si>
  <si>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</si>
  <si>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</si>
  <si>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</si>
  <si>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</si>
  <si>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</si>
  <si>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</si>
  <si>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</si>
  <si>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</si>
  <si>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</si>
  <si>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</si>
  <si>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</si>
  <si>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</si>
  <si>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</si>
  <si>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</si>
  <si>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</si>
  <si>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</si>
  <si>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</si>
  <si>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</si>
  <si>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</si>
  <si>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</si>
  <si>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</si>
  <si>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</si>
  <si>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</si>
  <si>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</si>
  <si>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</si>
  <si>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</si>
  <si>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</si>
  <si>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</si>
  <si>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</si>
  <si>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</si>
  <si>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</si>
  <si>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</si>
  <si>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</si>
  <si>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</si>
  <si>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</si>
  <si>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</si>
  <si>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</si>
  <si>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</si>
  <si>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</si>
  <si>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</si>
  <si>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</si>
  <si>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</si>
  <si>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</si>
  <si>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</si>
  <si>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</si>
  <si>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</si>
  <si>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</si>
  <si>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</si>
  <si>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</si>
  <si>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</si>
  <si>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</si>
  <si>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</si>
  <si>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</si>
  <si>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</si>
  <si>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</si>
  <si>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</si>
  <si>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</si>
  <si>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</si>
  <si>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</si>
  <si>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</si>
  <si>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</si>
  <si>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</si>
  <si>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</si>
  <si>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</si>
  <si>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</si>
  <si>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</si>
  <si>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</si>
  <si>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</si>
  <si>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</si>
  <si>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</si>
  <si>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</si>
  <si>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</si>
  <si>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</si>
  <si>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</si>
  <si>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</si>
  <si>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</si>
  <si>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</si>
  <si>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</si>
  <si>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</si>
  <si>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</si>
  <si>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</si>
  <si>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</si>
  <si>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</si>
  <si>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</si>
  <si>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</si>
  <si>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</si>
  <si>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</si>
  <si>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</si>
  <si>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</si>
  <si>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</si>
  <si>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</si>
  <si>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</si>
  <si>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</si>
  <si>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</si>
  <si>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</si>
  <si>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</si>
  <si>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</si>
  <si>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</si>
  <si>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</si>
  <si>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</si>
  <si>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</si>
  <si>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</si>
  <si>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</si>
  <si>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</si>
  <si>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</si>
  <si>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</si>
  <si>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</si>
  <si>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</si>
  <si>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</si>
  <si>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</si>
  <si>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</si>
  <si>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</si>
  <si>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</si>
  <si>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</si>
  <si>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</si>
  <si>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</si>
  <si>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</si>
  <si>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</si>
  <si>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</si>
  <si>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</si>
  <si>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</si>
  <si>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</si>
  <si>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</si>
  <si>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</si>
  <si>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</si>
  <si>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</si>
  <si>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</si>
  <si>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</si>
  <si>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</si>
  <si>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</si>
  <si>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</si>
  <si>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</si>
  <si>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</si>
  <si>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</si>
  <si>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</si>
  <si>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</si>
  <si>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</si>
  <si>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</si>
  <si>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</si>
  <si>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</si>
  <si>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</si>
  <si>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</si>
  <si>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</si>
  <si>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</si>
  <si>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</si>
  <si>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</si>
  <si>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</si>
  <si>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</si>
  <si>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</si>
  <si>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</si>
  <si>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</si>
  <si>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</si>
  <si>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</si>
  <si>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</si>
  <si>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</si>
  <si>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</si>
  <si>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</si>
  <si>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</si>
  <si>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</si>
  <si>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</si>
  <si>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</si>
  <si>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</si>
  <si>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</si>
  <si>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</si>
  <si>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</si>
  <si>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</si>
  <si>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</si>
  <si>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</si>
  <si>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</si>
  <si>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</si>
  <si>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</si>
  <si>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</si>
  <si>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</si>
  <si>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</si>
  <si>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</si>
  <si>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</si>
  <si>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</si>
  <si>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</si>
  <si>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</si>
  <si>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</si>
  <si>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</si>
  <si>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</si>
  <si>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</si>
  <si>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</si>
  <si>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</si>
  <si>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</si>
  <si>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</si>
  <si>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</si>
  <si>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</si>
  <si>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</si>
  <si>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</si>
  <si>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</si>
  <si>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</si>
  <si>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</si>
  <si>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</si>
  <si>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</si>
  <si>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</si>
  <si>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</si>
  <si>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</si>
  <si>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</si>
  <si>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</si>
  <si>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</si>
  <si>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</si>
  <si>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</si>
  <si>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</si>
  <si>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</si>
  <si>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</si>
  <si>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</si>
  <si>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</si>
  <si>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</si>
  <si>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</si>
  <si>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</si>
  <si>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</si>
  <si>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</si>
  <si>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</si>
  <si>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</si>
  <si>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</si>
  <si>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</si>
  <si>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</si>
  <si>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</si>
  <si>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</si>
  <si>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</si>
  <si>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</si>
  <si>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</si>
  <si>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</si>
  <si>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</si>
  <si>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</si>
  <si>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</si>
  <si>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</si>
  <si>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</si>
  <si>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</si>
  <si>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</si>
  <si>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</si>
  <si>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</si>
  <si>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</si>
  <si>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</si>
  <si>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</si>
  <si>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</si>
  <si>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</si>
  <si>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</si>
  <si>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</si>
  <si>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</si>
  <si>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</si>
  <si>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</si>
  <si>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</si>
  <si>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</si>
  <si>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</si>
  <si>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</si>
  <si>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</si>
  <si>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</si>
  <si>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</si>
  <si>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</si>
  <si>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</si>
  <si>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</si>
  <si>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</si>
  <si>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</si>
  <si>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</si>
  <si>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</si>
  <si>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</si>
  <si>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</si>
  <si>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</si>
  <si>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</si>
  <si>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</si>
  <si>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</si>
  <si>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</si>
  <si>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</si>
  <si>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</si>
  <si>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</si>
  <si>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</si>
  <si>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</si>
  <si>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</si>
  <si>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</si>
  <si>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</si>
  <si>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</si>
  <si>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</si>
  <si>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</si>
  <si>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</si>
  <si>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</si>
  <si>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</si>
  <si>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</si>
  <si>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</si>
  <si>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</si>
  <si>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</si>
  <si>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</si>
  <si>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</si>
  <si>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</si>
  <si>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</si>
  <si>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</si>
  <si>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</si>
  <si>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</si>
  <si>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</si>
  <si>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</si>
  <si>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</si>
  <si>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</si>
  <si>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</si>
  <si>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</si>
  <si>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</si>
  <si>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</si>
  <si>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</si>
  <si>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</si>
  <si>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</si>
  <si>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</si>
  <si>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</si>
  <si>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</si>
  <si>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</si>
  <si>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</si>
  <si>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</si>
  <si>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</si>
  <si>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</si>
  <si>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</si>
  <si>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</si>
  <si>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</si>
  <si>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</si>
  <si>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</si>
  <si>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</si>
  <si>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</si>
  <si>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</si>
  <si>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</si>
  <si>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</si>
  <si>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</si>
  <si>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</si>
  <si>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</si>
  <si>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</si>
  <si>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</si>
  <si>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</si>
  <si>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</si>
  <si>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</si>
  <si>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</si>
  <si>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</si>
  <si>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</si>
  <si>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</si>
  <si>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</si>
  <si>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</si>
  <si>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</si>
  <si>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</si>
  <si>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</si>
  <si>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</si>
  <si>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</si>
  <si>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</si>
  <si>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</si>
  <si>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</si>
  <si>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</si>
  <si>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</si>
  <si>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</si>
  <si>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</si>
  <si>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</si>
  <si>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</si>
  <si>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</si>
  <si>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</si>
  <si>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</si>
  <si>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</si>
  <si>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</si>
  <si>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</si>
  <si>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</si>
  <si>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</si>
  <si>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</si>
  <si>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</si>
  <si>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</si>
  <si>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</si>
  <si>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</si>
  <si>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</si>
  <si>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</si>
  <si>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</si>
  <si>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</si>
  <si>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</si>
  <si>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</si>
  <si>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</si>
  <si>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</si>
  <si>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</si>
  <si>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</si>
  <si>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</si>
  <si>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</si>
  <si>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</si>
  <si>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</si>
  <si>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</si>
  <si>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</si>
  <si>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</si>
  <si>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</si>
  <si>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</si>
  <si>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</si>
  <si>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</si>
  <si>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</si>
  <si>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</si>
  <si>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</si>
  <si>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</si>
  <si>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</si>
  <si>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</si>
  <si>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</si>
  <si>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</si>
  <si>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</si>
  <si>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</si>
  <si>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</si>
  <si>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</si>
  <si>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</si>
  <si>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</si>
  <si>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</si>
  <si>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</si>
  <si>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</si>
  <si>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</si>
  <si>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</si>
  <si>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</si>
  <si>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</si>
  <si>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</si>
  <si>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</si>
  <si>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</si>
  <si>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</si>
  <si>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</si>
  <si>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</si>
  <si>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</si>
  <si>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</si>
  <si>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</si>
  <si>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</si>
  <si>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</si>
  <si>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</si>
  <si>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</si>
  <si>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</si>
  <si>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</si>
  <si>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</si>
  <si>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</si>
  <si>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</si>
  <si>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</si>
  <si>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</si>
  <si>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</si>
  <si>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</si>
  <si>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</si>
  <si>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</si>
  <si>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</si>
  <si>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</si>
  <si>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</si>
  <si>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</si>
  <si>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</si>
  <si>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</si>
  <si>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</si>
  <si>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</si>
  <si>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</si>
  <si>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</si>
  <si>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</si>
  <si>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</si>
  <si>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</si>
  <si>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</si>
  <si>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</si>
  <si>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</si>
  <si>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</si>
  <si>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</si>
  <si>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</si>
  <si>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</si>
  <si>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</si>
  <si>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</si>
  <si>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</si>
  <si>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</si>
  <si>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</si>
  <si>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</si>
  <si>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</si>
  <si>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</si>
  <si>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</si>
  <si>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</si>
  <si>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</si>
  <si>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</si>
  <si>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</si>
  <si>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</si>
  <si>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</si>
  <si>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</si>
  <si>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</si>
  <si>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</si>
  <si>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</si>
  <si>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</si>
  <si>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</si>
  <si>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</si>
  <si>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</si>
  <si>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</si>
  <si>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</si>
  <si>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</si>
  <si>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</si>
  <si>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</si>
  <si>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</si>
  <si>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</si>
  <si>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</si>
  <si>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</si>
  <si>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</si>
  <si>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</si>
  <si>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</si>
  <si>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</si>
  <si>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</si>
  <si>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</si>
  <si>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</si>
  <si>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</si>
  <si>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</si>
  <si>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</si>
  <si>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</si>
  <si>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</si>
  <si>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</si>
  <si>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</si>
  <si>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</si>
  <si>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</si>
  <si>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</si>
  <si>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</si>
  <si>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</si>
  <si>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</si>
  <si>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</si>
  <si>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</si>
  <si>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</si>
  <si>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</si>
  <si>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</si>
  <si>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</si>
  <si>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</si>
  <si>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</si>
  <si>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</si>
  <si>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</si>
  <si>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</si>
  <si>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</si>
  <si>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</si>
  <si>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</si>
  <si>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</si>
  <si>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</si>
  <si>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</si>
  <si>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</si>
  <si>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</si>
  <si>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</si>
  <si>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</si>
  <si>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</si>
  <si>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</si>
  <si>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</si>
  <si>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</si>
  <si>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</si>
  <si>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</si>
  <si>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</si>
  <si>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</si>
  <si>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</si>
  <si>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</si>
  <si>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</si>
  <si>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</si>
  <si>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</si>
  <si>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</si>
  <si>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</si>
  <si>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</si>
  <si>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</si>
  <si>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</si>
  <si>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</si>
  <si>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</si>
  <si>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</si>
  <si>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</si>
  <si>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</si>
  <si>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</si>
  <si>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</si>
  <si>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</si>
  <si>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</si>
  <si>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</si>
  <si>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</si>
  <si>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</si>
  <si>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</si>
  <si>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</si>
  <si>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</si>
  <si>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</si>
  <si>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</si>
  <si>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</si>
  <si>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</si>
  <si>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</si>
  <si>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</si>
  <si>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</si>
  <si>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</si>
  <si>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</si>
  <si>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</si>
  <si>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</si>
  <si>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</si>
  <si>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</si>
  <si>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</si>
  <si>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</si>
  <si>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</si>
  <si>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</si>
  <si>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</si>
  <si>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</si>
  <si>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</si>
  <si>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</si>
  <si>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</si>
  <si>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</si>
  <si>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</si>
  <si>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</si>
  <si>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</si>
  <si>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</si>
  <si>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</si>
  <si>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</si>
  <si>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</si>
  <si>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</si>
  <si>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</si>
  <si>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</si>
  <si>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</si>
  <si>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</si>
  <si>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</si>
  <si>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</si>
  <si>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</si>
  <si>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</si>
  <si>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</si>
  <si>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</si>
  <si>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</si>
  <si>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</si>
  <si>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</si>
  <si>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</si>
  <si>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</si>
  <si>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</si>
  <si>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</si>
  <si>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</si>
  <si>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</si>
  <si>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</si>
  <si>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</si>
  <si>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</si>
  <si>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</si>
  <si>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</si>
  <si>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</si>
  <si>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</si>
  <si>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</si>
  <si>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</si>
  <si>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</si>
  <si>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</si>
  <si>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</si>
  <si>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</si>
  <si>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</si>
  <si>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</si>
  <si>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</si>
  <si>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</si>
  <si>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</si>
  <si>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</si>
  <si>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</si>
  <si>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</si>
  <si>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</si>
  <si>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</si>
  <si>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</si>
  <si>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</si>
  <si>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</si>
  <si>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</si>
  <si>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</si>
  <si>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</si>
  <si>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</si>
  <si>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</si>
  <si>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</si>
  <si>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</si>
  <si>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</si>
  <si>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</si>
  <si>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</si>
  <si>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</si>
  <si>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</si>
  <si>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</si>
  <si>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</si>
  <si>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</si>
  <si>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</si>
  <si>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</si>
  <si>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</si>
  <si>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</si>
  <si>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</si>
  <si>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</si>
  <si>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</si>
  <si>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</si>
  <si>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</si>
  <si>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</si>
  <si>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</si>
  <si>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</si>
  <si>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</si>
  <si>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</si>
  <si>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</si>
  <si>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</si>
  <si>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</si>
  <si>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</si>
  <si>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</si>
  <si>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</si>
  <si>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</si>
  <si>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</si>
  <si>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</si>
  <si>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</si>
  <si>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</si>
  <si>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</si>
  <si>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</si>
  <si>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</si>
  <si>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</si>
  <si>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</si>
  <si>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</si>
  <si>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</si>
  <si>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</si>
  <si>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</si>
  <si>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</si>
  <si>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</si>
  <si>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</si>
  <si>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</si>
  <si>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</si>
  <si>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</si>
  <si>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</si>
  <si>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</si>
  <si>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</si>
  <si>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</si>
  <si>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</si>
  <si>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</si>
  <si>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</si>
  <si>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</si>
  <si>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</si>
  <si>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</si>
  <si>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</si>
  <si>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</si>
  <si>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</si>
  <si>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</si>
  <si>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</si>
  <si>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</si>
  <si>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</si>
  <si>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</si>
  <si>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</si>
  <si>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</si>
  <si>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</si>
  <si>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</si>
  <si>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</si>
  <si>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</si>
  <si>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</si>
  <si>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</si>
  <si>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</si>
  <si>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</si>
  <si>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</si>
  <si>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</si>
  <si>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</si>
  <si>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</si>
  <si>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</si>
  <si>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</si>
  <si>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</si>
  <si>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</si>
  <si>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</si>
  <si>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</si>
  <si>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</si>
  <si>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</si>
  <si>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</si>
  <si>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</si>
  <si>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</si>
  <si>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</si>
  <si>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</si>
  <si>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</si>
  <si>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</si>
  <si>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</si>
  <si>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</si>
  <si>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</si>
  <si>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</si>
  <si>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</si>
  <si>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</si>
  <si>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</si>
  <si>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</si>
  <si>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</si>
  <si>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</si>
  <si>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</si>
  <si>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</si>
  <si>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</si>
  <si>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</si>
  <si>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</si>
  <si>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</si>
  <si>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</si>
  <si>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</si>
  <si>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</si>
  <si>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</si>
  <si>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</si>
  <si>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</si>
  <si>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</si>
  <si>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</si>
  <si>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</si>
  <si>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</si>
  <si>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</si>
  <si>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</si>
  <si>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</si>
  <si>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</si>
  <si>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</si>
  <si>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</si>
  <si>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</si>
  <si>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</si>
  <si>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</si>
  <si>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</si>
  <si>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</si>
  <si>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</si>
  <si>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</si>
  <si>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</si>
  <si>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</si>
  <si>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</si>
  <si>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</si>
  <si>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</si>
  <si>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</si>
  <si>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</si>
  <si>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</si>
  <si>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</si>
  <si>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</si>
  <si>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</si>
  <si>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</si>
  <si>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</si>
  <si>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</si>
  <si>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</si>
  <si>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</si>
  <si>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</si>
  <si>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</si>
  <si>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</si>
  <si>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</si>
  <si>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</si>
  <si>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</si>
  <si>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</si>
  <si>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</si>
  <si>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</si>
  <si>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</si>
  <si>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</si>
  <si>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</si>
  <si>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</si>
  <si>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</si>
  <si>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</si>
  <si>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</si>
  <si>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</si>
  <si>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</si>
  <si>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</si>
  <si>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</si>
  <si>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</si>
  <si>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</si>
  <si>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</si>
  <si>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</si>
  <si>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</si>
  <si>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</si>
  <si>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</si>
  <si>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</si>
  <si>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</si>
  <si>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</si>
  <si>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</si>
  <si>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</si>
  <si>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</si>
  <si>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</si>
  <si>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</si>
  <si>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</si>
  <si>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</si>
  <si>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</si>
  <si>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</si>
  <si>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</si>
  <si>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</si>
  <si>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</si>
  <si>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</si>
  <si>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</si>
  <si>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</si>
  <si>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</si>
  <si>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</si>
  <si>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</si>
  <si>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</si>
  <si>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</si>
  <si>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</si>
  <si>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</si>
  <si>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</si>
  <si>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</si>
  <si>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</si>
  <si>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</si>
  <si>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</si>
  <si>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</si>
  <si>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</si>
  <si>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</si>
  <si>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</si>
  <si>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</si>
  <si>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</si>
  <si>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</si>
  <si>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</si>
  <si>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</si>
  <si>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</si>
  <si>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</si>
  <si>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</si>
  <si>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</si>
  <si>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</si>
  <si>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</si>
  <si>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</si>
  <si>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</si>
  <si>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</si>
  <si>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</si>
  <si>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</si>
  <si>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</si>
  <si>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</si>
  <si>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</si>
  <si>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</si>
  <si>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</si>
  <si>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</si>
  <si>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</si>
  <si>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</si>
  <si>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</si>
  <si>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</si>
  <si>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</si>
  <si>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</si>
  <si>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</si>
  <si>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</si>
  <si>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</si>
  <si>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</si>
  <si>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</si>
  <si>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</si>
  <si>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</si>
  <si>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</si>
  <si>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</si>
  <si>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</si>
  <si>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</si>
  <si>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</si>
  <si>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</si>
  <si>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</si>
  <si>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</si>
  <si>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</si>
  <si>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</si>
  <si>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</si>
  <si>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</si>
  <si>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</si>
  <si>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</si>
  <si>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</si>
  <si>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</si>
  <si>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</si>
  <si>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</si>
  <si>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</si>
  <si>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</si>
  <si>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</si>
  <si>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</si>
  <si>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</si>
  <si>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</si>
  <si>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</si>
  <si>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</si>
  <si>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</si>
  <si>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</si>
  <si>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</si>
  <si>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</si>
  <si>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</si>
  <si>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</si>
  <si>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</si>
  <si>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</si>
  <si>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</si>
  <si>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</si>
  <si>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</si>
  <si>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</si>
  <si>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</si>
  <si>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</si>
  <si>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</si>
  <si>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</si>
  <si>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</si>
  <si>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</si>
  <si>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</si>
  <si>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</si>
  <si>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</si>
  <si>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</si>
  <si>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</si>
  <si>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</si>
  <si>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</si>
  <si>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</si>
  <si>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</si>
  <si>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</si>
  <si>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</si>
  <si>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</si>
  <si>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</si>
  <si>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</si>
  <si>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</si>
  <si>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</si>
  <si>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</si>
  <si>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</si>
  <si>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</si>
  <si>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</si>
  <si>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</si>
  <si>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</si>
  <si>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</si>
  <si>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</si>
  <si>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</si>
  <si>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</si>
  <si>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</si>
  <si>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</si>
  <si>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</si>
  <si>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</si>
  <si>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</si>
  <si>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</si>
  <si>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</si>
  <si>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</si>
  <si>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</si>
  <si>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</si>
  <si>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</si>
  <si>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</si>
  <si>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</si>
  <si>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</si>
  <si>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</si>
  <si>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</si>
  <si>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</si>
  <si>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</si>
  <si>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</si>
  <si>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</si>
  <si>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</si>
  <si>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</si>
  <si>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</si>
  <si>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</si>
  <si>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</si>
  <si>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</si>
  <si>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</si>
  <si>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</si>
  <si>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</si>
  <si>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</si>
  <si>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</si>
  <si>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</si>
  <si>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</si>
  <si>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</si>
  <si>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</si>
  <si>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</si>
  <si>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</si>
  <si>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</si>
  <si>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</si>
  <si>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</si>
  <si>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</si>
  <si>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</si>
  <si>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</si>
  <si>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</si>
  <si>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</si>
  <si>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</si>
  <si>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</si>
  <si>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</si>
  <si>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</si>
  <si>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</si>
  <si>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</si>
  <si>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</si>
  <si>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</si>
  <si>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</si>
  <si>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</si>
  <si>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</si>
  <si>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</si>
  <si>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</si>
  <si>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</si>
  <si>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</si>
  <si>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</si>
  <si>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</si>
  <si>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</si>
  <si>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</si>
  <si>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</si>
  <si>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</si>
  <si>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</si>
  <si>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</si>
  <si>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</si>
  <si>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</si>
  <si>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</si>
  <si>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</si>
  <si>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</si>
  <si>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</si>
  <si>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</si>
  <si>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</si>
  <si>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</si>
  <si>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</si>
  <si>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</si>
  <si>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</si>
  <si>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</si>
  <si>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</si>
  <si>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</si>
  <si>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</si>
  <si>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</si>
  <si>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</si>
  <si>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</si>
  <si>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</si>
  <si>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</si>
  <si>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</si>
  <si>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</si>
  <si>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</si>
  <si>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</si>
  <si>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</si>
  <si>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</si>
  <si>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</si>
  <si>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</si>
  <si>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</si>
  <si>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</si>
  <si>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</si>
  <si>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</si>
  <si>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</si>
  <si>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</si>
  <si>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</si>
  <si>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</si>
  <si>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</si>
  <si>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</si>
  <si>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</si>
  <si>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</si>
  <si>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</si>
  <si>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</si>
  <si>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</si>
  <si>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</si>
  <si>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</si>
  <si>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</si>
  <si>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</si>
  <si>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</si>
  <si>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</si>
  <si>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</si>
  <si>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</si>
  <si>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</si>
  <si>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</si>
  <si>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</si>
  <si>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</si>
  <si>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</si>
  <si>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</si>
  <si>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</si>
  <si>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</si>
  <si>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</si>
  <si>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</si>
  <si>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</si>
  <si>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</si>
  <si>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</si>
  <si>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</si>
  <si>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</si>
  <si>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</si>
  <si>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</si>
  <si>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</si>
  <si>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</si>
  <si>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</si>
  <si>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</si>
  <si>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</si>
  <si>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</si>
  <si>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</si>
  <si>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</si>
  <si>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</si>
  <si>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</si>
  <si>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</si>
  <si>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</si>
  <si>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</si>
  <si>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</si>
  <si>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</si>
  <si>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</si>
  <si>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</si>
  <si>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</si>
  <si>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</si>
  <si>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</si>
  <si>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</si>
  <si>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</si>
  <si>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</si>
  <si>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</si>
  <si>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</si>
  <si>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</si>
  <si>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</si>
  <si>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</si>
  <si>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</si>
  <si>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</si>
  <si>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</si>
  <si>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</si>
  <si>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</si>
  <si>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</si>
  <si>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</si>
  <si>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</si>
  <si>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</si>
  <si>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</si>
  <si>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</si>
  <si>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</si>
  <si>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</si>
  <si>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</si>
  <si>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</si>
  <si>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</si>
  <si>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</si>
  <si>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</si>
  <si>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</si>
  <si>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</si>
  <si>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</si>
  <si>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</si>
  <si>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</si>
  <si>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</si>
  <si>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</si>
  <si>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</si>
  <si>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</si>
  <si>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</si>
  <si>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</si>
  <si>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</si>
  <si>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</si>
  <si>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</si>
  <si>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</si>
  <si>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</si>
  <si>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</si>
  <si>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</si>
  <si>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</si>
  <si>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</si>
  <si>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</si>
  <si>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</si>
  <si>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</si>
  <si>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</si>
  <si>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</si>
  <si>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</si>
  <si>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</si>
  <si>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</si>
  <si>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</si>
  <si>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</si>
  <si>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</si>
  <si>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</si>
  <si>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</si>
  <si>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</si>
  <si>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</si>
  <si>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</si>
  <si>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</si>
  <si>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</si>
  <si>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</si>
  <si>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</si>
  <si>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</si>
  <si>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</si>
  <si>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</si>
  <si>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</si>
  <si>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</si>
  <si>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</si>
  <si>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</si>
  <si>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</si>
  <si>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</si>
  <si>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</si>
  <si>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</si>
  <si>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</si>
  <si>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</si>
  <si>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</si>
  <si>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</si>
  <si>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</si>
  <si>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</si>
  <si>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</si>
  <si>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</si>
  <si>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</si>
  <si>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</si>
  <si>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</si>
  <si>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</si>
  <si>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</si>
  <si>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</si>
  <si>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</si>
  <si>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</si>
  <si>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</si>
  <si>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</si>
  <si>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</si>
  <si>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</si>
  <si>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</si>
  <si>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</si>
  <si>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</si>
  <si>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</si>
  <si>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</si>
  <si>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</si>
  <si>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</si>
  <si>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</si>
  <si>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</si>
  <si>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</si>
  <si>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</si>
  <si>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</si>
  <si>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</si>
  <si>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</si>
  <si>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</si>
  <si>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</si>
  <si>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</si>
  <si>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</si>
  <si>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</si>
  <si>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</si>
  <si>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</si>
  <si>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</si>
  <si>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</si>
  <si>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</si>
  <si>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</si>
  <si>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</si>
  <si>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</si>
  <si>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</si>
  <si>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</si>
  <si>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</si>
  <si>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</si>
  <si>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</si>
  <si>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</si>
  <si>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</si>
  <si>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</si>
  <si>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</si>
  <si>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</si>
  <si>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</si>
  <si>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</si>
  <si>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</si>
  <si>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</si>
  <si>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</si>
  <si>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</si>
  <si>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</si>
  <si>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</si>
  <si>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</si>
  <si>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</si>
  <si>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</si>
  <si>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</si>
  <si>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</si>
  <si>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</si>
  <si>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</si>
  <si>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</si>
  <si>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</si>
  <si>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</si>
  <si>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</si>
  <si>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</si>
  <si>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</si>
  <si>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</si>
  <si>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</si>
  <si>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</si>
  <si>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</si>
  <si>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</si>
  <si>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</si>
  <si>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</si>
  <si>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</si>
  <si>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</si>
  <si>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</si>
  <si>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</si>
  <si>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</si>
  <si>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</si>
  <si>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</si>
  <si>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</si>
  <si>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</si>
  <si>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</si>
  <si>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</si>
  <si>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</si>
  <si>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</si>
  <si>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</si>
  <si>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</si>
  <si>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</si>
  <si>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</si>
  <si>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</si>
  <si>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</si>
  <si>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</si>
  <si>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</si>
  <si>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</si>
  <si>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</si>
  <si>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</si>
  <si>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</si>
  <si>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</si>
  <si>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</si>
  <si>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</si>
  <si>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</si>
  <si>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</si>
  <si>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</si>
  <si>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</si>
  <si>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</si>
  <si>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</si>
  <si>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</si>
  <si>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</si>
  <si>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</si>
  <si>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</si>
  <si>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</si>
  <si>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</si>
  <si>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</si>
  <si>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</si>
  <si>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</si>
  <si>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</si>
  <si>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</si>
  <si>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</si>
  <si>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</si>
  <si>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</si>
  <si>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</si>
  <si>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</si>
  <si>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</si>
  <si>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</si>
  <si>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</si>
  <si>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</si>
  <si>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</si>
  <si>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</si>
  <si>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</si>
  <si>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</si>
  <si>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</si>
  <si>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</si>
  <si>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</si>
  <si>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</si>
  <si>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</si>
  <si>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</si>
  <si>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</si>
  <si>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</si>
  <si>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</si>
  <si>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</si>
  <si>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</si>
  <si>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</si>
  <si>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</si>
  <si>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</si>
  <si>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</si>
  <si>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</si>
  <si>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</si>
  <si>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</si>
  <si>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</si>
  <si>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</si>
  <si>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</si>
  <si>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</si>
  <si>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</si>
  <si>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</si>
  <si>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</si>
  <si>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</si>
  <si>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</si>
  <si>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</si>
  <si>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</si>
  <si>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</si>
  <si>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</si>
  <si>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</si>
  <si>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</si>
  <si>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</si>
  <si>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</si>
  <si>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</si>
  <si>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</si>
  <si>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</si>
  <si>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</si>
  <si>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</si>
  <si>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</si>
  <si>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</si>
  <si>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</si>
  <si>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</si>
  <si>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</si>
  <si>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</si>
  <si>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</si>
  <si>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</si>
  <si>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</si>
  <si>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</si>
  <si>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</si>
  <si>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</si>
  <si>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</si>
  <si>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</si>
  <si>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</si>
  <si>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</si>
  <si>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</si>
  <si>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</si>
  <si>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</si>
  <si>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</si>
  <si>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</si>
  <si>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</si>
  <si>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</si>
  <si>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</si>
  <si>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</si>
  <si>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</si>
  <si>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</si>
  <si>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</si>
  <si>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</si>
  <si>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</si>
  <si>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</si>
  <si>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</si>
  <si>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</si>
  <si>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</si>
  <si>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</si>
  <si>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</si>
  <si>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</si>
  <si>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</si>
  <si>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</si>
  <si>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</si>
  <si>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</si>
  <si>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</si>
  <si>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</si>
  <si>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</si>
  <si>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</si>
  <si>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</si>
  <si>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</si>
  <si>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</si>
  <si>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</si>
  <si>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</si>
  <si>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</si>
  <si>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</si>
  <si>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</si>
  <si>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</si>
  <si>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</si>
  <si>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</si>
  <si>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</si>
  <si>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</si>
  <si>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</si>
  <si>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</si>
  <si>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</si>
  <si>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</si>
  <si>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</si>
  <si>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</si>
  <si>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</si>
  <si>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</si>
  <si>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</si>
  <si>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</si>
  <si>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</si>
  <si>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</si>
  <si>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</si>
  <si>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</si>
  <si>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</si>
  <si>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</si>
  <si>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</si>
  <si>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</si>
  <si>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</si>
  <si>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</si>
  <si>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</si>
  <si>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</si>
  <si>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</si>
  <si>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</si>
  <si>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</si>
  <si>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</si>
  <si>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</si>
  <si>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</si>
  <si>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</si>
  <si>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</si>
  <si>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</si>
  <si>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</si>
  <si>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</si>
  <si>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</si>
  <si>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</si>
  <si>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</si>
  <si>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</si>
  <si>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</si>
  <si>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</si>
  <si>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</si>
  <si>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</si>
  <si>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</si>
  <si>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</si>
  <si>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</si>
  <si>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</si>
  <si>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</si>
  <si>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</si>
  <si>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</si>
  <si>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</si>
  <si>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</si>
  <si>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</si>
  <si>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</si>
  <si>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</si>
  <si>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</si>
  <si>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</si>
  <si>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</si>
  <si>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</si>
  <si>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</si>
  <si>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</si>
  <si>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</si>
  <si>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</si>
  <si>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</si>
  <si>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</si>
  <si>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</si>
  <si>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</si>
  <si>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</si>
  <si>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</si>
  <si>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</si>
  <si>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</si>
  <si>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</si>
  <si>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</si>
  <si>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</si>
  <si>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</si>
  <si>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</si>
  <si>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</si>
  <si>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</si>
  <si>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</si>
  <si>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</si>
  <si>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</si>
  <si>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</si>
  <si>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</si>
  <si>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</si>
  <si>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</si>
  <si>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</si>
  <si>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</si>
  <si>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</si>
  <si>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</si>
  <si>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</si>
  <si>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</si>
  <si>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</si>
  <si>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</si>
  <si>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</si>
  <si>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</si>
  <si>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</si>
  <si>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</si>
  <si>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</si>
  <si>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</si>
  <si>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</si>
  <si>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</si>
  <si>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</si>
  <si>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</si>
  <si>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</si>
  <si>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</si>
  <si>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</si>
  <si>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</si>
  <si>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</si>
  <si>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</si>
  <si>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</si>
  <si>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</si>
  <si>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</si>
  <si>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</si>
  <si>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</si>
  <si>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</si>
  <si>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</si>
  <si>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</si>
  <si>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</si>
  <si>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</si>
  <si>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</si>
  <si>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</si>
  <si>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</si>
  <si>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</si>
  <si>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</si>
  <si>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</si>
  <si>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</si>
  <si>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</si>
  <si>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</si>
  <si>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</si>
  <si>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</si>
  <si>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</si>
  <si>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</si>
  <si>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</si>
  <si>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</si>
  <si>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</si>
  <si>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</si>
  <si>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</si>
  <si>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</si>
  <si>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</si>
  <si>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</si>
  <si>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</si>
  <si>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</si>
  <si>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</si>
  <si>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</si>
  <si>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</si>
  <si>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</si>
  <si>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</si>
  <si>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</si>
  <si>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</si>
  <si>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</si>
  <si>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</si>
  <si>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</si>
  <si>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</si>
  <si>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</si>
  <si>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</si>
  <si>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</si>
  <si>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</si>
  <si>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</si>
  <si>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</si>
  <si>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</si>
  <si>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</si>
  <si>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</si>
  <si>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</si>
  <si>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</si>
  <si>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</si>
  <si>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</si>
  <si>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</si>
  <si>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</si>
  <si>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</si>
  <si>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</si>
  <si>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</si>
  <si>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</si>
  <si>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</si>
  <si>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</si>
  <si>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</si>
  <si>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</si>
  <si>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</si>
  <si>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</si>
  <si>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</si>
  <si>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</si>
  <si>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</si>
  <si>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</si>
  <si>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</si>
  <si>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</si>
  <si>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</si>
  <si>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</si>
  <si>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</si>
  <si>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</si>
  <si>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</si>
  <si>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</si>
  <si>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</si>
  <si>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</si>
  <si>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</si>
  <si>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</si>
  <si>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</si>
  <si>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</si>
  <si>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</si>
  <si>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</si>
  <si>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</si>
  <si>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</si>
  <si>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</si>
  <si>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</si>
  <si>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</si>
  <si>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</si>
  <si>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</si>
  <si>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</si>
  <si>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</si>
  <si>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</si>
  <si>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</si>
  <si>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</si>
  <si>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</si>
  <si>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</si>
  <si>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</si>
  <si>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</si>
  <si>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</si>
  <si>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</si>
  <si>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</si>
  <si>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</si>
  <si>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</si>
  <si>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</si>
  <si>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</si>
  <si>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</si>
  <si>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</si>
  <si>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</si>
  <si>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</si>
  <si>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</si>
  <si>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</si>
  <si>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</si>
  <si>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</si>
  <si>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</si>
  <si>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</si>
  <si>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</si>
  <si>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</si>
  <si>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</si>
  <si>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</si>
  <si>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</si>
  <si>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</si>
  <si>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</si>
  <si>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</si>
  <si>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</si>
  <si>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</si>
  <si>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</si>
  <si>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</si>
  <si>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</si>
  <si>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</si>
  <si>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</si>
  <si>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</si>
  <si>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</si>
  <si>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</si>
  <si>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</si>
  <si>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</si>
  <si>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</si>
  <si>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</si>
  <si>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</si>
  <si>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</si>
  <si>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</si>
  <si>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</si>
  <si>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</si>
  <si>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</si>
  <si>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</si>
  <si>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</si>
  <si>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</si>
  <si>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</si>
  <si>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</si>
  <si>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</si>
  <si>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</si>
  <si>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</si>
  <si>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</si>
  <si>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</si>
  <si>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</si>
  <si>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</si>
  <si>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</si>
  <si>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</si>
  <si>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</si>
  <si>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</si>
  <si>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</si>
  <si>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</si>
  <si>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</si>
  <si>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</si>
  <si>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</si>
  <si>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</si>
  <si>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</si>
  <si>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</si>
  <si>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</si>
  <si>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</si>
  <si>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</si>
  <si>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</si>
  <si>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</si>
  <si>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</si>
  <si>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</si>
  <si>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</si>
  <si>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</si>
  <si>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</si>
  <si>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</si>
  <si>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</si>
  <si>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</si>
  <si>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</si>
  <si>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</si>
  <si>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</si>
  <si>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</si>
  <si>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</si>
  <si>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</si>
  <si>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</si>
  <si>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</si>
  <si>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</si>
  <si>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</si>
  <si>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</si>
  <si>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</si>
  <si>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</si>
  <si>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</si>
  <si>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</si>
  <si>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</si>
  <si>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</si>
  <si>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</si>
  <si>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</si>
  <si>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</si>
  <si>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</si>
  <si>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</si>
  <si>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</si>
  <si>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</si>
  <si>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</si>
  <si>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</si>
  <si>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</si>
  <si>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</si>
  <si>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</si>
  <si>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</si>
  <si>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</si>
  <si>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</si>
  <si>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</si>
  <si>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</si>
  <si>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</si>
  <si>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</si>
  <si>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</si>
  <si>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</si>
  <si>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</si>
  <si>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</si>
  <si>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</si>
  <si>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</si>
  <si>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</si>
  <si>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</si>
  <si>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</si>
  <si>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</si>
  <si>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</si>
  <si>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</si>
  <si>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</si>
  <si>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</si>
  <si>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</si>
  <si>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</si>
  <si>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</si>
  <si>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</si>
  <si>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</si>
  <si>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</si>
  <si>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</si>
  <si>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</si>
  <si>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</si>
  <si>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</si>
  <si>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</si>
  <si>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</si>
  <si>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</si>
  <si>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</si>
  <si>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</si>
  <si>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</si>
  <si>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</si>
  <si>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</si>
  <si>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</si>
  <si>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</si>
  <si>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</si>
  <si>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</si>
  <si>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</si>
  <si>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</si>
  <si>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</si>
  <si>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</si>
  <si>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</si>
  <si>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</si>
  <si>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</si>
  <si>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</si>
  <si>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</si>
  <si>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</si>
  <si>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</si>
  <si>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</si>
  <si>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</si>
  <si>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</si>
  <si>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</si>
  <si>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</si>
  <si>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</si>
  <si>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</si>
  <si>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</si>
  <si>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</si>
  <si>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</si>
  <si>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</si>
  <si>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</si>
  <si>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</si>
  <si>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</si>
  <si>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</si>
  <si>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</si>
  <si>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</si>
  <si>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</si>
  <si>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</si>
  <si>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</si>
  <si>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</si>
  <si>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</si>
  <si>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</si>
  <si>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</si>
  <si>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</si>
  <si>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</si>
  <si>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</si>
  <si>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</si>
  <si>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</si>
  <si>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</si>
  <si>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</si>
  <si>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</si>
  <si>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</si>
  <si>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</si>
  <si>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</si>
  <si>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</si>
  <si>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</si>
  <si>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</si>
  <si>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</si>
  <si>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</si>
  <si>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</si>
  <si>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</si>
  <si>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</si>
  <si>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</si>
  <si>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</si>
  <si>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</si>
  <si>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</si>
  <si>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</si>
  <si>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</si>
  <si>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</si>
  <si>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</si>
  <si>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</si>
  <si>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</si>
  <si>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</si>
  <si>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</si>
  <si>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</si>
  <si>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</si>
  <si>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</si>
  <si>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</si>
  <si>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</si>
  <si>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</si>
  <si>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</si>
  <si>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</si>
  <si>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</si>
  <si>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</si>
  <si>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</si>
  <si>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</si>
  <si>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</si>
  <si>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</si>
  <si>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</si>
  <si>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</si>
  <si>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</si>
  <si>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</si>
  <si>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</si>
  <si>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</si>
  <si>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</si>
  <si>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</si>
  <si>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</si>
  <si>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</si>
  <si>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</si>
  <si>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</si>
  <si>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</si>
  <si>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</si>
  <si>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</si>
  <si>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</si>
  <si>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</si>
  <si>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</si>
  <si>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</si>
  <si>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</si>
  <si>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</si>
  <si>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</si>
  <si>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</si>
  <si>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</si>
  <si>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</si>
  <si>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</si>
  <si>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</si>
  <si>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</si>
  <si>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</si>
  <si>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</si>
  <si>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</si>
  <si>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</si>
  <si>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</si>
  <si>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</si>
  <si>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</si>
  <si>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</si>
  <si>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</si>
  <si>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</si>
  <si>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</si>
  <si>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</si>
  <si>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</si>
  <si>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</si>
  <si>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</si>
  <si>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</si>
  <si>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</si>
  <si>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</si>
  <si>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</si>
  <si>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</si>
  <si>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</si>
  <si>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</si>
  <si>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</si>
  <si>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</si>
  <si>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</si>
  <si>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</si>
  <si>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</si>
  <si>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</si>
  <si>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</si>
  <si>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</si>
  <si>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</si>
  <si>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</si>
  <si>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</si>
  <si>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</si>
  <si>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</si>
  <si>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</si>
  <si>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</si>
  <si>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</si>
  <si>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</si>
  <si>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</si>
  <si>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</si>
  <si>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</si>
  <si>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</si>
  <si>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</si>
  <si>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</si>
  <si>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</si>
  <si>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</si>
  <si>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</si>
  <si>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</si>
  <si>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</si>
  <si>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</si>
  <si>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</si>
  <si>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</si>
  <si>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</si>
  <si>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</si>
  <si>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</si>
  <si>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</si>
  <si>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</si>
  <si>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</si>
  <si>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</si>
  <si>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</si>
  <si>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</si>
  <si>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</si>
  <si>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</si>
  <si>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</si>
  <si>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</si>
  <si>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</si>
  <si>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</si>
  <si>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</si>
  <si>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</si>
  <si>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</si>
  <si>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</si>
  <si>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</si>
  <si>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</si>
  <si>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</si>
  <si>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</si>
  <si>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</si>
  <si>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</si>
  <si>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</si>
  <si>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</si>
  <si>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</si>
  <si>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</si>
  <si>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</si>
  <si>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</si>
  <si>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</si>
  <si>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</si>
  <si>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</si>
  <si>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</si>
  <si>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</si>
  <si>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</si>
  <si>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</si>
  <si>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</si>
  <si>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</si>
  <si>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</si>
  <si>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</si>
  <si>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</si>
  <si>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</si>
  <si>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</si>
  <si>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</si>
  <si>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</si>
  <si>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</si>
  <si>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</si>
  <si>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</si>
  <si>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</si>
  <si>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</si>
  <si>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</si>
  <si>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</si>
  <si>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</si>
  <si>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</si>
  <si>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</si>
  <si>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</si>
  <si>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</si>
  <si>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</si>
  <si>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</si>
  <si>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</si>
  <si>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</si>
  <si>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</si>
  <si>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</si>
  <si>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</si>
  <si>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</si>
  <si>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</si>
  <si>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</si>
  <si>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</si>
  <si>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</si>
  <si>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</si>
  <si>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</si>
  <si>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</si>
  <si>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</si>
  <si>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</si>
  <si>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</si>
  <si>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</si>
  <si>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</si>
  <si>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</si>
  <si>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</si>
  <si>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</si>
  <si>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</si>
  <si>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</si>
  <si>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</si>
  <si>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</si>
  <si>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</si>
  <si>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</si>
  <si>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</si>
  <si>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</si>
  <si>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</si>
  <si>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</si>
  <si>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</si>
  <si>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</si>
  <si>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</si>
  <si>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</si>
  <si>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</si>
  <si>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</si>
  <si>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</si>
  <si>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</si>
  <si>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</si>
  <si>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</si>
  <si>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</si>
  <si>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</si>
  <si>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</si>
  <si>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</si>
  <si>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</si>
  <si>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</si>
  <si>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</si>
  <si>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</si>
  <si>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</si>
  <si>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</si>
  <si>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</si>
  <si>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</si>
  <si>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</si>
  <si>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</si>
  <si>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</si>
  <si>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</si>
  <si>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</si>
  <si>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</si>
  <si>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</si>
  <si>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</si>
  <si>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</si>
  <si>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</si>
  <si>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</si>
  <si>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</si>
  <si>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</si>
  <si>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</si>
  <si>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</si>
  <si>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</si>
  <si>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</si>
  <si>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</si>
  <si>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</si>
  <si>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</si>
  <si>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</si>
  <si>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</si>
  <si>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</si>
  <si>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</si>
  <si>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</si>
  <si>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</si>
  <si>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</si>
  <si>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</si>
  <si>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</si>
  <si>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</si>
  <si>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</si>
  <si>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</si>
  <si>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</si>
  <si>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</si>
  <si>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</si>
  <si>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</si>
  <si>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</si>
  <si>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</si>
  <si>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</si>
  <si>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</si>
  <si>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</si>
  <si>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</si>
  <si>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</si>
  <si>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</si>
  <si>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</si>
  <si>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</si>
  <si>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</si>
  <si>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</si>
  <si>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</si>
  <si>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</si>
  <si>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</si>
  <si>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</si>
  <si>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</si>
  <si>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</si>
  <si>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</si>
  <si>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</si>
  <si>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</si>
  <si>
    <t>Validation</t>
  </si>
  <si>
    <t>-</t>
  </si>
  <si>
    <t>Animal (species)</t>
  </si>
  <si>
    <t>Measurements Table: Antibiotic Resistance Genes</t>
  </si>
  <si>
    <t>1=target present</t>
  </si>
  <si>
    <t>0=target absent</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</si>
  <si>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</si>
  <si>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</si>
  <si>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</si>
  <si>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</si>
  <si>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</si>
  <si>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</si>
  <si>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</si>
  <si>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</si>
  <si>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</si>
  <si>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</si>
  <si>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</si>
  <si>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</si>
  <si>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</si>
  <si>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</si>
  <si>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</si>
  <si>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</si>
  <si>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</si>
  <si>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erm B</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</si>
  <si>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</si>
  <si>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</si>
  <si>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</si>
  <si>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</si>
  <si>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intl 1</t>
  </si>
  <si>
    <t>Wastewater</t>
  </si>
  <si>
    <t>Sul1</t>
  </si>
  <si>
    <t>Biosolids</t>
  </si>
  <si>
    <t>Sul2</t>
  </si>
  <si>
    <t>Air</t>
  </si>
  <si>
    <t>TetA</t>
  </si>
  <si>
    <t>Sediment</t>
  </si>
  <si>
    <t>TetB</t>
  </si>
  <si>
    <t>Plant</t>
  </si>
  <si>
    <t>TetC</t>
  </si>
  <si>
    <t>TetD</t>
  </si>
  <si>
    <t>TetE</t>
  </si>
  <si>
    <t>TetG</t>
  </si>
  <si>
    <t>TetK</t>
  </si>
  <si>
    <t>TetL</t>
  </si>
  <si>
    <t>TetM</t>
  </si>
  <si>
    <t>TetO</t>
  </si>
  <si>
    <t>TetP</t>
  </si>
  <si>
    <t>TetQ</t>
  </si>
  <si>
    <t>TetS</t>
  </si>
  <si>
    <t>TetX</t>
  </si>
  <si>
    <t>Zero_One</t>
  </si>
  <si>
    <t>Antibiotic resistance genes</t>
  </si>
  <si>
    <t>Animal species</t>
  </si>
  <si>
    <t>Operation</t>
  </si>
  <si>
    <t>Type of Animal Operation</t>
  </si>
  <si>
    <t>Presence or Absence</t>
  </si>
  <si>
    <t>AgAR</t>
  </si>
  <si>
    <t>Welcome to AgAR</t>
  </si>
  <si>
    <t>lisa.durso@ars.usda.gov</t>
  </si>
  <si>
    <t>MeasARGenes</t>
  </si>
  <si>
    <t>Litter</t>
  </si>
  <si>
    <t>blaTEM</t>
  </si>
  <si>
    <t>ermF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</si>
</sst>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1"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3">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2"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3" fillId="11" borderId="0" xfId="0" applyNumberFormat="1" applyFont="1" applyFill="1" applyBorder="1" applyAlignment="1" applyProtection="1"/>
    <xf numFmtId="3" fontId="71" fillId="0" borderId="0" xfId="0" applyNumberFormat="1" applyFont="1" applyFill="1" applyBorder="1" applyAlignment="1" applyProtection="1"/>
    <xf numFmtId="0" fontId="112" fillId="0" borderId="0" xfId="0" applyNumberFormat="1" applyFont="1" applyFill="1" applyBorder="1" applyAlignment="1" applyProtection="1"/>
    <xf numFmtId="0" fontId="108" fillId="0" borderId="0" xfId="0" applyFont="1" applyFill="1" applyAlignment="1">
      <alignment horizontal="left"/>
    </xf>
    <xf numFmtId="0" fontId="112"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4" fillId="0" borderId="0" xfId="0" applyNumberFormat="1" applyFont="1" applyFill="1" applyBorder="1" applyAlignment="1" applyProtection="1">
      <alignment wrapText="1"/>
    </xf>
    <xf numFmtId="0" fontId="114"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49" fontId="120"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xf numFmtId="14" fontId="0" fillId="0" borderId="0" xfId="0" applyNumberFormat="1"/>
    <xf numFmtId="0" fontId="119"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62</xdr:row>
          <xdr:rowOff>95250</xdr:rowOff>
        </xdr:from>
        <xdr:to>
          <xdr:col>2</xdr:col>
          <xdr:colOff>1123950</xdr:colOff>
          <xdr:row>64</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51</xdr:row>
          <xdr:rowOff>171450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3" name="Button 33" hidden="1">
              <a:extLst>
                <a:ext uri="{63B3BB69-23CF-44E3-9099-C40C66FF867C}">
                  <a14:compatExt spid="_x0000_s30753"/>
                </a:ext>
                <a:ext uri="{FF2B5EF4-FFF2-40B4-BE49-F238E27FC236}">
                  <a16:creationId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4" name="Button 34" hidden="1">
              <a:extLst>
                <a:ext uri="{63B3BB69-23CF-44E3-9099-C40C66FF867C}">
                  <a14:compatExt spid="_x0000_s30754"/>
                </a:ext>
                <a:ext uri="{FF2B5EF4-FFF2-40B4-BE49-F238E27FC236}">
                  <a16:creationId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5" name="Button 35" hidden="1">
              <a:extLst>
                <a:ext uri="{63B3BB69-23CF-44E3-9099-C40C66FF867C}">
                  <a14:compatExt spid="_x0000_s30755"/>
                </a:ext>
                <a:ext uri="{FF2B5EF4-FFF2-40B4-BE49-F238E27FC236}">
                  <a16:creationId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16" Type="http://schemas.openxmlformats.org/officeDocument/2006/relationships/ctrlProp" Target="../ctrlProps/ctrlProp32.xml"/><Relationship Id="rId11" Type="http://schemas.openxmlformats.org/officeDocument/2006/relationships/ctrlProp" Target="../ctrlProps/ctrlProp27.xml"/><Relationship Id="rId32" Type="http://schemas.openxmlformats.org/officeDocument/2006/relationships/ctrlProp" Target="../ctrlProps/ctrlProp48.xml"/><Relationship Id="rId37" Type="http://schemas.openxmlformats.org/officeDocument/2006/relationships/ctrlProp" Target="../ctrlProps/ctrlProp53.xml"/><Relationship Id="rId53" Type="http://schemas.openxmlformats.org/officeDocument/2006/relationships/ctrlProp" Target="../ctrlProps/ctrlProp69.xml"/><Relationship Id="rId58" Type="http://schemas.openxmlformats.org/officeDocument/2006/relationships/ctrlProp" Target="../ctrlProps/ctrlProp74.xml"/><Relationship Id="rId74" Type="http://schemas.openxmlformats.org/officeDocument/2006/relationships/ctrlProp" Target="../ctrlProps/ctrlProp90.xml"/><Relationship Id="rId79" Type="http://schemas.openxmlformats.org/officeDocument/2006/relationships/ctrlProp" Target="../ctrlProps/ctrlProp95.xml"/><Relationship Id="rId102" Type="http://schemas.openxmlformats.org/officeDocument/2006/relationships/ctrlProp" Target="../ctrlProps/ctrlProp118.xml"/><Relationship Id="rId5" Type="http://schemas.openxmlformats.org/officeDocument/2006/relationships/vmlDrawing" Target="../drawings/vmlDrawing2.vml"/><Relationship Id="rId90" Type="http://schemas.openxmlformats.org/officeDocument/2006/relationships/ctrlProp" Target="../ctrlProps/ctrlProp106.xml"/><Relationship Id="rId95" Type="http://schemas.openxmlformats.org/officeDocument/2006/relationships/ctrlProp" Target="../ctrlProps/ctrlProp111.xml"/><Relationship Id="rId22" Type="http://schemas.openxmlformats.org/officeDocument/2006/relationships/ctrlProp" Target="../ctrlProps/ctrlProp38.xml"/><Relationship Id="rId27" Type="http://schemas.openxmlformats.org/officeDocument/2006/relationships/ctrlProp" Target="../ctrlProps/ctrlProp43.xml"/><Relationship Id="rId43" Type="http://schemas.openxmlformats.org/officeDocument/2006/relationships/ctrlProp" Target="../ctrlProps/ctrlProp59.xml"/><Relationship Id="rId48" Type="http://schemas.openxmlformats.org/officeDocument/2006/relationships/ctrlProp" Target="../ctrlProps/ctrlProp64.xml"/><Relationship Id="rId64" Type="http://schemas.openxmlformats.org/officeDocument/2006/relationships/ctrlProp" Target="../ctrlProps/ctrlProp80.xml"/><Relationship Id="rId69" Type="http://schemas.openxmlformats.org/officeDocument/2006/relationships/ctrlProp" Target="../ctrlProps/ctrlProp85.xml"/><Relationship Id="rId80" Type="http://schemas.openxmlformats.org/officeDocument/2006/relationships/ctrlProp" Target="../ctrlProps/ctrlProp96.xml"/><Relationship Id="rId85" Type="http://schemas.openxmlformats.org/officeDocument/2006/relationships/ctrlProp" Target="../ctrlProps/ctrlProp101.xml"/><Relationship Id="rId12" Type="http://schemas.openxmlformats.org/officeDocument/2006/relationships/ctrlProp" Target="../ctrlProps/ctrlProp28.xml"/><Relationship Id="rId17" Type="http://schemas.openxmlformats.org/officeDocument/2006/relationships/ctrlProp" Target="../ctrlProps/ctrlProp33.xml"/><Relationship Id="rId33" Type="http://schemas.openxmlformats.org/officeDocument/2006/relationships/ctrlProp" Target="../ctrlProps/ctrlProp49.xml"/><Relationship Id="rId38" Type="http://schemas.openxmlformats.org/officeDocument/2006/relationships/ctrlProp" Target="../ctrlProps/ctrlProp54.xml"/><Relationship Id="rId59" Type="http://schemas.openxmlformats.org/officeDocument/2006/relationships/ctrlProp" Target="../ctrlProps/ctrlProp75.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5.xml"/><Relationship Id="rId24" Type="http://schemas.openxmlformats.org/officeDocument/2006/relationships/ctrlProp" Target="../ctrlProps/ctrlProp40.xml"/><Relationship Id="rId40" Type="http://schemas.openxmlformats.org/officeDocument/2006/relationships/ctrlProp" Target="../ctrlProps/ctrlProp56.xml"/><Relationship Id="rId45" Type="http://schemas.openxmlformats.org/officeDocument/2006/relationships/ctrlProp" Target="../ctrlProps/ctrlProp61.xml"/><Relationship Id="rId66" Type="http://schemas.openxmlformats.org/officeDocument/2006/relationships/ctrlProp" Target="../ctrlProps/ctrlProp82.xml"/><Relationship Id="rId87" Type="http://schemas.openxmlformats.org/officeDocument/2006/relationships/ctrlProp" Target="../ctrlProps/ctrlProp103.xml"/><Relationship Id="rId61" Type="http://schemas.openxmlformats.org/officeDocument/2006/relationships/ctrlProp" Target="../ctrlProps/ctrlProp77.xml"/><Relationship Id="rId82" Type="http://schemas.openxmlformats.org/officeDocument/2006/relationships/ctrlProp" Target="../ctrlProps/ctrlProp98.xml"/><Relationship Id="rId19" Type="http://schemas.openxmlformats.org/officeDocument/2006/relationships/ctrlProp" Target="../ctrlProps/ctrlProp35.xml"/><Relationship Id="rId14" Type="http://schemas.openxmlformats.org/officeDocument/2006/relationships/ctrlProp" Target="../ctrlProps/ctrlProp30.xml"/><Relationship Id="rId30" Type="http://schemas.openxmlformats.org/officeDocument/2006/relationships/ctrlProp" Target="../ctrlProps/ctrlProp46.xml"/><Relationship Id="rId35" Type="http://schemas.openxmlformats.org/officeDocument/2006/relationships/ctrlProp" Target="../ctrlProps/ctrlProp51.xml"/><Relationship Id="rId56" Type="http://schemas.openxmlformats.org/officeDocument/2006/relationships/ctrlProp" Target="../ctrlProps/ctrlProp72.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25" Type="http://schemas.openxmlformats.org/officeDocument/2006/relationships/ctrlProp" Target="../ctrlProps/ctrlProp41.xml"/><Relationship Id="rId46" Type="http://schemas.openxmlformats.org/officeDocument/2006/relationships/ctrlProp" Target="../ctrlProps/ctrlProp62.xml"/><Relationship Id="rId67" Type="http://schemas.openxmlformats.org/officeDocument/2006/relationships/ctrlProp" Target="../ctrlProps/ctrlProp83.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42" Type="http://schemas.openxmlformats.org/officeDocument/2006/relationships/ctrlProp" Target="../ctrlProps/ctrlProp161.xml"/><Relationship Id="rId47" Type="http://schemas.openxmlformats.org/officeDocument/2006/relationships/ctrlProp" Target="../ctrlProps/ctrlProp166.xml"/><Relationship Id="rId63" Type="http://schemas.openxmlformats.org/officeDocument/2006/relationships/ctrlProp" Target="../ctrlProps/ctrlProp182.xml"/><Relationship Id="rId68" Type="http://schemas.openxmlformats.org/officeDocument/2006/relationships/ctrlProp" Target="../ctrlProps/ctrlProp187.xml"/><Relationship Id="rId84" Type="http://schemas.openxmlformats.org/officeDocument/2006/relationships/ctrlProp" Target="../ctrlProps/ctrlProp203.xml"/><Relationship Id="rId89" Type="http://schemas.openxmlformats.org/officeDocument/2006/relationships/ctrlProp" Target="../ctrlProps/ctrlProp208.xml"/><Relationship Id="rId16" Type="http://schemas.openxmlformats.org/officeDocument/2006/relationships/ctrlProp" Target="../ctrlProps/ctrlProp135.xml"/><Relationship Id="rId11" Type="http://schemas.openxmlformats.org/officeDocument/2006/relationships/ctrlProp" Target="../ctrlProps/ctrlProp130.xml"/><Relationship Id="rId32" Type="http://schemas.openxmlformats.org/officeDocument/2006/relationships/ctrlProp" Target="../ctrlProps/ctrlProp151.xml"/><Relationship Id="rId37" Type="http://schemas.openxmlformats.org/officeDocument/2006/relationships/ctrlProp" Target="../ctrlProps/ctrlProp156.xml"/><Relationship Id="rId53" Type="http://schemas.openxmlformats.org/officeDocument/2006/relationships/ctrlProp" Target="../ctrlProps/ctrlProp172.xml"/><Relationship Id="rId58" Type="http://schemas.openxmlformats.org/officeDocument/2006/relationships/ctrlProp" Target="../ctrlProps/ctrlProp177.xml"/><Relationship Id="rId74" Type="http://schemas.openxmlformats.org/officeDocument/2006/relationships/ctrlProp" Target="../ctrlProps/ctrlProp193.xml"/><Relationship Id="rId79" Type="http://schemas.openxmlformats.org/officeDocument/2006/relationships/ctrlProp" Target="../ctrlProps/ctrlProp198.xml"/><Relationship Id="rId102" Type="http://schemas.openxmlformats.org/officeDocument/2006/relationships/ctrlProp" Target="../ctrlProps/ctrlProp221.xml"/><Relationship Id="rId5" Type="http://schemas.openxmlformats.org/officeDocument/2006/relationships/ctrlProp" Target="../ctrlProps/ctrlProp124.xml"/><Relationship Id="rId90" Type="http://schemas.openxmlformats.org/officeDocument/2006/relationships/ctrlProp" Target="../ctrlProps/ctrlProp209.xml"/><Relationship Id="rId95" Type="http://schemas.openxmlformats.org/officeDocument/2006/relationships/ctrlProp" Target="../ctrlProps/ctrlProp214.xml"/><Relationship Id="rId22" Type="http://schemas.openxmlformats.org/officeDocument/2006/relationships/ctrlProp" Target="../ctrlProps/ctrlProp141.xml"/><Relationship Id="rId27" Type="http://schemas.openxmlformats.org/officeDocument/2006/relationships/ctrlProp" Target="../ctrlProps/ctrlProp146.xml"/><Relationship Id="rId43" Type="http://schemas.openxmlformats.org/officeDocument/2006/relationships/ctrlProp" Target="../ctrlProps/ctrlProp162.xml"/><Relationship Id="rId48" Type="http://schemas.openxmlformats.org/officeDocument/2006/relationships/ctrlProp" Target="../ctrlProps/ctrlProp167.xml"/><Relationship Id="rId64" Type="http://schemas.openxmlformats.org/officeDocument/2006/relationships/ctrlProp" Target="../ctrlProps/ctrlProp183.xml"/><Relationship Id="rId69" Type="http://schemas.openxmlformats.org/officeDocument/2006/relationships/ctrlProp" Target="../ctrlProps/ctrlProp188.xml"/><Relationship Id="rId80" Type="http://schemas.openxmlformats.org/officeDocument/2006/relationships/ctrlProp" Target="../ctrlProps/ctrlProp199.xml"/><Relationship Id="rId85" Type="http://schemas.openxmlformats.org/officeDocument/2006/relationships/ctrlProp" Target="../ctrlProps/ctrlProp204.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 Id="rId34" Type="http://schemas.openxmlformats.org/officeDocument/2006/relationships/ctrlProp" Target="../ctrlProps/ctrlProp153.xml"/><Relationship Id="rId50" Type="http://schemas.openxmlformats.org/officeDocument/2006/relationships/ctrlProp" Target="../ctrlProps/ctrlProp169.xml"/><Relationship Id="rId55" Type="http://schemas.openxmlformats.org/officeDocument/2006/relationships/ctrlProp" Target="../ctrlProps/ctrlProp174.xml"/><Relationship Id="rId76" Type="http://schemas.openxmlformats.org/officeDocument/2006/relationships/ctrlProp" Target="../ctrlProps/ctrlProp195.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29" Type="http://schemas.openxmlformats.org/officeDocument/2006/relationships/ctrlProp" Target="../ctrlProps/ctrlProp148.xml"/><Relationship Id="rId24" Type="http://schemas.openxmlformats.org/officeDocument/2006/relationships/ctrlProp" Target="../ctrlProps/ctrlProp143.xml"/><Relationship Id="rId40" Type="http://schemas.openxmlformats.org/officeDocument/2006/relationships/ctrlProp" Target="../ctrlProps/ctrlProp159.xml"/><Relationship Id="rId45" Type="http://schemas.openxmlformats.org/officeDocument/2006/relationships/ctrlProp" Target="../ctrlProps/ctrlProp164.xml"/><Relationship Id="rId66" Type="http://schemas.openxmlformats.org/officeDocument/2006/relationships/ctrlProp" Target="../ctrlProps/ctrlProp185.xml"/><Relationship Id="rId87" Type="http://schemas.openxmlformats.org/officeDocument/2006/relationships/ctrlProp" Target="../ctrlProps/ctrlProp206.xml"/><Relationship Id="rId61" Type="http://schemas.openxmlformats.org/officeDocument/2006/relationships/ctrlProp" Target="../ctrlProps/ctrlProp180.xml"/><Relationship Id="rId82" Type="http://schemas.openxmlformats.org/officeDocument/2006/relationships/ctrlProp" Target="../ctrlProps/ctrlProp201.xml"/><Relationship Id="rId19" Type="http://schemas.openxmlformats.org/officeDocument/2006/relationships/ctrlProp" Target="../ctrlProps/ctrlProp138.xml"/><Relationship Id="rId14" Type="http://schemas.openxmlformats.org/officeDocument/2006/relationships/ctrlProp" Target="../ctrlProps/ctrlProp133.xml"/><Relationship Id="rId30" Type="http://schemas.openxmlformats.org/officeDocument/2006/relationships/ctrlProp" Target="../ctrlProps/ctrlProp149.xml"/><Relationship Id="rId35" Type="http://schemas.openxmlformats.org/officeDocument/2006/relationships/ctrlProp" Target="../ctrlProps/ctrlProp154.xml"/><Relationship Id="rId56" Type="http://schemas.openxmlformats.org/officeDocument/2006/relationships/ctrlProp" Target="../ctrlProps/ctrlProp175.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16" Type="http://schemas.openxmlformats.org/officeDocument/2006/relationships/ctrlProp" Target="../ctrlProps/ctrlProp234.xml"/><Relationship Id="rId11" Type="http://schemas.openxmlformats.org/officeDocument/2006/relationships/ctrlProp" Target="../ctrlProps/ctrlProp229.xml"/><Relationship Id="rId32" Type="http://schemas.openxmlformats.org/officeDocument/2006/relationships/ctrlProp" Target="../ctrlProps/ctrlProp250.xml"/><Relationship Id="rId37" Type="http://schemas.openxmlformats.org/officeDocument/2006/relationships/ctrlProp" Target="../ctrlProps/ctrlProp255.xml"/><Relationship Id="rId53" Type="http://schemas.openxmlformats.org/officeDocument/2006/relationships/ctrlProp" Target="../ctrlProps/ctrlProp271.xml"/><Relationship Id="rId58" Type="http://schemas.openxmlformats.org/officeDocument/2006/relationships/ctrlProp" Target="../ctrlProps/ctrlProp276.xml"/><Relationship Id="rId74" Type="http://schemas.openxmlformats.org/officeDocument/2006/relationships/ctrlProp" Target="../ctrlProps/ctrlProp292.xml"/><Relationship Id="rId79" Type="http://schemas.openxmlformats.org/officeDocument/2006/relationships/ctrlProp" Target="../ctrlProps/ctrlProp297.xml"/><Relationship Id="rId102" Type="http://schemas.openxmlformats.org/officeDocument/2006/relationships/ctrlProp" Target="../ctrlProps/ctrlProp320.xml"/><Relationship Id="rId5" Type="http://schemas.openxmlformats.org/officeDocument/2006/relationships/ctrlProp" Target="../ctrlProps/ctrlProp223.xml"/><Relationship Id="rId90" Type="http://schemas.openxmlformats.org/officeDocument/2006/relationships/ctrlProp" Target="../ctrlProps/ctrlProp308.xml"/><Relationship Id="rId95" Type="http://schemas.openxmlformats.org/officeDocument/2006/relationships/ctrlProp" Target="../ctrlProps/ctrlProp313.xml"/><Relationship Id="rId22" Type="http://schemas.openxmlformats.org/officeDocument/2006/relationships/ctrlProp" Target="../ctrlProps/ctrlProp240.xml"/><Relationship Id="rId27" Type="http://schemas.openxmlformats.org/officeDocument/2006/relationships/ctrlProp" Target="../ctrlProps/ctrlProp245.xml"/><Relationship Id="rId43" Type="http://schemas.openxmlformats.org/officeDocument/2006/relationships/ctrlProp" Target="../ctrlProps/ctrlProp261.xml"/><Relationship Id="rId48" Type="http://schemas.openxmlformats.org/officeDocument/2006/relationships/ctrlProp" Target="../ctrlProps/ctrlProp266.xml"/><Relationship Id="rId64" Type="http://schemas.openxmlformats.org/officeDocument/2006/relationships/ctrlProp" Target="../ctrlProps/ctrlProp282.xml"/><Relationship Id="rId69" Type="http://schemas.openxmlformats.org/officeDocument/2006/relationships/ctrlProp" Target="../ctrlProps/ctrlProp287.xml"/><Relationship Id="rId80" Type="http://schemas.openxmlformats.org/officeDocument/2006/relationships/ctrlProp" Target="../ctrlProps/ctrlProp298.xml"/><Relationship Id="rId85" Type="http://schemas.openxmlformats.org/officeDocument/2006/relationships/ctrlProp" Target="../ctrlProps/ctrlProp303.x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29" Type="http://schemas.openxmlformats.org/officeDocument/2006/relationships/ctrlProp" Target="../ctrlProps/ctrlProp247.xml"/><Relationship Id="rId24" Type="http://schemas.openxmlformats.org/officeDocument/2006/relationships/ctrlProp" Target="../ctrlProps/ctrlProp242.xml"/><Relationship Id="rId40" Type="http://schemas.openxmlformats.org/officeDocument/2006/relationships/ctrlProp" Target="../ctrlProps/ctrlProp258.xml"/><Relationship Id="rId45" Type="http://schemas.openxmlformats.org/officeDocument/2006/relationships/ctrlProp" Target="../ctrlProps/ctrlProp263.xml"/><Relationship Id="rId66" Type="http://schemas.openxmlformats.org/officeDocument/2006/relationships/ctrlProp" Target="../ctrlProps/ctrlProp284.xml"/><Relationship Id="rId87" Type="http://schemas.openxmlformats.org/officeDocument/2006/relationships/ctrlProp" Target="../ctrlProps/ctrlProp305.xml"/><Relationship Id="rId61" Type="http://schemas.openxmlformats.org/officeDocument/2006/relationships/ctrlProp" Target="../ctrlProps/ctrlProp279.xml"/><Relationship Id="rId82" Type="http://schemas.openxmlformats.org/officeDocument/2006/relationships/ctrlProp" Target="../ctrlProps/ctrlProp300.xml"/><Relationship Id="rId19" Type="http://schemas.openxmlformats.org/officeDocument/2006/relationships/ctrlProp" Target="../ctrlProps/ctrlProp237.xml"/><Relationship Id="rId14" Type="http://schemas.openxmlformats.org/officeDocument/2006/relationships/ctrlProp" Target="../ctrlProps/ctrlProp232.xml"/><Relationship Id="rId30" Type="http://schemas.openxmlformats.org/officeDocument/2006/relationships/ctrlProp" Target="../ctrlProps/ctrlProp248.xml"/><Relationship Id="rId35" Type="http://schemas.openxmlformats.org/officeDocument/2006/relationships/ctrlProp" Target="../ctrlProps/ctrlProp253.xml"/><Relationship Id="rId56" Type="http://schemas.openxmlformats.org/officeDocument/2006/relationships/ctrlProp" Target="../ctrlProps/ctrlProp274.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16" Type="http://schemas.openxmlformats.org/officeDocument/2006/relationships/ctrlProp" Target="../ctrlProps/ctrlProp334.xml"/><Relationship Id="rId11" Type="http://schemas.openxmlformats.org/officeDocument/2006/relationships/ctrlProp" Target="../ctrlProps/ctrlProp329.xml"/><Relationship Id="rId32" Type="http://schemas.openxmlformats.org/officeDocument/2006/relationships/ctrlProp" Target="../ctrlProps/ctrlProp350.xml"/><Relationship Id="rId37" Type="http://schemas.openxmlformats.org/officeDocument/2006/relationships/ctrlProp" Target="../ctrlProps/ctrlProp355.xml"/><Relationship Id="rId53" Type="http://schemas.openxmlformats.org/officeDocument/2006/relationships/ctrlProp" Target="../ctrlProps/ctrlProp371.xml"/><Relationship Id="rId58" Type="http://schemas.openxmlformats.org/officeDocument/2006/relationships/ctrlProp" Target="../ctrlProps/ctrlProp376.xml"/><Relationship Id="rId74" Type="http://schemas.openxmlformats.org/officeDocument/2006/relationships/ctrlProp" Target="../ctrlProps/ctrlProp392.xml"/><Relationship Id="rId79" Type="http://schemas.openxmlformats.org/officeDocument/2006/relationships/ctrlProp" Target="../ctrlProps/ctrlProp397.xml"/><Relationship Id="rId102" Type="http://schemas.openxmlformats.org/officeDocument/2006/relationships/ctrlProp" Target="../ctrlProps/ctrlProp420.xml"/><Relationship Id="rId5" Type="http://schemas.openxmlformats.org/officeDocument/2006/relationships/ctrlProp" Target="../ctrlProps/ctrlProp323.xml"/><Relationship Id="rId90" Type="http://schemas.openxmlformats.org/officeDocument/2006/relationships/ctrlProp" Target="../ctrlProps/ctrlProp408.xml"/><Relationship Id="rId95" Type="http://schemas.openxmlformats.org/officeDocument/2006/relationships/ctrlProp" Target="../ctrlProps/ctrlProp413.xml"/><Relationship Id="rId22" Type="http://schemas.openxmlformats.org/officeDocument/2006/relationships/ctrlProp" Target="../ctrlProps/ctrlProp340.xml"/><Relationship Id="rId27" Type="http://schemas.openxmlformats.org/officeDocument/2006/relationships/ctrlProp" Target="../ctrlProps/ctrlProp345.xml"/><Relationship Id="rId43" Type="http://schemas.openxmlformats.org/officeDocument/2006/relationships/ctrlProp" Target="../ctrlProps/ctrlProp361.xml"/><Relationship Id="rId48" Type="http://schemas.openxmlformats.org/officeDocument/2006/relationships/ctrlProp" Target="../ctrlProps/ctrlProp366.xml"/><Relationship Id="rId64" Type="http://schemas.openxmlformats.org/officeDocument/2006/relationships/ctrlProp" Target="../ctrlProps/ctrlProp382.xml"/><Relationship Id="rId69" Type="http://schemas.openxmlformats.org/officeDocument/2006/relationships/ctrlProp" Target="../ctrlProps/ctrlProp387.xml"/><Relationship Id="rId80" Type="http://schemas.openxmlformats.org/officeDocument/2006/relationships/ctrlProp" Target="../ctrlProps/ctrlProp398.xml"/><Relationship Id="rId85" Type="http://schemas.openxmlformats.org/officeDocument/2006/relationships/ctrlProp" Target="../ctrlProps/ctrlProp403.x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29" Type="http://schemas.openxmlformats.org/officeDocument/2006/relationships/ctrlProp" Target="../ctrlProps/ctrlProp347.xml"/><Relationship Id="rId24" Type="http://schemas.openxmlformats.org/officeDocument/2006/relationships/ctrlProp" Target="../ctrlProps/ctrlProp342.xml"/><Relationship Id="rId40" Type="http://schemas.openxmlformats.org/officeDocument/2006/relationships/ctrlProp" Target="../ctrlProps/ctrlProp358.xml"/><Relationship Id="rId45" Type="http://schemas.openxmlformats.org/officeDocument/2006/relationships/ctrlProp" Target="../ctrlProps/ctrlProp363.xml"/><Relationship Id="rId66" Type="http://schemas.openxmlformats.org/officeDocument/2006/relationships/ctrlProp" Target="../ctrlProps/ctrlProp384.xml"/><Relationship Id="rId87" Type="http://schemas.openxmlformats.org/officeDocument/2006/relationships/ctrlProp" Target="../ctrlProps/ctrlProp405.xml"/><Relationship Id="rId61" Type="http://schemas.openxmlformats.org/officeDocument/2006/relationships/ctrlProp" Target="../ctrlProps/ctrlProp379.xml"/><Relationship Id="rId82" Type="http://schemas.openxmlformats.org/officeDocument/2006/relationships/ctrlProp" Target="../ctrlProps/ctrlProp400.xml"/><Relationship Id="rId19" Type="http://schemas.openxmlformats.org/officeDocument/2006/relationships/ctrlProp" Target="../ctrlProps/ctrlProp337.xml"/><Relationship Id="rId14" Type="http://schemas.openxmlformats.org/officeDocument/2006/relationships/ctrlProp" Target="../ctrlProps/ctrlProp332.xml"/><Relationship Id="rId30" Type="http://schemas.openxmlformats.org/officeDocument/2006/relationships/ctrlProp" Target="../ctrlProps/ctrlProp348.xml"/><Relationship Id="rId35" Type="http://schemas.openxmlformats.org/officeDocument/2006/relationships/ctrlProp" Target="../ctrlProps/ctrlProp353.xml"/><Relationship Id="rId56" Type="http://schemas.openxmlformats.org/officeDocument/2006/relationships/ctrlProp" Target="../ctrlProps/ctrlProp374.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42" Type="http://schemas.openxmlformats.org/officeDocument/2006/relationships/ctrlProp" Target="../ctrlProps/ctrlProp461.xml"/><Relationship Id="rId47" Type="http://schemas.openxmlformats.org/officeDocument/2006/relationships/ctrlProp" Target="../ctrlProps/ctrlProp466.xml"/><Relationship Id="rId63" Type="http://schemas.openxmlformats.org/officeDocument/2006/relationships/ctrlProp" Target="../ctrlProps/ctrlProp482.xml"/><Relationship Id="rId68" Type="http://schemas.openxmlformats.org/officeDocument/2006/relationships/ctrlProp" Target="../ctrlProps/ctrlProp487.xml"/><Relationship Id="rId84" Type="http://schemas.openxmlformats.org/officeDocument/2006/relationships/ctrlProp" Target="../ctrlProps/ctrlProp503.xml"/><Relationship Id="rId89" Type="http://schemas.openxmlformats.org/officeDocument/2006/relationships/ctrlProp" Target="../ctrlProps/ctrlProp508.xml"/><Relationship Id="rId16" Type="http://schemas.openxmlformats.org/officeDocument/2006/relationships/ctrlProp" Target="../ctrlProps/ctrlProp435.xml"/><Relationship Id="rId11" Type="http://schemas.openxmlformats.org/officeDocument/2006/relationships/ctrlProp" Target="../ctrlProps/ctrlProp430.xml"/><Relationship Id="rId32" Type="http://schemas.openxmlformats.org/officeDocument/2006/relationships/ctrlProp" Target="../ctrlProps/ctrlProp451.xml"/><Relationship Id="rId37" Type="http://schemas.openxmlformats.org/officeDocument/2006/relationships/ctrlProp" Target="../ctrlProps/ctrlProp456.xml"/><Relationship Id="rId53" Type="http://schemas.openxmlformats.org/officeDocument/2006/relationships/ctrlProp" Target="../ctrlProps/ctrlProp472.xml"/><Relationship Id="rId58" Type="http://schemas.openxmlformats.org/officeDocument/2006/relationships/ctrlProp" Target="../ctrlProps/ctrlProp477.xml"/><Relationship Id="rId74" Type="http://schemas.openxmlformats.org/officeDocument/2006/relationships/ctrlProp" Target="../ctrlProps/ctrlProp493.xml"/><Relationship Id="rId79" Type="http://schemas.openxmlformats.org/officeDocument/2006/relationships/ctrlProp" Target="../ctrlProps/ctrlProp498.xml"/><Relationship Id="rId102" Type="http://schemas.openxmlformats.org/officeDocument/2006/relationships/ctrlProp" Target="../ctrlProps/ctrlProp521.xml"/><Relationship Id="rId5" Type="http://schemas.openxmlformats.org/officeDocument/2006/relationships/ctrlProp" Target="../ctrlProps/ctrlProp424.xml"/><Relationship Id="rId90" Type="http://schemas.openxmlformats.org/officeDocument/2006/relationships/ctrlProp" Target="../ctrlProps/ctrlProp509.xml"/><Relationship Id="rId95" Type="http://schemas.openxmlformats.org/officeDocument/2006/relationships/ctrlProp" Target="../ctrlProps/ctrlProp514.xml"/><Relationship Id="rId22" Type="http://schemas.openxmlformats.org/officeDocument/2006/relationships/ctrlProp" Target="../ctrlProps/ctrlProp441.xml"/><Relationship Id="rId27" Type="http://schemas.openxmlformats.org/officeDocument/2006/relationships/ctrlProp" Target="../ctrlProps/ctrlProp446.xml"/><Relationship Id="rId43" Type="http://schemas.openxmlformats.org/officeDocument/2006/relationships/ctrlProp" Target="../ctrlProps/ctrlProp462.xml"/><Relationship Id="rId48" Type="http://schemas.openxmlformats.org/officeDocument/2006/relationships/ctrlProp" Target="../ctrlProps/ctrlProp467.xml"/><Relationship Id="rId64" Type="http://schemas.openxmlformats.org/officeDocument/2006/relationships/ctrlProp" Target="../ctrlProps/ctrlProp483.xml"/><Relationship Id="rId69" Type="http://schemas.openxmlformats.org/officeDocument/2006/relationships/ctrlProp" Target="../ctrlProps/ctrlProp488.xml"/><Relationship Id="rId80" Type="http://schemas.openxmlformats.org/officeDocument/2006/relationships/ctrlProp" Target="../ctrlProps/ctrlProp499.xml"/><Relationship Id="rId85" Type="http://schemas.openxmlformats.org/officeDocument/2006/relationships/ctrlProp" Target="../ctrlProps/ctrlProp504.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 Id="rId34" Type="http://schemas.openxmlformats.org/officeDocument/2006/relationships/ctrlProp" Target="../ctrlProps/ctrlProp453.xml"/><Relationship Id="rId50" Type="http://schemas.openxmlformats.org/officeDocument/2006/relationships/ctrlProp" Target="../ctrlProps/ctrlProp469.xml"/><Relationship Id="rId55" Type="http://schemas.openxmlformats.org/officeDocument/2006/relationships/ctrlProp" Target="../ctrlProps/ctrlProp474.xml"/><Relationship Id="rId76" Type="http://schemas.openxmlformats.org/officeDocument/2006/relationships/ctrlProp" Target="../ctrlProps/ctrlProp495.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29" Type="http://schemas.openxmlformats.org/officeDocument/2006/relationships/ctrlProp" Target="../ctrlProps/ctrlProp448.xml"/><Relationship Id="rId24" Type="http://schemas.openxmlformats.org/officeDocument/2006/relationships/ctrlProp" Target="../ctrlProps/ctrlProp443.xml"/><Relationship Id="rId40" Type="http://schemas.openxmlformats.org/officeDocument/2006/relationships/ctrlProp" Target="../ctrlProps/ctrlProp459.xml"/><Relationship Id="rId45" Type="http://schemas.openxmlformats.org/officeDocument/2006/relationships/ctrlProp" Target="../ctrlProps/ctrlProp464.xml"/><Relationship Id="rId66" Type="http://schemas.openxmlformats.org/officeDocument/2006/relationships/ctrlProp" Target="../ctrlProps/ctrlProp485.xml"/><Relationship Id="rId87" Type="http://schemas.openxmlformats.org/officeDocument/2006/relationships/ctrlProp" Target="../ctrlProps/ctrlProp506.xml"/><Relationship Id="rId61" Type="http://schemas.openxmlformats.org/officeDocument/2006/relationships/ctrlProp" Target="../ctrlProps/ctrlProp480.xml"/><Relationship Id="rId82" Type="http://schemas.openxmlformats.org/officeDocument/2006/relationships/ctrlProp" Target="../ctrlProps/ctrlProp501.xml"/><Relationship Id="rId19" Type="http://schemas.openxmlformats.org/officeDocument/2006/relationships/ctrlProp" Target="../ctrlProps/ctrlProp438.xml"/><Relationship Id="rId14" Type="http://schemas.openxmlformats.org/officeDocument/2006/relationships/ctrlProp" Target="../ctrlProps/ctrlProp433.xml"/><Relationship Id="rId30" Type="http://schemas.openxmlformats.org/officeDocument/2006/relationships/ctrlProp" Target="../ctrlProps/ctrlProp449.xml"/><Relationship Id="rId35" Type="http://schemas.openxmlformats.org/officeDocument/2006/relationships/ctrlProp" Target="../ctrlProps/ctrlProp454.xml"/><Relationship Id="rId56" Type="http://schemas.openxmlformats.org/officeDocument/2006/relationships/ctrlProp" Target="../ctrlProps/ctrlProp475.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16" Type="http://schemas.openxmlformats.org/officeDocument/2006/relationships/ctrlProp" Target="../ctrlProps/ctrlProp534.xml"/><Relationship Id="rId11" Type="http://schemas.openxmlformats.org/officeDocument/2006/relationships/ctrlProp" Target="../ctrlProps/ctrlProp529.xml"/><Relationship Id="rId32" Type="http://schemas.openxmlformats.org/officeDocument/2006/relationships/ctrlProp" Target="../ctrlProps/ctrlProp550.xml"/><Relationship Id="rId37" Type="http://schemas.openxmlformats.org/officeDocument/2006/relationships/ctrlProp" Target="../ctrlProps/ctrlProp555.xml"/><Relationship Id="rId53" Type="http://schemas.openxmlformats.org/officeDocument/2006/relationships/ctrlProp" Target="../ctrlProps/ctrlProp571.xml"/><Relationship Id="rId58" Type="http://schemas.openxmlformats.org/officeDocument/2006/relationships/ctrlProp" Target="../ctrlProps/ctrlProp576.xml"/><Relationship Id="rId74" Type="http://schemas.openxmlformats.org/officeDocument/2006/relationships/ctrlProp" Target="../ctrlProps/ctrlProp592.xml"/><Relationship Id="rId79" Type="http://schemas.openxmlformats.org/officeDocument/2006/relationships/ctrlProp" Target="../ctrlProps/ctrlProp597.xml"/><Relationship Id="rId102" Type="http://schemas.openxmlformats.org/officeDocument/2006/relationships/ctrlProp" Target="../ctrlProps/ctrlProp620.xml"/><Relationship Id="rId5" Type="http://schemas.openxmlformats.org/officeDocument/2006/relationships/ctrlProp" Target="../ctrlProps/ctrlProp523.xml"/><Relationship Id="rId90" Type="http://schemas.openxmlformats.org/officeDocument/2006/relationships/ctrlProp" Target="../ctrlProps/ctrlProp608.xml"/><Relationship Id="rId95" Type="http://schemas.openxmlformats.org/officeDocument/2006/relationships/ctrlProp" Target="../ctrlProps/ctrlProp613.xml"/><Relationship Id="rId22" Type="http://schemas.openxmlformats.org/officeDocument/2006/relationships/ctrlProp" Target="../ctrlProps/ctrlProp540.xml"/><Relationship Id="rId27" Type="http://schemas.openxmlformats.org/officeDocument/2006/relationships/ctrlProp" Target="../ctrlProps/ctrlProp545.xml"/><Relationship Id="rId43" Type="http://schemas.openxmlformats.org/officeDocument/2006/relationships/ctrlProp" Target="../ctrlProps/ctrlProp561.xml"/><Relationship Id="rId48" Type="http://schemas.openxmlformats.org/officeDocument/2006/relationships/ctrlProp" Target="../ctrlProps/ctrlProp566.xml"/><Relationship Id="rId64" Type="http://schemas.openxmlformats.org/officeDocument/2006/relationships/ctrlProp" Target="../ctrlProps/ctrlProp582.xml"/><Relationship Id="rId69" Type="http://schemas.openxmlformats.org/officeDocument/2006/relationships/ctrlProp" Target="../ctrlProps/ctrlProp587.xml"/><Relationship Id="rId80" Type="http://schemas.openxmlformats.org/officeDocument/2006/relationships/ctrlProp" Target="../ctrlProps/ctrlProp598.xml"/><Relationship Id="rId85" Type="http://schemas.openxmlformats.org/officeDocument/2006/relationships/ctrlProp" Target="../ctrlProps/ctrlProp603.x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29" Type="http://schemas.openxmlformats.org/officeDocument/2006/relationships/ctrlProp" Target="../ctrlProps/ctrlProp547.xml"/><Relationship Id="rId24" Type="http://schemas.openxmlformats.org/officeDocument/2006/relationships/ctrlProp" Target="../ctrlProps/ctrlProp542.xml"/><Relationship Id="rId40" Type="http://schemas.openxmlformats.org/officeDocument/2006/relationships/ctrlProp" Target="../ctrlProps/ctrlProp558.xml"/><Relationship Id="rId45" Type="http://schemas.openxmlformats.org/officeDocument/2006/relationships/ctrlProp" Target="../ctrlProps/ctrlProp563.xml"/><Relationship Id="rId66" Type="http://schemas.openxmlformats.org/officeDocument/2006/relationships/ctrlProp" Target="../ctrlProps/ctrlProp584.xml"/><Relationship Id="rId87" Type="http://schemas.openxmlformats.org/officeDocument/2006/relationships/ctrlProp" Target="../ctrlProps/ctrlProp605.xml"/><Relationship Id="rId61" Type="http://schemas.openxmlformats.org/officeDocument/2006/relationships/ctrlProp" Target="../ctrlProps/ctrlProp579.xml"/><Relationship Id="rId82" Type="http://schemas.openxmlformats.org/officeDocument/2006/relationships/ctrlProp" Target="../ctrlProps/ctrlProp600.xml"/><Relationship Id="rId19" Type="http://schemas.openxmlformats.org/officeDocument/2006/relationships/ctrlProp" Target="../ctrlProps/ctrlProp537.xml"/><Relationship Id="rId14" Type="http://schemas.openxmlformats.org/officeDocument/2006/relationships/ctrlProp" Target="../ctrlProps/ctrlProp532.xml"/><Relationship Id="rId30" Type="http://schemas.openxmlformats.org/officeDocument/2006/relationships/ctrlProp" Target="../ctrlProps/ctrlProp548.xml"/><Relationship Id="rId35" Type="http://schemas.openxmlformats.org/officeDocument/2006/relationships/ctrlProp" Target="../ctrlProps/ctrlProp553.xml"/><Relationship Id="rId56" Type="http://schemas.openxmlformats.org/officeDocument/2006/relationships/ctrlProp" Target="../ctrlProps/ctrlProp574.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8" Type="http://schemas.openxmlformats.org/officeDocument/2006/relationships/ctrlProp" Target="../ctrlProps/ctrlProp6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2" sqref="B2:F4"/>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4"/>
  </cols>
  <sheetData>
    <row r="1" spans="1:23" ht="31.5" customHeight="1" x14ac:dyDescent="0.25">
      <c r="B1" s="51"/>
      <c r="C1" s="52"/>
      <c r="D1" s="52"/>
      <c r="E1" s="52"/>
      <c r="F1" s="52"/>
      <c r="G1" s="52"/>
      <c r="H1" s="52"/>
      <c r="I1" s="52"/>
      <c r="J1" s="52"/>
      <c r="K1" s="969"/>
      <c r="L1" s="969"/>
      <c r="M1" s="969"/>
      <c r="N1" s="969"/>
      <c r="O1" s="46"/>
    </row>
    <row r="2" spans="1:23" ht="21.75" customHeight="1" x14ac:dyDescent="0.25">
      <c r="A2" s="53"/>
      <c r="B2" s="1179" t="s">
        <v>2300</v>
      </c>
      <c r="C2" s="1179"/>
      <c r="D2" s="1179"/>
      <c r="E2" s="1179"/>
      <c r="F2" s="1179"/>
      <c r="G2" s="52"/>
      <c r="H2" s="52"/>
      <c r="I2" s="52"/>
      <c r="J2" s="52"/>
      <c r="K2" s="969"/>
      <c r="L2" s="969"/>
      <c r="M2" s="969"/>
      <c r="N2" s="969"/>
      <c r="O2" s="46"/>
    </row>
    <row r="3" spans="1:23" ht="31.5" customHeight="1" x14ac:dyDescent="0.25">
      <c r="A3" s="46"/>
      <c r="B3" s="1179"/>
      <c r="C3" s="1179"/>
      <c r="D3" s="1179"/>
      <c r="E3" s="1179"/>
      <c r="F3" s="1179"/>
      <c r="G3" s="52"/>
      <c r="H3" s="52"/>
      <c r="I3" s="52"/>
      <c r="J3" s="969"/>
      <c r="K3" s="969"/>
      <c r="L3" s="969"/>
      <c r="M3" s="46"/>
      <c r="N3" s="969"/>
      <c r="O3" s="46"/>
    </row>
    <row r="4" spans="1:23" ht="21.75" customHeight="1" x14ac:dyDescent="0.25">
      <c r="A4" s="969"/>
      <c r="B4" s="1179"/>
      <c r="C4" s="1179"/>
      <c r="D4" s="1179"/>
      <c r="E4" s="1179"/>
      <c r="F4" s="1179"/>
      <c r="G4" s="969"/>
      <c r="H4" s="969"/>
      <c r="I4" s="969"/>
      <c r="J4" s="969"/>
      <c r="K4" s="969" t="s">
        <v>401</v>
      </c>
      <c r="L4" s="969"/>
      <c r="M4" s="51"/>
      <c r="N4" s="969"/>
      <c r="O4" s="46"/>
    </row>
    <row r="5" spans="1:23" s="43" customFormat="1" ht="17.25" customHeight="1" x14ac:dyDescent="0.3">
      <c r="A5" s="969"/>
      <c r="B5" s="104"/>
      <c r="C5" s="54"/>
      <c r="D5" s="969"/>
      <c r="E5" s="969"/>
      <c r="F5" s="969"/>
      <c r="G5" s="969"/>
      <c r="H5" s="969"/>
      <c r="I5" s="969"/>
      <c r="J5" s="969"/>
      <c r="K5" s="969"/>
      <c r="L5" s="969"/>
      <c r="M5" s="51"/>
      <c r="N5" s="969"/>
      <c r="O5" s="46"/>
    </row>
    <row r="6" spans="1:23" ht="17.25" customHeight="1" x14ac:dyDescent="0.25">
      <c r="A6" s="1180" t="s">
        <v>1394</v>
      </c>
      <c r="B6" s="932" t="s">
        <v>1409</v>
      </c>
      <c r="C6" s="933"/>
      <c r="D6" s="933"/>
      <c r="E6" s="933"/>
      <c r="F6" s="933"/>
      <c r="G6" s="933"/>
      <c r="H6" s="934"/>
      <c r="I6" s="935"/>
      <c r="J6" s="935"/>
      <c r="K6" s="969"/>
      <c r="L6" s="969"/>
      <c r="M6" s="969"/>
      <c r="N6" s="969"/>
      <c r="O6" s="46"/>
    </row>
    <row r="7" spans="1:23" ht="17.25" customHeight="1" x14ac:dyDescent="0.25">
      <c r="A7" s="1180"/>
      <c r="B7" s="936"/>
      <c r="C7" s="936"/>
      <c r="D7" s="936"/>
      <c r="E7" s="936"/>
      <c r="F7" s="936"/>
      <c r="G7" s="936"/>
      <c r="H7" s="936"/>
      <c r="I7" s="937"/>
      <c r="J7" s="938"/>
      <c r="K7" s="969"/>
      <c r="L7" s="969"/>
      <c r="M7" s="969"/>
      <c r="N7" s="969"/>
      <c r="O7" s="46"/>
    </row>
    <row r="8" spans="1:23" ht="17.25" customHeight="1" x14ac:dyDescent="0.25">
      <c r="A8" s="1180"/>
      <c r="B8" s="939" t="s">
        <v>1395</v>
      </c>
      <c r="C8" s="940"/>
      <c r="D8" s="940"/>
      <c r="E8" s="940"/>
      <c r="F8" s="940"/>
      <c r="G8" s="940"/>
      <c r="H8" s="941"/>
      <c r="I8" s="942"/>
      <c r="J8" s="943"/>
      <c r="K8" s="969"/>
      <c r="L8" s="969"/>
      <c r="M8" s="969"/>
      <c r="N8" s="969"/>
      <c r="O8" s="46"/>
    </row>
    <row r="9" spans="1:23" s="45" customFormat="1" ht="17.25" customHeight="1" x14ac:dyDescent="0.25">
      <c r="A9" s="1180"/>
      <c r="B9" s="944"/>
      <c r="C9" s="944"/>
      <c r="D9" s="944"/>
      <c r="E9" s="944"/>
      <c r="F9" s="944"/>
      <c r="G9" s="944"/>
      <c r="H9" s="944"/>
      <c r="I9" s="945"/>
      <c r="J9" s="946"/>
      <c r="K9" s="969"/>
      <c r="L9" s="969"/>
      <c r="M9" s="969"/>
      <c r="N9" s="969"/>
      <c r="O9" s="1029"/>
    </row>
    <row r="10" spans="1:23" ht="17.25" customHeight="1" x14ac:dyDescent="0.25">
      <c r="A10" s="1180"/>
      <c r="B10" s="947" t="s">
        <v>1396</v>
      </c>
      <c r="C10" s="948"/>
      <c r="D10" s="948"/>
      <c r="E10" s="948"/>
      <c r="F10" s="948"/>
      <c r="G10" s="948"/>
      <c r="H10" s="949"/>
      <c r="I10" s="950"/>
      <c r="J10" s="950"/>
      <c r="K10" s="969"/>
      <c r="L10" s="969"/>
      <c r="M10" s="969"/>
      <c r="N10" s="969"/>
      <c r="O10" s="46"/>
    </row>
    <row r="11" spans="1:23" s="43" customFormat="1" ht="17.25" customHeight="1" x14ac:dyDescent="0.25">
      <c r="A11" s="1180"/>
      <c r="B11" s="936"/>
      <c r="C11" s="936"/>
      <c r="D11" s="936"/>
      <c r="E11" s="936"/>
      <c r="F11" s="936"/>
      <c r="G11" s="936"/>
      <c r="H11" s="936"/>
      <c r="I11" s="937"/>
      <c r="J11" s="938"/>
      <c r="K11" s="969"/>
      <c r="L11" s="969"/>
      <c r="M11" s="969"/>
      <c r="N11" s="969"/>
      <c r="O11" s="46"/>
    </row>
    <row r="12" spans="1:23" s="43" customFormat="1" ht="17.25" customHeight="1" x14ac:dyDescent="0.25">
      <c r="A12" s="1180"/>
      <c r="B12" s="951" t="s">
        <v>1397</v>
      </c>
      <c r="C12" s="952"/>
      <c r="D12" s="952"/>
      <c r="E12" s="952"/>
      <c r="F12" s="952"/>
      <c r="G12" s="952"/>
      <c r="H12" s="953"/>
      <c r="I12" s="954"/>
      <c r="J12" s="954"/>
      <c r="K12" s="969"/>
      <c r="L12" s="969"/>
      <c r="M12" s="969"/>
      <c r="N12" s="969"/>
      <c r="O12" s="46"/>
    </row>
    <row r="13" spans="1:23" s="43" customFormat="1" ht="17.25" customHeight="1" x14ac:dyDescent="0.25">
      <c r="A13" s="1180"/>
      <c r="B13" s="969"/>
      <c r="C13" s="969"/>
      <c r="D13" s="969"/>
      <c r="E13" s="969"/>
      <c r="F13" s="969"/>
      <c r="G13" s="969"/>
      <c r="H13" s="969"/>
      <c r="I13" s="969"/>
      <c r="J13" s="969"/>
      <c r="K13" s="969"/>
      <c r="L13" s="969"/>
      <c r="M13" s="969"/>
      <c r="N13" s="969"/>
      <c r="O13" s="46"/>
    </row>
    <row r="14" spans="1:23" s="43" customFormat="1" ht="17.25" customHeight="1" x14ac:dyDescent="0.25">
      <c r="A14" s="1180"/>
      <c r="B14" s="955" t="s">
        <v>1398</v>
      </c>
      <c r="C14" s="956"/>
      <c r="D14" s="956"/>
      <c r="E14" s="956"/>
      <c r="F14" s="956"/>
      <c r="G14" s="956"/>
      <c r="H14" s="957"/>
      <c r="I14" s="958"/>
      <c r="J14" s="958"/>
      <c r="K14" s="969"/>
      <c r="L14" s="969"/>
      <c r="M14" s="969"/>
      <c r="N14" s="969"/>
      <c r="O14" s="46"/>
    </row>
    <row r="15" spans="1:23" ht="17.25" customHeight="1" x14ac:dyDescent="0.25">
      <c r="A15" s="969"/>
      <c r="B15" s="969"/>
      <c r="C15" s="969"/>
      <c r="D15" s="969"/>
      <c r="E15" s="969"/>
      <c r="F15" s="969"/>
      <c r="G15" s="969"/>
      <c r="H15" s="969"/>
      <c r="I15" s="969"/>
      <c r="J15" s="969"/>
      <c r="K15" s="969"/>
      <c r="L15" s="969"/>
      <c r="M15" s="969"/>
      <c r="N15" s="969"/>
      <c r="O15" s="46"/>
    </row>
    <row r="16" spans="1:23" ht="17.25" customHeight="1" x14ac:dyDescent="0.3">
      <c r="A16" s="969"/>
      <c r="B16" s="959" t="s">
        <v>400</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25">
      <c r="A17" s="969"/>
      <c r="B17" s="156" t="s">
        <v>1405</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25">
      <c r="A18" s="969"/>
      <c r="B18" s="156" t="s">
        <v>1399</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25">
      <c r="A19" s="969"/>
      <c r="B19" s="156" t="s">
        <v>1400</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25">
      <c r="A20" s="969"/>
      <c r="B20" s="156" t="s">
        <v>1401</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25">
      <c r="A21" s="969"/>
      <c r="B21" s="156" t="s">
        <v>1402</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25">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1403</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25">
      <c r="A24" s="969"/>
      <c r="B24" s="1181" t="s">
        <v>1410</v>
      </c>
      <c r="C24" s="1181"/>
      <c r="D24" s="1181"/>
      <c r="E24" s="1181"/>
      <c r="F24" s="1181"/>
      <c r="G24" s="1181"/>
      <c r="H24" s="1181"/>
      <c r="I24" s="1181"/>
      <c r="J24" s="1181"/>
      <c r="K24" s="969"/>
      <c r="L24" s="969"/>
      <c r="M24" s="969"/>
      <c r="N24" s="969"/>
      <c r="O24" s="1030"/>
      <c r="P24" s="42"/>
      <c r="Q24" s="42"/>
      <c r="R24" s="42"/>
      <c r="S24" s="42"/>
      <c r="T24" s="42"/>
      <c r="U24" s="42"/>
      <c r="V24" s="42"/>
      <c r="W24" s="42"/>
    </row>
    <row r="25" spans="1:23" ht="34.5" customHeight="1" x14ac:dyDescent="0.25">
      <c r="A25" s="969"/>
      <c r="B25" s="1181" t="s">
        <v>1419</v>
      </c>
      <c r="C25" s="1181"/>
      <c r="D25" s="1181"/>
      <c r="E25" s="1181"/>
      <c r="F25" s="1181"/>
      <c r="G25" s="1181"/>
      <c r="H25" s="1181"/>
      <c r="I25" s="1181"/>
      <c r="J25" s="1181"/>
      <c r="K25" s="969"/>
      <c r="L25" s="969"/>
      <c r="M25" s="969"/>
      <c r="N25" s="969"/>
      <c r="O25" s="1030"/>
      <c r="P25" s="42"/>
      <c r="Q25" s="42"/>
      <c r="R25" s="42"/>
      <c r="S25" s="42"/>
      <c r="T25" s="42"/>
      <c r="U25" s="42"/>
      <c r="V25" s="42"/>
      <c r="W25" s="42"/>
    </row>
    <row r="26" spans="1:23" ht="15.75" customHeight="1" x14ac:dyDescent="0.25">
      <c r="A26" s="969"/>
      <c r="B26" s="970" t="s">
        <v>1421</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75" x14ac:dyDescent="0.25">
      <c r="A27" s="969"/>
      <c r="B27" s="970" t="s">
        <v>1411</v>
      </c>
      <c r="C27" s="1055"/>
      <c r="D27" s="1055"/>
      <c r="E27" s="1055"/>
      <c r="F27" s="1055"/>
      <c r="G27" s="1055"/>
      <c r="H27" s="1055"/>
      <c r="I27" s="1026" t="s">
        <v>2301</v>
      </c>
      <c r="J27" s="1055"/>
      <c r="K27" s="969"/>
      <c r="L27" s="969"/>
      <c r="M27" s="969"/>
      <c r="N27" s="969"/>
      <c r="O27" s="46"/>
    </row>
    <row r="28" spans="1:23" x14ac:dyDescent="0.25">
      <c r="A28" s="46"/>
      <c r="B28" s="52"/>
      <c r="C28" s="52"/>
      <c r="D28" s="52"/>
      <c r="E28" s="52"/>
      <c r="F28" s="52"/>
      <c r="G28" s="52"/>
      <c r="H28" s="52"/>
      <c r="I28" s="52"/>
      <c r="J28" s="52"/>
      <c r="K28" s="46"/>
      <c r="L28" s="46"/>
      <c r="M28" s="46"/>
      <c r="N28" s="969"/>
      <c r="O28" s="46"/>
    </row>
    <row r="29" spans="1:23" ht="17.25" customHeight="1" x14ac:dyDescent="0.3">
      <c r="A29" s="969"/>
      <c r="B29" s="959" t="s">
        <v>782</v>
      </c>
      <c r="C29" s="962"/>
      <c r="D29" s="150"/>
      <c r="E29" s="150"/>
      <c r="F29" s="150"/>
      <c r="G29" s="150"/>
      <c r="H29" s="150"/>
      <c r="I29" s="150"/>
      <c r="J29" s="150"/>
      <c r="K29" s="969"/>
      <c r="L29" s="969"/>
      <c r="M29" s="969"/>
      <c r="N29" s="969"/>
      <c r="O29" s="46"/>
    </row>
    <row r="30" spans="1:23" ht="17.25" customHeight="1" x14ac:dyDescent="0.25">
      <c r="A30" s="969"/>
      <c r="B30" s="151" t="s">
        <v>785</v>
      </c>
      <c r="C30" s="150"/>
      <c r="D30" s="150"/>
      <c r="E30" s="150"/>
      <c r="F30" s="150"/>
      <c r="G30" s="150"/>
      <c r="H30" s="150"/>
      <c r="I30" s="150"/>
      <c r="J30" s="150"/>
      <c r="K30" s="969"/>
      <c r="L30" s="969"/>
      <c r="M30" s="969"/>
      <c r="N30" s="969"/>
      <c r="O30" s="46"/>
    </row>
    <row r="31" spans="1:23" ht="45" customHeight="1" x14ac:dyDescent="0.25">
      <c r="A31" s="969"/>
      <c r="B31" s="1182" t="s">
        <v>1404</v>
      </c>
      <c r="C31" s="1182"/>
      <c r="D31" s="1182"/>
      <c r="E31" s="1182"/>
      <c r="F31" s="1182"/>
      <c r="G31" s="1182"/>
      <c r="H31" s="1182"/>
      <c r="I31" s="1182"/>
      <c r="J31" s="1182"/>
      <c r="K31" s="969"/>
      <c r="L31" s="969"/>
      <c r="M31" s="969"/>
      <c r="N31" s="969"/>
      <c r="O31" s="46"/>
    </row>
    <row r="32" spans="1:23" ht="17.25" customHeight="1" x14ac:dyDescent="0.25">
      <c r="A32" s="969"/>
      <c r="B32" s="969"/>
      <c r="C32" s="56"/>
      <c r="D32" s="969"/>
      <c r="E32" s="969"/>
      <c r="F32" s="969"/>
      <c r="G32" s="969"/>
      <c r="H32" s="969"/>
      <c r="I32" s="969"/>
      <c r="J32" s="969"/>
      <c r="K32" s="969"/>
      <c r="L32" s="969"/>
      <c r="M32" s="969"/>
      <c r="N32" s="969"/>
      <c r="O32" s="46"/>
    </row>
    <row r="33" spans="1:15" ht="24.75" customHeight="1" x14ac:dyDescent="0.25">
      <c r="A33" s="969"/>
      <c r="B33" s="969"/>
      <c r="C33" s="56"/>
      <c r="D33" s="969"/>
      <c r="E33" s="969"/>
      <c r="F33" s="969"/>
      <c r="G33" s="969"/>
      <c r="H33" s="969"/>
      <c r="I33" s="969"/>
      <c r="J33" s="969"/>
      <c r="K33" s="969"/>
      <c r="L33" s="969"/>
      <c r="M33" s="969"/>
      <c r="N33" s="969"/>
      <c r="O33" s="46"/>
    </row>
    <row r="34" spans="1:15" ht="15.75" x14ac:dyDescent="0.25">
      <c r="A34" s="969"/>
      <c r="B34" s="969"/>
      <c r="C34" s="301" t="s">
        <v>783</v>
      </c>
      <c r="D34" s="301" t="s">
        <v>784</v>
      </c>
      <c r="E34" s="1057" t="s">
        <v>2243</v>
      </c>
      <c r="F34" s="1057" t="s">
        <v>1867</v>
      </c>
      <c r="G34" s="969"/>
      <c r="H34" s="969"/>
      <c r="I34" s="969"/>
      <c r="J34" s="969"/>
      <c r="K34" s="969"/>
      <c r="L34" s="969"/>
      <c r="M34" s="969"/>
      <c r="N34" s="969" t="s">
        <v>401</v>
      </c>
      <c r="O34" s="46"/>
    </row>
    <row r="35" spans="1:15" x14ac:dyDescent="0.25">
      <c r="A35" s="969"/>
      <c r="B35" s="969"/>
      <c r="C35" s="302" t="s">
        <v>1049</v>
      </c>
      <c r="D35" s="1109">
        <f>ValidationData!G1</f>
        <v>0</v>
      </c>
      <c r="E35" s="1111" t="s">
        <v>2244</v>
      </c>
      <c r="F35" s="1058"/>
      <c r="G35" s="969"/>
      <c r="H35" s="969"/>
      <c r="I35" s="969"/>
      <c r="J35" s="969"/>
      <c r="K35" s="969"/>
      <c r="L35" s="969"/>
      <c r="M35" s="969"/>
      <c r="N35" s="969"/>
      <c r="O35" s="46"/>
    </row>
    <row r="36" spans="1:15" x14ac:dyDescent="0.25">
      <c r="A36" s="969"/>
      <c r="B36" s="969"/>
      <c r="C36" s="302" t="s">
        <v>1050</v>
      </c>
      <c r="D36" s="1109">
        <f>ValidationData!O1</f>
        <v>0</v>
      </c>
      <c r="E36" s="1111" t="s">
        <v>2244</v>
      </c>
      <c r="F36" s="1058"/>
      <c r="G36" s="969"/>
      <c r="H36" s="969"/>
      <c r="I36" s="969"/>
      <c r="J36" s="969"/>
      <c r="K36" s="969"/>
      <c r="L36" s="969"/>
      <c r="M36" s="969"/>
      <c r="N36" s="969"/>
      <c r="O36" s="46"/>
    </row>
    <row r="37" spans="1:15" x14ac:dyDescent="0.25">
      <c r="A37" s="969"/>
      <c r="B37" s="969"/>
      <c r="C37" s="302" t="s">
        <v>214</v>
      </c>
      <c r="D37" s="1109">
        <f>ValidationData!W1</f>
        <v>0</v>
      </c>
      <c r="E37" s="1111" t="s">
        <v>2244</v>
      </c>
      <c r="F37" s="1058"/>
      <c r="G37" s="969"/>
      <c r="H37" s="969"/>
      <c r="I37" s="969"/>
      <c r="J37" s="969"/>
      <c r="K37" s="969"/>
      <c r="L37" s="969"/>
      <c r="M37" s="969"/>
      <c r="N37" s="969"/>
      <c r="O37" s="46"/>
    </row>
    <row r="38" spans="1:15" x14ac:dyDescent="0.25">
      <c r="A38" s="969"/>
      <c r="B38" s="969"/>
      <c r="C38" s="302" t="s">
        <v>226</v>
      </c>
      <c r="D38" s="1109">
        <f>ValidationData!AE1</f>
        <v>0</v>
      </c>
      <c r="E38" s="1111" t="s">
        <v>2244</v>
      </c>
      <c r="F38" s="1058"/>
      <c r="G38" s="969"/>
      <c r="H38" s="969"/>
      <c r="I38" s="969"/>
      <c r="J38" s="969"/>
      <c r="K38" s="969"/>
      <c r="L38" s="969"/>
      <c r="M38" s="969"/>
      <c r="N38" s="969"/>
      <c r="O38" s="46"/>
    </row>
    <row r="39" spans="1:15" x14ac:dyDescent="0.25">
      <c r="A39" s="969"/>
      <c r="B39" s="969"/>
      <c r="C39" s="302" t="s">
        <v>228</v>
      </c>
      <c r="D39" s="1109">
        <f>ValidationData!AM1</f>
        <v>0</v>
      </c>
      <c r="E39" s="1111" t="s">
        <v>2244</v>
      </c>
      <c r="F39" s="1058"/>
      <c r="G39" s="969"/>
      <c r="H39" s="969"/>
      <c r="I39" s="969"/>
      <c r="J39" s="969"/>
      <c r="K39" s="969"/>
      <c r="L39" s="969"/>
      <c r="M39" s="969"/>
      <c r="N39" s="969"/>
      <c r="O39" s="46"/>
    </row>
    <row r="40" spans="1:15" x14ac:dyDescent="0.25">
      <c r="A40" s="969"/>
      <c r="B40" s="969"/>
      <c r="C40" s="302" t="s">
        <v>542</v>
      </c>
      <c r="D40" s="1109">
        <f>ValidationData!AU1</f>
        <v>0</v>
      </c>
      <c r="E40" s="1111" t="s">
        <v>2244</v>
      </c>
      <c r="F40" s="1058"/>
      <c r="G40" s="969"/>
      <c r="H40" s="969"/>
      <c r="I40" s="969"/>
      <c r="J40" s="969"/>
      <c r="K40" s="969"/>
      <c r="L40" s="969"/>
      <c r="M40" s="969"/>
      <c r="N40" s="969"/>
      <c r="O40" s="46"/>
    </row>
    <row r="41" spans="1:15" x14ac:dyDescent="0.25">
      <c r="A41" s="969"/>
      <c r="B41" s="969"/>
      <c r="C41" s="303" t="s">
        <v>506</v>
      </c>
      <c r="D41" s="1109">
        <f>ValidationData!BC1</f>
        <v>0</v>
      </c>
      <c r="E41" s="1111" t="s">
        <v>2244</v>
      </c>
      <c r="F41" s="1058"/>
      <c r="G41" s="969"/>
      <c r="H41" s="969"/>
      <c r="I41" s="969"/>
      <c r="J41" s="969"/>
      <c r="K41" s="969"/>
      <c r="L41" s="969"/>
      <c r="M41" s="969"/>
      <c r="N41" s="969"/>
      <c r="O41" s="46"/>
    </row>
    <row r="42" spans="1:15" x14ac:dyDescent="0.25">
      <c r="A42" s="969"/>
      <c r="B42" s="969"/>
      <c r="C42" s="303" t="s">
        <v>507</v>
      </c>
      <c r="D42" s="1109">
        <f>ValidationData!BK1</f>
        <v>0</v>
      </c>
      <c r="E42" s="1111" t="s">
        <v>2244</v>
      </c>
      <c r="F42" s="1058"/>
      <c r="G42" s="969"/>
      <c r="H42" s="969"/>
      <c r="I42" s="969"/>
      <c r="J42" s="969"/>
      <c r="K42" s="969"/>
      <c r="L42" s="969"/>
      <c r="M42" s="969"/>
      <c r="N42" s="969"/>
      <c r="O42" s="46"/>
    </row>
    <row r="43" spans="1:15" x14ac:dyDescent="0.25">
      <c r="A43" s="969"/>
      <c r="B43" s="969"/>
      <c r="C43" s="304" t="s">
        <v>599</v>
      </c>
      <c r="D43" s="1109">
        <f>ValidationData!BS1</f>
        <v>0</v>
      </c>
      <c r="E43" s="1111" t="s">
        <v>2244</v>
      </c>
      <c r="F43" s="1058" t="b">
        <v>1</v>
      </c>
      <c r="G43" s="969"/>
      <c r="H43" s="969"/>
      <c r="I43" s="969"/>
      <c r="J43" s="969"/>
      <c r="K43" s="969"/>
      <c r="L43" s="969"/>
      <c r="M43" s="969"/>
      <c r="N43" s="969"/>
      <c r="O43" s="46"/>
    </row>
    <row r="44" spans="1:15" x14ac:dyDescent="0.25">
      <c r="A44" s="969"/>
      <c r="B44" s="969"/>
      <c r="C44" s="304" t="s">
        <v>600</v>
      </c>
      <c r="D44" s="1109">
        <f>ValidationData!CA1</f>
        <v>0</v>
      </c>
      <c r="E44" s="1111" t="s">
        <v>2244</v>
      </c>
      <c r="F44" s="1058" t="b">
        <v>1</v>
      </c>
      <c r="G44" s="969"/>
      <c r="H44" s="969"/>
      <c r="I44" s="969"/>
      <c r="J44" s="969"/>
      <c r="K44" s="969"/>
      <c r="L44" s="969"/>
      <c r="M44" s="969"/>
      <c r="N44" s="969"/>
      <c r="O44" s="46"/>
    </row>
    <row r="45" spans="1:15" x14ac:dyDescent="0.25">
      <c r="A45" s="969"/>
      <c r="B45" s="969"/>
      <c r="C45" s="304" t="s">
        <v>601</v>
      </c>
      <c r="D45" s="1109">
        <f>ValidationData!CI1</f>
        <v>0</v>
      </c>
      <c r="E45" s="1111" t="s">
        <v>2244</v>
      </c>
      <c r="F45" s="1058" t="b">
        <v>1</v>
      </c>
      <c r="G45" s="969"/>
      <c r="H45" s="969"/>
      <c r="I45" s="969"/>
      <c r="J45" s="969"/>
      <c r="K45" s="969"/>
      <c r="L45" s="969"/>
      <c r="M45" s="969"/>
      <c r="N45" s="969"/>
      <c r="O45" s="46"/>
    </row>
    <row r="46" spans="1:15" x14ac:dyDescent="0.25">
      <c r="A46" s="969"/>
      <c r="B46" s="969"/>
      <c r="C46" s="304" t="s">
        <v>602</v>
      </c>
      <c r="D46" s="1109">
        <f>ValidationData!CQ1</f>
        <v>0</v>
      </c>
      <c r="E46" s="1111" t="s">
        <v>2244</v>
      </c>
      <c r="F46" s="1058" t="b">
        <v>1</v>
      </c>
      <c r="G46" s="969"/>
      <c r="H46" s="969"/>
      <c r="I46" s="969"/>
      <c r="J46" s="969"/>
      <c r="K46" s="969"/>
      <c r="L46" s="969"/>
      <c r="M46" s="969"/>
      <c r="N46" s="969"/>
      <c r="O46" s="46"/>
    </row>
    <row r="47" spans="1:15" x14ac:dyDescent="0.25">
      <c r="A47" s="969"/>
      <c r="B47" s="969"/>
      <c r="C47" s="304" t="s">
        <v>603</v>
      </c>
      <c r="D47" s="1109">
        <f>ValidationData!CY1</f>
        <v>0</v>
      </c>
      <c r="E47" s="1111" t="s">
        <v>2244</v>
      </c>
      <c r="F47" s="1058" t="b">
        <v>1</v>
      </c>
      <c r="G47" s="969"/>
      <c r="H47" s="969"/>
      <c r="I47" s="969"/>
      <c r="J47" s="969"/>
      <c r="K47" s="969"/>
      <c r="L47" s="969"/>
      <c r="M47" s="969"/>
      <c r="N47" s="969"/>
      <c r="O47" s="46"/>
    </row>
    <row r="48" spans="1:15" x14ac:dyDescent="0.25">
      <c r="A48" s="969"/>
      <c r="B48" s="969"/>
      <c r="C48" s="304" t="s">
        <v>604</v>
      </c>
      <c r="D48" s="1112">
        <f>ValidationData!DG1</f>
        <v>0</v>
      </c>
      <c r="E48" s="1111" t="s">
        <v>2244</v>
      </c>
      <c r="F48" s="1058" t="b">
        <v>1</v>
      </c>
      <c r="G48" s="969"/>
      <c r="H48" s="969"/>
      <c r="I48" s="969"/>
      <c r="J48" s="969"/>
      <c r="K48" s="969"/>
      <c r="L48" s="969"/>
      <c r="M48" s="969"/>
      <c r="N48" s="969"/>
      <c r="O48" s="46"/>
    </row>
    <row r="49" spans="1:15" x14ac:dyDescent="0.25">
      <c r="A49" s="969"/>
      <c r="B49" s="969"/>
      <c r="C49" s="305" t="s">
        <v>605</v>
      </c>
      <c r="D49" s="1112">
        <f>ValidationData!DO1</f>
        <v>0</v>
      </c>
      <c r="E49" s="1111" t="s">
        <v>2244</v>
      </c>
      <c r="F49" s="1058" t="b">
        <v>1</v>
      </c>
      <c r="G49" s="969"/>
      <c r="H49" s="969"/>
      <c r="I49" s="969"/>
      <c r="J49" s="969"/>
      <c r="K49" s="969"/>
      <c r="L49" s="969"/>
      <c r="M49" s="969"/>
      <c r="N49" s="969"/>
      <c r="O49" s="46"/>
    </row>
    <row r="50" spans="1:15" x14ac:dyDescent="0.25">
      <c r="A50" s="969"/>
      <c r="B50" s="969"/>
      <c r="C50" s="305" t="s">
        <v>606</v>
      </c>
      <c r="D50" s="1109">
        <f>ValidationData!DW1</f>
        <v>0</v>
      </c>
      <c r="E50" s="1111" t="s">
        <v>2244</v>
      </c>
      <c r="F50" s="1058" t="b">
        <v>1</v>
      </c>
      <c r="G50" s="969"/>
      <c r="H50" s="969"/>
      <c r="I50" s="969"/>
      <c r="J50" s="969"/>
      <c r="K50" s="969"/>
      <c r="L50" s="969"/>
      <c r="M50" s="969"/>
      <c r="N50" s="969"/>
      <c r="O50" s="46"/>
    </row>
    <row r="51" spans="1:15" x14ac:dyDescent="0.25">
      <c r="A51" s="969"/>
      <c r="B51" s="969"/>
      <c r="C51" s="305" t="s">
        <v>607</v>
      </c>
      <c r="D51" s="1109">
        <f>ValidationData!EE1</f>
        <v>0</v>
      </c>
      <c r="E51" s="1111" t="s">
        <v>2244</v>
      </c>
      <c r="F51" s="1058" t="b">
        <v>1</v>
      </c>
      <c r="G51" s="969"/>
      <c r="H51" s="969"/>
      <c r="I51" s="969"/>
      <c r="J51" s="969"/>
      <c r="K51" s="969"/>
      <c r="L51" s="969"/>
      <c r="M51" s="969"/>
      <c r="N51" s="969"/>
      <c r="O51" s="46"/>
    </row>
    <row r="52" spans="1:15" x14ac:dyDescent="0.25">
      <c r="A52" s="969"/>
      <c r="B52" s="969"/>
      <c r="C52" s="305" t="s">
        <v>608</v>
      </c>
      <c r="D52" s="1109">
        <f>ValidationData!EM1</f>
        <v>0</v>
      </c>
      <c r="E52" s="1111" t="s">
        <v>2244</v>
      </c>
      <c r="F52" s="1058" t="b">
        <v>1</v>
      </c>
      <c r="G52" s="969"/>
      <c r="H52" s="969" t="s">
        <v>401</v>
      </c>
      <c r="I52" s="969"/>
      <c r="J52" s="969"/>
      <c r="K52" s="969"/>
      <c r="L52" s="969"/>
      <c r="M52" s="969"/>
      <c r="N52" s="969"/>
      <c r="O52" s="46"/>
    </row>
    <row r="53" spans="1:15" x14ac:dyDescent="0.25">
      <c r="A53" s="969"/>
      <c r="B53" s="969"/>
      <c r="C53" s="305" t="s">
        <v>2302</v>
      </c>
      <c r="D53" s="1109">
        <f>ValidationData!EU1</f>
        <v>0</v>
      </c>
      <c r="E53" s="1111" t="s">
        <v>2244</v>
      </c>
      <c r="F53" s="1058" t="b">
        <v>1</v>
      </c>
      <c r="G53" s="969"/>
      <c r="H53" s="969"/>
      <c r="I53" s="969"/>
      <c r="J53" s="969"/>
      <c r="K53" s="969"/>
      <c r="L53" s="969"/>
      <c r="M53" s="969"/>
      <c r="N53" s="969"/>
      <c r="O53" s="46"/>
    </row>
    <row r="54" spans="1:15" x14ac:dyDescent="0.25">
      <c r="A54" s="969"/>
      <c r="B54" s="969"/>
      <c r="C54" s="305" t="s">
        <v>609</v>
      </c>
      <c r="D54" s="1109">
        <f>ValidationData!FC1</f>
        <v>0</v>
      </c>
      <c r="E54" s="1111" t="s">
        <v>2244</v>
      </c>
      <c r="F54" s="1058" t="b">
        <v>1</v>
      </c>
      <c r="G54" s="969"/>
      <c r="H54" s="969"/>
      <c r="I54" s="969"/>
      <c r="J54" s="969"/>
      <c r="K54" s="969"/>
      <c r="L54" s="969"/>
      <c r="M54" s="969"/>
      <c r="N54" s="969"/>
      <c r="O54" s="46"/>
    </row>
    <row r="55" spans="1:15" x14ac:dyDescent="0.25">
      <c r="A55" s="969"/>
      <c r="B55" s="969"/>
      <c r="C55" s="305" t="s">
        <v>1853</v>
      </c>
      <c r="D55" s="1109">
        <f>ValidationData!FK1</f>
        <v>0</v>
      </c>
      <c r="E55" s="1111" t="s">
        <v>2244</v>
      </c>
      <c r="F55" s="1058" t="b">
        <v>1</v>
      </c>
      <c r="G55" s="969"/>
      <c r="H55" s="969"/>
      <c r="I55" s="969"/>
      <c r="J55" s="969"/>
      <c r="K55" s="969"/>
      <c r="L55" s="969"/>
      <c r="M55" s="969"/>
      <c r="N55" s="969"/>
      <c r="O55" s="46"/>
    </row>
    <row r="56" spans="1:15" x14ac:dyDescent="0.25">
      <c r="A56" s="969"/>
      <c r="B56" s="969"/>
      <c r="C56" s="305" t="s">
        <v>1892</v>
      </c>
      <c r="D56" s="1109">
        <f>ValidationData!FS1</f>
        <v>0</v>
      </c>
      <c r="E56" s="1111" t="s">
        <v>2244</v>
      </c>
      <c r="F56" s="1058" t="b">
        <v>1</v>
      </c>
      <c r="G56" s="969"/>
      <c r="H56" s="969"/>
      <c r="I56" s="969"/>
      <c r="J56" s="969"/>
      <c r="K56" s="969"/>
      <c r="L56" s="969"/>
      <c r="M56" s="969"/>
      <c r="N56" s="969"/>
      <c r="O56" s="46"/>
    </row>
    <row r="57" spans="1:15" x14ac:dyDescent="0.25">
      <c r="A57" s="969"/>
      <c r="B57" s="969"/>
      <c r="C57" s="305" t="s">
        <v>610</v>
      </c>
      <c r="D57" s="1109">
        <f>ValidationData!GA1</f>
        <v>0</v>
      </c>
      <c r="E57" s="1111" t="s">
        <v>2244</v>
      </c>
      <c r="F57" s="1058" t="b">
        <v>1</v>
      </c>
      <c r="G57" s="969"/>
      <c r="H57" s="969"/>
      <c r="I57" s="969"/>
      <c r="J57" s="969"/>
      <c r="K57" s="969"/>
      <c r="L57" s="969"/>
      <c r="M57" s="969"/>
      <c r="N57" s="969"/>
      <c r="O57" s="46"/>
    </row>
    <row r="58" spans="1:15" x14ac:dyDescent="0.25">
      <c r="A58" s="969"/>
      <c r="B58" s="969"/>
      <c r="C58" s="305" t="s">
        <v>611</v>
      </c>
      <c r="D58" s="1109">
        <f>ValidationData!GI1</f>
        <v>0</v>
      </c>
      <c r="E58" s="1111" t="s">
        <v>2244</v>
      </c>
      <c r="F58" s="1058" t="b">
        <v>1</v>
      </c>
      <c r="G58" s="969"/>
      <c r="H58" s="969"/>
      <c r="I58" s="969"/>
      <c r="J58" s="969"/>
      <c r="K58" s="969"/>
      <c r="L58" s="969"/>
      <c r="M58" s="969"/>
      <c r="N58" s="969"/>
      <c r="O58" s="46"/>
    </row>
    <row r="59" spans="1:15" x14ac:dyDescent="0.25">
      <c r="A59" s="969"/>
      <c r="B59" s="969"/>
      <c r="C59" s="305" t="s">
        <v>612</v>
      </c>
      <c r="D59" s="1109">
        <f>ValidationData!GQ1</f>
        <v>0</v>
      </c>
      <c r="E59" s="1111" t="s">
        <v>2244</v>
      </c>
      <c r="F59" s="1058" t="b">
        <v>1</v>
      </c>
      <c r="G59" s="969"/>
      <c r="H59" s="969"/>
      <c r="I59" s="969"/>
      <c r="J59" s="969"/>
      <c r="K59" s="969"/>
      <c r="L59" s="969"/>
      <c r="M59" s="969"/>
      <c r="N59" s="969"/>
      <c r="O59" s="46"/>
    </row>
    <row r="60" spans="1:15" x14ac:dyDescent="0.25">
      <c r="A60" s="969"/>
      <c r="B60" s="969"/>
      <c r="C60" s="305" t="s">
        <v>613</v>
      </c>
      <c r="D60" s="1109">
        <f>ValidationData!GY1</f>
        <v>0</v>
      </c>
      <c r="E60" s="1111" t="s">
        <v>2244</v>
      </c>
      <c r="F60" s="1058" t="b">
        <v>1</v>
      </c>
      <c r="G60" s="969"/>
      <c r="H60" s="969"/>
      <c r="I60" s="969"/>
      <c r="J60" s="969"/>
      <c r="K60" s="969"/>
      <c r="L60" s="969"/>
      <c r="M60" s="969"/>
      <c r="N60" s="969"/>
      <c r="O60" s="46"/>
    </row>
    <row r="61" spans="1:15" x14ac:dyDescent="0.25">
      <c r="A61" s="969"/>
      <c r="B61" s="969"/>
      <c r="C61" s="1059" t="s">
        <v>614</v>
      </c>
      <c r="D61" s="1110">
        <f>ValidationData!HG1</f>
        <v>0</v>
      </c>
      <c r="E61" s="1111" t="s">
        <v>2244</v>
      </c>
      <c r="F61" s="1058" t="b">
        <v>1</v>
      </c>
      <c r="G61" s="969"/>
      <c r="H61" s="969"/>
      <c r="I61" s="969"/>
      <c r="J61" s="969"/>
      <c r="K61" s="969"/>
      <c r="L61" s="969"/>
      <c r="M61" s="969"/>
      <c r="N61" s="969"/>
      <c r="O61" s="46"/>
    </row>
    <row r="62" spans="1:15" x14ac:dyDescent="0.25">
      <c r="A62" s="969"/>
      <c r="B62" s="969"/>
      <c r="C62" s="1060" t="s">
        <v>538</v>
      </c>
      <c r="D62" s="1113">
        <f>ValidationData!HO1</f>
        <v>0</v>
      </c>
      <c r="E62" s="1111" t="s">
        <v>2244</v>
      </c>
      <c r="F62" s="1058"/>
      <c r="G62" s="969"/>
      <c r="H62" s="969"/>
      <c r="I62" s="969"/>
      <c r="J62" s="969"/>
      <c r="K62" s="969"/>
      <c r="L62" s="969"/>
      <c r="M62" s="969"/>
      <c r="N62" s="969"/>
      <c r="O62" s="46"/>
    </row>
    <row r="63" spans="1:15" x14ac:dyDescent="0.25">
      <c r="A63" s="969"/>
      <c r="B63" s="969"/>
      <c r="C63" s="969"/>
      <c r="D63" s="969"/>
      <c r="E63" s="969"/>
      <c r="F63" s="969"/>
      <c r="G63" s="969"/>
      <c r="H63" s="969"/>
      <c r="I63" s="969"/>
      <c r="J63" s="969"/>
      <c r="K63" s="969"/>
      <c r="L63" s="969"/>
      <c r="M63" s="969"/>
      <c r="N63" s="969"/>
      <c r="O63" s="46"/>
    </row>
    <row r="64" spans="1:15" ht="15.75" x14ac:dyDescent="0.25">
      <c r="A64" s="969"/>
      <c r="B64" s="969"/>
      <c r="C64" s="969"/>
      <c r="D64" s="969"/>
      <c r="E64" s="968"/>
      <c r="F64" s="969"/>
      <c r="G64" s="969"/>
      <c r="H64" s="969"/>
      <c r="I64" s="969"/>
      <c r="J64" s="969"/>
      <c r="K64" s="969"/>
      <c r="L64" s="969"/>
      <c r="M64" s="969"/>
      <c r="N64" s="969"/>
      <c r="O64" s="46"/>
    </row>
    <row r="65" spans="1:15" ht="15.75" customHeight="1" x14ac:dyDescent="0.25">
      <c r="A65" s="969"/>
      <c r="B65" s="46"/>
      <c r="C65" s="963"/>
      <c r="D65" s="963"/>
      <c r="E65" s="969"/>
      <c r="F65" s="963"/>
      <c r="G65" s="963"/>
      <c r="H65" s="46"/>
      <c r="I65" s="963"/>
      <c r="J65" s="963"/>
      <c r="K65" s="963"/>
      <c r="L65" s="969"/>
      <c r="M65" s="969"/>
      <c r="N65" s="969"/>
      <c r="O65" s="46"/>
    </row>
    <row r="66" spans="1:15" ht="15.75" customHeight="1" x14ac:dyDescent="0.25">
      <c r="A66" s="969"/>
      <c r="B66" s="1031" t="s">
        <v>2236</v>
      </c>
      <c r="C66" s="1056"/>
      <c r="D66" s="1056"/>
      <c r="E66" s="1056"/>
      <c r="F66" s="1056"/>
      <c r="G66" s="969"/>
      <c r="H66" s="969"/>
      <c r="I66" s="969"/>
      <c r="J66" s="969"/>
      <c r="K66" s="969"/>
      <c r="L66" s="969"/>
      <c r="M66" s="969"/>
      <c r="N66" s="969"/>
      <c r="O66" s="46"/>
    </row>
    <row r="67" spans="1:15" ht="15.75" customHeight="1" x14ac:dyDescent="0.25">
      <c r="A67" s="969"/>
      <c r="B67" s="1028"/>
      <c r="C67" s="1056"/>
      <c r="D67" s="1056"/>
      <c r="E67" s="1056"/>
      <c r="F67" s="1056"/>
      <c r="G67" s="969"/>
      <c r="H67" s="969"/>
      <c r="I67" s="969"/>
      <c r="J67" s="969"/>
      <c r="K67" s="969"/>
      <c r="L67" s="969"/>
      <c r="M67" s="969"/>
      <c r="N67" s="969"/>
      <c r="O67" s="46"/>
    </row>
    <row r="68" spans="1:15" ht="15.75" customHeight="1" x14ac:dyDescent="0.25">
      <c r="A68" s="969"/>
      <c r="B68" s="1028"/>
      <c r="C68" s="1056"/>
      <c r="D68" s="1056"/>
      <c r="E68" s="1056"/>
      <c r="F68" s="1056"/>
      <c r="G68" s="969"/>
      <c r="H68" s="969"/>
      <c r="I68" s="969"/>
      <c r="J68" s="969"/>
      <c r="K68" s="969"/>
      <c r="L68" s="969"/>
      <c r="M68" s="969"/>
      <c r="N68" s="969"/>
      <c r="O68" s="46"/>
    </row>
    <row r="69" spans="1:15" ht="16.5" x14ac:dyDescent="0.25">
      <c r="B69" s="1027"/>
    </row>
    <row r="70" spans="1:15" ht="16.5" x14ac:dyDescent="0.25">
      <c r="B70" s="1027"/>
    </row>
    <row r="71" spans="1:15" ht="16.5" x14ac:dyDescent="0.25">
      <c r="B71" s="1027"/>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62</xdr:row>
                    <xdr:rowOff>95250</xdr:rowOff>
                  </from>
                  <to>
                    <xdr:col>2</xdr:col>
                    <xdr:colOff>1123950</xdr:colOff>
                    <xdr:row>64</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371475</xdr:colOff>
                    <xdr:row>51</xdr:row>
                    <xdr:rowOff>9525</xdr:rowOff>
                  </from>
                  <to>
                    <xdr:col>5</xdr:col>
                    <xdr:colOff>647700</xdr:colOff>
                    <xdr:row>51</xdr:row>
                    <xdr:rowOff>171450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371475</xdr:colOff>
                    <xdr:row>52</xdr:row>
                    <xdr:rowOff>9525</xdr:rowOff>
                  </from>
                  <to>
                    <xdr:col>5</xdr:col>
                    <xdr:colOff>647700</xdr:colOff>
                    <xdr:row>52</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B29" sqref="A29:XFD29"/>
    </sheetView>
  </sheetViews>
  <sheetFormatPr defaultColWidth="9.140625" defaultRowHeight="12.75" x14ac:dyDescent="0.2"/>
  <cols>
    <col min="1" max="1" width="29.28515625" style="322" customWidth="1"/>
    <col min="2" max="2" width="102.28515625" style="322" customWidth="1"/>
    <col min="3" max="3" width="18.42578125" style="322" customWidth="1"/>
    <col min="4" max="4" width="4.7109375" style="322" customWidth="1"/>
    <col min="5" max="16384" width="9.140625" style="321"/>
  </cols>
  <sheetData>
    <row r="1" spans="1:4" x14ac:dyDescent="0.2">
      <c r="A1" s="859" t="s">
        <v>402</v>
      </c>
    </row>
    <row r="2" spans="1:4" x14ac:dyDescent="0.2">
      <c r="A2" s="859" t="s">
        <v>555</v>
      </c>
    </row>
    <row r="3" spans="1:4" x14ac:dyDescent="0.2">
      <c r="A3" s="859" t="s">
        <v>1320</v>
      </c>
    </row>
    <row r="5" spans="1:4" x14ac:dyDescent="0.2">
      <c r="A5" s="860" t="s">
        <v>403</v>
      </c>
      <c r="B5" s="861" t="s">
        <v>404</v>
      </c>
      <c r="C5" s="861" t="s">
        <v>405</v>
      </c>
      <c r="D5" s="859"/>
    </row>
    <row r="6" spans="1:4" ht="12.75" customHeight="1" x14ac:dyDescent="0.2">
      <c r="A6" s="859" t="s">
        <v>472</v>
      </c>
      <c r="B6" s="859"/>
      <c r="C6" s="859" t="s">
        <v>406</v>
      </c>
      <c r="D6" s="859"/>
    </row>
    <row r="7" spans="1:4" ht="12.75" customHeight="1" x14ac:dyDescent="0.2">
      <c r="A7" s="859" t="s">
        <v>540</v>
      </c>
      <c r="B7" s="859"/>
      <c r="C7" s="859" t="s">
        <v>406</v>
      </c>
      <c r="D7" s="859"/>
    </row>
    <row r="8" spans="1:4" ht="12.75" customHeight="1" x14ac:dyDescent="0.2">
      <c r="A8" s="859" t="s">
        <v>541</v>
      </c>
      <c r="B8" s="859" t="s">
        <v>437</v>
      </c>
      <c r="C8" s="859" t="s">
        <v>407</v>
      </c>
      <c r="D8" s="859"/>
    </row>
    <row r="9" spans="1:4" ht="12.75" customHeight="1" x14ac:dyDescent="0.2">
      <c r="A9" s="74" t="s">
        <v>1049</v>
      </c>
      <c r="B9" s="859" t="s">
        <v>1051</v>
      </c>
      <c r="C9" s="859" t="s">
        <v>407</v>
      </c>
      <c r="D9" s="859"/>
    </row>
    <row r="10" spans="1:4" ht="12.75" customHeight="1" x14ac:dyDescent="0.2">
      <c r="A10" s="74" t="s">
        <v>1050</v>
      </c>
      <c r="B10" s="859" t="s">
        <v>1052</v>
      </c>
      <c r="C10" s="859" t="s">
        <v>407</v>
      </c>
      <c r="D10" s="859"/>
    </row>
    <row r="11" spans="1:4" ht="12.75" customHeight="1" x14ac:dyDescent="0.2">
      <c r="A11" s="74" t="s">
        <v>214</v>
      </c>
      <c r="B11" s="859" t="s">
        <v>408</v>
      </c>
      <c r="C11" s="859" t="s">
        <v>407</v>
      </c>
      <c r="D11" s="859"/>
    </row>
    <row r="12" spans="1:4" ht="12.75" customHeight="1" x14ac:dyDescent="0.2">
      <c r="A12" s="74" t="s">
        <v>226</v>
      </c>
      <c r="B12" s="859" t="s">
        <v>409</v>
      </c>
      <c r="C12" s="859" t="s">
        <v>407</v>
      </c>
      <c r="D12" s="859"/>
    </row>
    <row r="13" spans="1:4" ht="12.75" customHeight="1" x14ac:dyDescent="0.2">
      <c r="A13" s="74" t="s">
        <v>228</v>
      </c>
      <c r="B13" s="859" t="s">
        <v>410</v>
      </c>
      <c r="C13" s="859" t="s">
        <v>407</v>
      </c>
      <c r="D13" s="859"/>
    </row>
    <row r="14" spans="1:4" ht="12.75" customHeight="1" x14ac:dyDescent="0.2">
      <c r="A14" s="74" t="s">
        <v>542</v>
      </c>
      <c r="B14" s="859" t="s">
        <v>411</v>
      </c>
      <c r="C14" s="859" t="s">
        <v>407</v>
      </c>
      <c r="D14" s="859"/>
    </row>
    <row r="15" spans="1:4" ht="12.75" customHeight="1" x14ac:dyDescent="0.2">
      <c r="A15" s="74" t="s">
        <v>412</v>
      </c>
      <c r="B15" s="859" t="s">
        <v>413</v>
      </c>
      <c r="C15" s="859" t="s">
        <v>407</v>
      </c>
      <c r="D15" s="859"/>
    </row>
    <row r="16" spans="1:4" ht="12.75" customHeight="1" x14ac:dyDescent="0.2">
      <c r="A16" s="74" t="s">
        <v>536</v>
      </c>
      <c r="B16" s="859" t="s">
        <v>537</v>
      </c>
      <c r="C16" s="859" t="s">
        <v>407</v>
      </c>
      <c r="D16" s="859"/>
    </row>
    <row r="17" spans="1:4" ht="12.75" customHeight="1" x14ac:dyDescent="0.2">
      <c r="A17" s="75" t="s">
        <v>506</v>
      </c>
      <c r="B17" s="859" t="s">
        <v>414</v>
      </c>
      <c r="C17" s="859" t="s">
        <v>484</v>
      </c>
      <c r="D17" s="859"/>
    </row>
    <row r="18" spans="1:4" ht="12.75" customHeight="1" x14ac:dyDescent="0.2">
      <c r="A18" s="75" t="s">
        <v>507</v>
      </c>
      <c r="B18" s="859" t="s">
        <v>415</v>
      </c>
      <c r="C18" s="859" t="s">
        <v>484</v>
      </c>
      <c r="D18" s="859"/>
    </row>
    <row r="19" spans="1:4" ht="12.75" customHeight="1" x14ac:dyDescent="0.2">
      <c r="A19" s="100" t="s">
        <v>599</v>
      </c>
      <c r="B19" s="859" t="s">
        <v>416</v>
      </c>
      <c r="C19" s="859" t="s">
        <v>417</v>
      </c>
      <c r="D19" s="859"/>
    </row>
    <row r="20" spans="1:4" ht="12.75" customHeight="1" x14ac:dyDescent="0.2">
      <c r="A20" s="100" t="s">
        <v>600</v>
      </c>
      <c r="B20" s="859" t="s">
        <v>418</v>
      </c>
      <c r="C20" s="859" t="s">
        <v>417</v>
      </c>
      <c r="D20" s="859"/>
    </row>
    <row r="21" spans="1:4" ht="12.75" customHeight="1" x14ac:dyDescent="0.2">
      <c r="A21" s="100" t="s">
        <v>601</v>
      </c>
      <c r="B21" s="859" t="s">
        <v>419</v>
      </c>
      <c r="C21" s="859" t="s">
        <v>417</v>
      </c>
      <c r="D21" s="859"/>
    </row>
    <row r="22" spans="1:4" ht="12.75" customHeight="1" x14ac:dyDescent="0.2">
      <c r="A22" s="100" t="s">
        <v>602</v>
      </c>
      <c r="B22" s="859" t="s">
        <v>485</v>
      </c>
      <c r="C22" s="859" t="s">
        <v>417</v>
      </c>
    </row>
    <row r="23" spans="1:4" ht="12.75" customHeight="1" x14ac:dyDescent="0.2">
      <c r="A23" s="100" t="s">
        <v>603</v>
      </c>
      <c r="B23" s="859" t="s">
        <v>420</v>
      </c>
      <c r="C23" s="859" t="s">
        <v>417</v>
      </c>
      <c r="D23" s="859"/>
    </row>
    <row r="24" spans="1:4" ht="12.75" customHeight="1" x14ac:dyDescent="0.2">
      <c r="A24" s="92" t="s">
        <v>604</v>
      </c>
      <c r="B24" s="859" t="s">
        <v>486</v>
      </c>
      <c r="C24" s="859" t="s">
        <v>417</v>
      </c>
    </row>
    <row r="25" spans="1:4" ht="12.75" customHeight="1" x14ac:dyDescent="0.2">
      <c r="A25" s="155" t="s">
        <v>605</v>
      </c>
      <c r="B25" s="859" t="s">
        <v>430</v>
      </c>
      <c r="C25" s="859" t="s">
        <v>422</v>
      </c>
      <c r="D25" s="859"/>
    </row>
    <row r="26" spans="1:4" ht="12.75" customHeight="1" x14ac:dyDescent="0.2">
      <c r="A26" s="155" t="s">
        <v>606</v>
      </c>
      <c r="B26" s="859" t="s">
        <v>428</v>
      </c>
      <c r="C26" s="859" t="s">
        <v>422</v>
      </c>
      <c r="D26" s="859"/>
    </row>
    <row r="27" spans="1:4" ht="12.75" customHeight="1" x14ac:dyDescent="0.2">
      <c r="A27" s="155" t="s">
        <v>607</v>
      </c>
      <c r="B27" s="859" t="s">
        <v>429</v>
      </c>
      <c r="C27" s="859" t="s">
        <v>422</v>
      </c>
      <c r="D27" s="859"/>
    </row>
    <row r="28" spans="1:4" ht="12.75" customHeight="1" x14ac:dyDescent="0.2">
      <c r="A28" s="155" t="s">
        <v>608</v>
      </c>
      <c r="B28" s="859" t="s">
        <v>431</v>
      </c>
      <c r="C28" s="859" t="s">
        <v>422</v>
      </c>
      <c r="D28" s="859"/>
    </row>
    <row r="29" spans="1:4" ht="12.75" customHeight="1" x14ac:dyDescent="0.2">
      <c r="A29" s="155" t="s">
        <v>2302</v>
      </c>
      <c r="B29" s="859" t="s">
        <v>2294</v>
      </c>
      <c r="C29" s="859" t="s">
        <v>422</v>
      </c>
      <c r="D29" s="859"/>
    </row>
    <row r="30" spans="1:4" ht="12.75" customHeight="1" x14ac:dyDescent="0.2">
      <c r="A30" s="155" t="s">
        <v>609</v>
      </c>
      <c r="B30" s="859" t="s">
        <v>427</v>
      </c>
      <c r="C30" s="859" t="s">
        <v>422</v>
      </c>
      <c r="D30" s="859"/>
    </row>
    <row r="31" spans="1:4" ht="12.75" customHeight="1" x14ac:dyDescent="0.2">
      <c r="A31" s="155" t="s">
        <v>1852</v>
      </c>
      <c r="B31" s="859" t="s">
        <v>426</v>
      </c>
      <c r="C31" s="859" t="s">
        <v>422</v>
      </c>
      <c r="D31" s="859"/>
    </row>
    <row r="32" spans="1:4" ht="12.75" customHeight="1" x14ac:dyDescent="0.2">
      <c r="A32" s="155" t="s">
        <v>1853</v>
      </c>
      <c r="B32" s="859" t="s">
        <v>425</v>
      </c>
      <c r="C32" s="859" t="s">
        <v>422</v>
      </c>
      <c r="D32" s="859"/>
    </row>
    <row r="33" spans="1:4" ht="12.75" customHeight="1" x14ac:dyDescent="0.2">
      <c r="A33" s="155" t="s">
        <v>610</v>
      </c>
      <c r="B33" s="859" t="s">
        <v>421</v>
      </c>
      <c r="C33" s="859" t="s">
        <v>422</v>
      </c>
      <c r="D33" s="859"/>
    </row>
    <row r="34" spans="1:4" ht="12.75" customHeight="1" x14ac:dyDescent="0.2">
      <c r="A34" s="155" t="s">
        <v>611</v>
      </c>
      <c r="B34" s="859" t="s">
        <v>423</v>
      </c>
      <c r="C34" s="859" t="s">
        <v>422</v>
      </c>
      <c r="D34" s="859"/>
    </row>
    <row r="35" spans="1:4" ht="12.75" customHeight="1" x14ac:dyDescent="0.2">
      <c r="A35" s="155" t="s">
        <v>612</v>
      </c>
      <c r="B35" s="859" t="s">
        <v>424</v>
      </c>
      <c r="C35" s="859" t="s">
        <v>422</v>
      </c>
      <c r="D35" s="859"/>
    </row>
    <row r="36" spans="1:4" ht="12.75" customHeight="1" x14ac:dyDescent="0.2">
      <c r="A36" s="155" t="s">
        <v>613</v>
      </c>
      <c r="B36" s="859" t="s">
        <v>518</v>
      </c>
      <c r="C36" s="859" t="s">
        <v>422</v>
      </c>
      <c r="D36" s="859"/>
    </row>
    <row r="37" spans="1:4" ht="12.75" customHeight="1" x14ac:dyDescent="0.2">
      <c r="A37" s="155" t="s">
        <v>614</v>
      </c>
      <c r="B37" s="859" t="s">
        <v>1420</v>
      </c>
      <c r="C37" s="859" t="s">
        <v>422</v>
      </c>
      <c r="D37" s="859"/>
    </row>
    <row r="38" spans="1:4" ht="12.75" customHeight="1" x14ac:dyDescent="0.2">
      <c r="A38" s="76" t="s">
        <v>538</v>
      </c>
      <c r="B38" s="859" t="s">
        <v>1871</v>
      </c>
      <c r="C38" s="859" t="s">
        <v>432</v>
      </c>
      <c r="D38" s="859"/>
    </row>
    <row r="39" spans="1:4" ht="12.75" customHeight="1" x14ac:dyDescent="0.2">
      <c r="A39" s="85" t="s">
        <v>433</v>
      </c>
      <c r="B39" s="859" t="s">
        <v>434</v>
      </c>
      <c r="C39" s="859" t="s">
        <v>435</v>
      </c>
      <c r="D39" s="859"/>
    </row>
    <row r="40" spans="1:4" ht="12.75" customHeight="1" x14ac:dyDescent="0.2">
      <c r="A40" s="85" t="s">
        <v>539</v>
      </c>
      <c r="B40" s="859" t="s">
        <v>436</v>
      </c>
      <c r="C40" s="859" t="s">
        <v>435</v>
      </c>
      <c r="D40" s="859"/>
    </row>
    <row r="41" spans="1:4" x14ac:dyDescent="0.2">
      <c r="A41" s="85" t="s">
        <v>786</v>
      </c>
      <c r="B41" s="859" t="s">
        <v>909</v>
      </c>
      <c r="C41" s="859" t="s">
        <v>435</v>
      </c>
    </row>
    <row r="42" spans="1:4" x14ac:dyDescent="0.2">
      <c r="A42" s="85" t="s">
        <v>1868</v>
      </c>
      <c r="B42" s="322" t="s">
        <v>1870</v>
      </c>
      <c r="C42" s="322" t="s">
        <v>1869</v>
      </c>
    </row>
    <row r="45" spans="1:4" s="327" customFormat="1" x14ac:dyDescent="0.2">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56" customWidth="1"/>
    <col min="2" max="2" width="102.28515625" style="856" customWidth="1"/>
    <col min="3" max="3" width="18.42578125" style="856" customWidth="1"/>
    <col min="4" max="4" width="4.7109375" style="856" customWidth="1"/>
    <col min="5" max="5" width="23.28515625" style="325" customWidth="1"/>
    <col min="6" max="16384" width="9.140625" style="325"/>
  </cols>
  <sheetData>
    <row r="1" spans="1:5" x14ac:dyDescent="0.2">
      <c r="A1" s="855" t="s">
        <v>1408</v>
      </c>
    </row>
    <row r="2" spans="1:5" x14ac:dyDescent="0.2">
      <c r="A2" s="855"/>
    </row>
    <row r="3" spans="1:5" x14ac:dyDescent="0.2">
      <c r="A3" s="1069" t="s">
        <v>1883</v>
      </c>
    </row>
    <row r="5" spans="1:5" x14ac:dyDescent="0.2">
      <c r="A5" s="854"/>
      <c r="B5" s="855"/>
      <c r="C5" s="855"/>
      <c r="D5" s="855"/>
      <c r="E5" s="857"/>
    </row>
    <row r="6" spans="1:5" x14ac:dyDescent="0.2">
      <c r="A6" s="855"/>
      <c r="B6" s="855"/>
      <c r="C6" s="855"/>
      <c r="D6" s="855"/>
    </row>
    <row r="7" spans="1:5" x14ac:dyDescent="0.2">
      <c r="A7" s="855"/>
      <c r="B7" s="855"/>
      <c r="C7" s="855"/>
      <c r="D7" s="855"/>
    </row>
    <row r="8" spans="1:5" x14ac:dyDescent="0.2">
      <c r="A8" s="76"/>
      <c r="B8" s="855"/>
      <c r="C8" s="855"/>
      <c r="D8" s="855"/>
    </row>
    <row r="9" spans="1:5" x14ac:dyDescent="0.2">
      <c r="A9" s="76"/>
      <c r="B9" s="855"/>
      <c r="C9" s="855"/>
      <c r="D9" s="855"/>
    </row>
    <row r="10" spans="1:5" x14ac:dyDescent="0.2">
      <c r="A10" s="76"/>
      <c r="B10" s="855"/>
      <c r="C10" s="855"/>
      <c r="D10" s="855"/>
    </row>
    <row r="11" spans="1:5" x14ac:dyDescent="0.2">
      <c r="A11" s="76"/>
      <c r="B11" s="855"/>
      <c r="C11" s="855"/>
      <c r="D11" s="855"/>
    </row>
    <row r="12" spans="1:5" x14ac:dyDescent="0.2">
      <c r="A12" s="76"/>
      <c r="B12" s="855"/>
      <c r="C12" s="855"/>
      <c r="D12" s="855"/>
    </row>
    <row r="13" spans="1:5" x14ac:dyDescent="0.2">
      <c r="A13" s="76"/>
      <c r="B13" s="855"/>
      <c r="C13" s="855"/>
      <c r="D13" s="855"/>
    </row>
    <row r="14" spans="1:5" x14ac:dyDescent="0.2">
      <c r="A14" s="76"/>
      <c r="B14" s="855"/>
      <c r="C14" s="855"/>
      <c r="D14" s="855"/>
    </row>
    <row r="15" spans="1:5" x14ac:dyDescent="0.2">
      <c r="A15" s="858"/>
      <c r="B15" s="855"/>
      <c r="C15" s="855"/>
      <c r="D15" s="855"/>
    </row>
    <row r="16" spans="1:5" x14ac:dyDescent="0.2">
      <c r="A16" s="858"/>
      <c r="B16" s="855"/>
      <c r="C16" s="855"/>
      <c r="D16" s="855"/>
    </row>
    <row r="17" spans="1:4" x14ac:dyDescent="0.2">
      <c r="A17" s="858"/>
      <c r="B17" s="855"/>
      <c r="C17" s="855"/>
      <c r="D17" s="855"/>
    </row>
    <row r="18" spans="1:4" x14ac:dyDescent="0.2">
      <c r="A18" s="858"/>
      <c r="B18" s="855"/>
      <c r="C18" s="855"/>
      <c r="D18" s="855"/>
    </row>
    <row r="19" spans="1:4" x14ac:dyDescent="0.2">
      <c r="A19" s="858"/>
      <c r="B19" s="855"/>
      <c r="C19" s="855"/>
      <c r="D19" s="855"/>
    </row>
    <row r="20" spans="1:4" x14ac:dyDescent="0.2">
      <c r="A20" s="858"/>
      <c r="B20" s="855"/>
      <c r="C20" s="855"/>
      <c r="D20" s="855"/>
    </row>
    <row r="21" spans="1:4" x14ac:dyDescent="0.2">
      <c r="A21" s="858"/>
      <c r="B21" s="855"/>
      <c r="C21" s="855"/>
      <c r="D21" s="855"/>
    </row>
    <row r="22" spans="1:4" x14ac:dyDescent="0.2">
      <c r="A22" s="858"/>
      <c r="B22" s="855"/>
      <c r="C22" s="855"/>
      <c r="D22" s="855"/>
    </row>
    <row r="23" spans="1:4" x14ac:dyDescent="0.2">
      <c r="A23" s="858"/>
      <c r="B23" s="855"/>
      <c r="C23" s="855"/>
      <c r="D23" s="855"/>
    </row>
    <row r="24" spans="1:4" x14ac:dyDescent="0.2">
      <c r="A24" s="858"/>
      <c r="B24" s="855"/>
      <c r="C24" s="855"/>
      <c r="D24" s="855"/>
    </row>
    <row r="25" spans="1:4" x14ac:dyDescent="0.2">
      <c r="A25" s="858"/>
      <c r="B25" s="855"/>
      <c r="C25" s="855"/>
      <c r="D25" s="855"/>
    </row>
    <row r="26" spans="1:4" x14ac:dyDescent="0.2">
      <c r="A26" s="858"/>
      <c r="B26" s="855"/>
      <c r="C26" s="855"/>
      <c r="D26" s="855"/>
    </row>
    <row r="27" spans="1:4" x14ac:dyDescent="0.2">
      <c r="A27" s="858"/>
      <c r="B27" s="855"/>
      <c r="C27" s="855"/>
      <c r="D27" s="855"/>
    </row>
    <row r="28" spans="1:4" x14ac:dyDescent="0.2">
      <c r="A28" s="858"/>
      <c r="B28" s="855"/>
      <c r="C28" s="855"/>
      <c r="D28" s="855"/>
    </row>
    <row r="29" spans="1:4" x14ac:dyDescent="0.2">
      <c r="A29" s="858"/>
      <c r="B29" s="855"/>
      <c r="C29" s="855"/>
      <c r="D29" s="855"/>
    </row>
    <row r="30" spans="1:4" x14ac:dyDescent="0.2">
      <c r="A30" s="858"/>
      <c r="B30" s="855"/>
      <c r="C30" s="855"/>
      <c r="D30" s="855"/>
    </row>
    <row r="31" spans="1:4" x14ac:dyDescent="0.2">
      <c r="A31" s="858"/>
      <c r="B31" s="855"/>
      <c r="C31" s="855"/>
      <c r="D31" s="855"/>
    </row>
    <row r="32" spans="1:4" x14ac:dyDescent="0.2">
      <c r="A32" s="76"/>
      <c r="B32" s="855"/>
      <c r="C32" s="855"/>
      <c r="D32" s="855"/>
    </row>
    <row r="33" spans="1:4" x14ac:dyDescent="0.2">
      <c r="A33" s="858"/>
      <c r="B33" s="855"/>
      <c r="C33" s="855"/>
      <c r="D33" s="855"/>
    </row>
    <row r="34" spans="1:4" x14ac:dyDescent="0.2">
      <c r="A34" s="858"/>
      <c r="B34" s="855"/>
      <c r="C34" s="855"/>
      <c r="D34" s="855"/>
    </row>
    <row r="39" spans="1:4" x14ac:dyDescent="0.2">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9" sqref="D9"/>
    </sheetView>
  </sheetViews>
  <sheetFormatPr defaultColWidth="9.140625" defaultRowHeight="12.75" zeroHeight="1" x14ac:dyDescent="0.2"/>
  <cols>
    <col min="1" max="1" width="28.5703125" style="326" customWidth="1"/>
    <col min="2" max="2" width="21.85546875" style="326" customWidth="1"/>
    <col min="3" max="3" width="23.5703125" style="326" customWidth="1"/>
    <col min="4" max="4" width="20.28515625" style="326" customWidth="1"/>
    <col min="5" max="5" width="22.5703125" style="326" bestFit="1" customWidth="1"/>
    <col min="6" max="6" width="23.5703125" style="326" customWidth="1"/>
    <col min="7" max="8" width="22.7109375" style="323" customWidth="1"/>
    <col min="9" max="9" width="18.85546875" style="965" customWidth="1"/>
    <col min="10" max="16384" width="9.140625" style="324"/>
  </cols>
  <sheetData>
    <row r="1" spans="1:10" s="330" customFormat="1" ht="14.45" customHeight="1" x14ac:dyDescent="0.25">
      <c r="A1" s="615"/>
      <c r="B1" s="616"/>
      <c r="C1" s="617"/>
      <c r="D1" s="617"/>
      <c r="E1" s="617"/>
      <c r="F1" s="617"/>
      <c r="G1" s="621"/>
      <c r="H1" s="1063"/>
      <c r="I1" s="225"/>
      <c r="J1" s="329"/>
    </row>
    <row r="2" spans="1:10" s="334" customFormat="1" ht="78.75" customHeight="1" x14ac:dyDescent="0.25">
      <c r="A2" s="1036" t="s">
        <v>1891</v>
      </c>
      <c r="B2" s="55"/>
      <c r="C2" s="55"/>
      <c r="D2" s="55"/>
      <c r="E2" s="55"/>
      <c r="F2" s="1067"/>
      <c r="G2" s="1067" t="s">
        <v>1883</v>
      </c>
      <c r="H2" s="1067" t="s">
        <v>1883</v>
      </c>
      <c r="I2" s="225"/>
      <c r="J2" s="333"/>
    </row>
    <row r="3" spans="1:10" s="334" customFormat="1" ht="15" x14ac:dyDescent="0.25">
      <c r="A3" s="288"/>
      <c r="B3" s="70"/>
      <c r="C3" s="70"/>
      <c r="D3" s="70"/>
      <c r="E3" s="70"/>
      <c r="F3" s="70"/>
      <c r="G3" s="64"/>
      <c r="H3" s="64"/>
      <c r="I3" s="225"/>
      <c r="J3" s="333"/>
    </row>
    <row r="4" spans="1:10" s="334" customFormat="1" ht="15" x14ac:dyDescent="0.25">
      <c r="A4" s="289"/>
      <c r="B4" s="70"/>
      <c r="C4" s="70"/>
      <c r="D4" s="70"/>
      <c r="E4" s="70"/>
      <c r="F4" s="70"/>
      <c r="G4" s="64"/>
      <c r="H4" s="64"/>
      <c r="I4" s="1065"/>
      <c r="J4" s="333"/>
    </row>
    <row r="5" spans="1:10" s="334" customFormat="1" ht="15.75" x14ac:dyDescent="0.25">
      <c r="A5" s="618" t="s">
        <v>1048</v>
      </c>
      <c r="B5" s="619"/>
      <c r="C5" s="619"/>
      <c r="D5" s="619"/>
      <c r="E5" s="619"/>
      <c r="F5" s="619"/>
      <c r="G5" s="622"/>
      <c r="H5" s="622"/>
      <c r="I5" s="1066"/>
      <c r="J5" s="333"/>
    </row>
    <row r="6" spans="1:10" s="341" customFormat="1" x14ac:dyDescent="0.2">
      <c r="A6" s="290"/>
      <c r="B6" s="25"/>
      <c r="C6" s="25"/>
      <c r="D6" s="25"/>
      <c r="E6" s="25"/>
      <c r="F6" s="25"/>
      <c r="G6" s="248" t="s">
        <v>116</v>
      </c>
      <c r="H6" s="248" t="s">
        <v>116</v>
      </c>
      <c r="I6" s="240" t="s">
        <v>1882</v>
      </c>
    </row>
    <row r="7" spans="1:10" s="334" customFormat="1" ht="15" x14ac:dyDescent="0.25">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
      <c r="A8" s="292" t="s">
        <v>1431</v>
      </c>
      <c r="B8" s="620" t="s">
        <v>1432</v>
      </c>
      <c r="C8" s="620" t="s">
        <v>1433</v>
      </c>
      <c r="D8" s="620" t="s">
        <v>564</v>
      </c>
      <c r="E8" s="620" t="s">
        <v>1422</v>
      </c>
      <c r="F8" s="620" t="s">
        <v>1884</v>
      </c>
      <c r="G8" s="250" t="s">
        <v>1434</v>
      </c>
      <c r="H8" s="250" t="s">
        <v>1435</v>
      </c>
      <c r="I8" s="1064" t="s">
        <v>1881</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6"/>
    <col min="2" max="2" width="9.140625" style="323"/>
    <col min="3" max="5" width="9.140625" style="326"/>
    <col min="6" max="6" width="14.5703125" style="326" customWidth="1"/>
    <col min="7" max="7" width="10.5703125" style="326" customWidth="1"/>
    <col min="8" max="8" width="9.140625" style="326"/>
    <col min="9" max="9" width="11.28515625" style="326" customWidth="1"/>
    <col min="10" max="10" width="13.42578125" style="324" customWidth="1"/>
    <col min="11" max="12" width="16.28515625" style="324" customWidth="1"/>
    <col min="13" max="13" width="11.42578125" style="324" customWidth="1"/>
    <col min="14" max="14" width="10.140625" style="324" customWidth="1"/>
    <col min="15" max="15" width="10.42578125" style="324" customWidth="1"/>
    <col min="16" max="16" width="11.5703125" style="326" customWidth="1"/>
    <col min="17" max="17" width="9.140625" style="326"/>
    <col min="18" max="16384" width="9.140625" style="324"/>
  </cols>
  <sheetData>
    <row r="1" spans="1:19" s="330" customFormat="1" ht="15" x14ac:dyDescent="0.25">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25">
      <c r="A2" s="904"/>
      <c r="B2" s="905"/>
      <c r="C2" s="55" t="s">
        <v>1388</v>
      </c>
      <c r="D2" s="55"/>
      <c r="E2" s="919" t="s">
        <v>1390</v>
      </c>
      <c r="F2" s="55"/>
      <c r="G2" s="55"/>
      <c r="H2" s="55"/>
      <c r="I2" s="55"/>
      <c r="J2" s="920" t="s">
        <v>523</v>
      </c>
      <c r="K2" s="346"/>
      <c r="L2" s="1067" t="s">
        <v>1883</v>
      </c>
      <c r="M2" s="331"/>
      <c r="N2" s="331" t="s">
        <v>439</v>
      </c>
      <c r="O2" s="331" t="s">
        <v>440</v>
      </c>
      <c r="P2" s="55"/>
      <c r="Q2" s="164"/>
      <c r="R2" s="332"/>
      <c r="S2" s="333"/>
    </row>
    <row r="3" spans="1:19" s="334" customFormat="1" ht="15" x14ac:dyDescent="0.25">
      <c r="A3" s="70"/>
      <c r="B3" s="64"/>
      <c r="C3" s="924" t="s">
        <v>1386</v>
      </c>
      <c r="D3" s="70"/>
      <c r="E3" s="924" t="s">
        <v>1389</v>
      </c>
      <c r="F3" s="624"/>
      <c r="G3" s="70"/>
      <c r="H3" s="70"/>
      <c r="I3" s="70"/>
      <c r="J3" s="347"/>
      <c r="K3" s="61"/>
      <c r="L3" s="1061"/>
      <c r="M3" s="61"/>
      <c r="N3" s="61"/>
      <c r="O3" s="61"/>
      <c r="P3" s="70"/>
      <c r="Q3" s="177"/>
      <c r="R3" s="328"/>
      <c r="S3" s="333"/>
    </row>
    <row r="4" spans="1:19" s="334" customFormat="1" ht="15" x14ac:dyDescent="0.25">
      <c r="A4" s="70"/>
      <c r="B4" s="64"/>
      <c r="C4" s="924" t="s">
        <v>1387</v>
      </c>
      <c r="D4" s="70"/>
      <c r="E4" s="70"/>
      <c r="F4" s="624"/>
      <c r="G4" s="70"/>
      <c r="H4" s="70"/>
      <c r="I4" s="70"/>
      <c r="J4" s="347"/>
      <c r="K4" s="61"/>
      <c r="L4" s="1061"/>
      <c r="M4" s="61"/>
      <c r="N4" s="61"/>
      <c r="O4" s="61"/>
      <c r="P4" s="624"/>
      <c r="Q4" s="625"/>
      <c r="R4" s="336"/>
      <c r="S4" s="333"/>
    </row>
    <row r="5" spans="1:19" s="334" customFormat="1" ht="15.75" x14ac:dyDescent="0.25">
      <c r="A5" s="618" t="s">
        <v>1046</v>
      </c>
      <c r="B5" s="906"/>
      <c r="C5" s="619"/>
      <c r="D5" s="619"/>
      <c r="E5" s="619"/>
      <c r="F5" s="619"/>
      <c r="G5" s="619"/>
      <c r="H5" s="619"/>
      <c r="I5" s="619"/>
      <c r="J5" s="337"/>
      <c r="K5" s="337"/>
      <c r="L5" s="337"/>
      <c r="M5" s="337"/>
      <c r="N5" s="337"/>
      <c r="O5" s="337"/>
      <c r="P5" s="619"/>
      <c r="Q5" s="626"/>
      <c r="R5" s="338"/>
      <c r="S5" s="333"/>
    </row>
    <row r="6" spans="1:19" s="341" customFormat="1" ht="14.25" x14ac:dyDescent="0.2">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149999999999999" customHeight="1" x14ac:dyDescent="0.25">
      <c r="A7" s="26"/>
      <c r="B7" s="931" t="s">
        <v>116</v>
      </c>
      <c r="C7" s="26"/>
      <c r="D7" s="26"/>
      <c r="E7" s="1183" t="s">
        <v>86</v>
      </c>
      <c r="F7" s="1183"/>
      <c r="G7" s="1183"/>
      <c r="H7" s="1183"/>
      <c r="I7" s="1183"/>
      <c r="J7" s="1183"/>
      <c r="K7" s="1183"/>
      <c r="L7" s="1183"/>
      <c r="M7" s="395"/>
      <c r="N7" s="395"/>
      <c r="O7" s="60"/>
      <c r="P7" s="70"/>
      <c r="Q7" s="629"/>
      <c r="R7" s="338"/>
      <c r="S7" s="333"/>
    </row>
    <row r="8" spans="1:19" s="350" customFormat="1" ht="27" thickBot="1" x14ac:dyDescent="0.3">
      <c r="A8" s="292" t="s">
        <v>1431</v>
      </c>
      <c r="B8" s="901" t="s">
        <v>35</v>
      </c>
      <c r="C8" s="620" t="s">
        <v>48</v>
      </c>
      <c r="D8" s="620" t="s">
        <v>1436</v>
      </c>
      <c r="E8" s="620" t="s">
        <v>789</v>
      </c>
      <c r="F8" s="620" t="s">
        <v>378</v>
      </c>
      <c r="G8" s="620" t="s">
        <v>108</v>
      </c>
      <c r="H8" s="620" t="s">
        <v>74</v>
      </c>
      <c r="I8" s="620" t="s">
        <v>1865</v>
      </c>
      <c r="J8" s="113" t="s">
        <v>1437</v>
      </c>
      <c r="K8" s="113" t="s">
        <v>1443</v>
      </c>
      <c r="L8" s="1068" t="s">
        <v>1888</v>
      </c>
      <c r="M8" s="342" t="s">
        <v>1438</v>
      </c>
      <c r="N8" s="342" t="s">
        <v>1439</v>
      </c>
      <c r="O8" s="342" t="s">
        <v>1440</v>
      </c>
      <c r="P8" s="620" t="s">
        <v>1441</v>
      </c>
      <c r="Q8" s="630" t="s">
        <v>1442</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6" customWidth="1"/>
    <col min="2" max="2" width="15.5703125" style="326" customWidth="1"/>
    <col min="3" max="3" width="14.85546875" style="326" customWidth="1"/>
    <col min="4" max="4" width="16.28515625" style="326" customWidth="1"/>
    <col min="5" max="5" width="7.5703125" style="326" customWidth="1"/>
    <col min="6" max="6" width="18.7109375" style="326" customWidth="1"/>
    <col min="7" max="7" width="9.7109375" style="326" customWidth="1"/>
    <col min="8" max="8" width="23.7109375" style="326" customWidth="1"/>
    <col min="9" max="9" width="15.42578125" style="326" customWidth="1"/>
    <col min="10" max="10" width="13.5703125" style="323" customWidth="1"/>
    <col min="11" max="11" width="13" style="326" customWidth="1"/>
    <col min="12" max="12" width="23.5703125" style="326" customWidth="1"/>
    <col min="13" max="13" width="17.28515625" style="326" customWidth="1"/>
    <col min="14" max="14" width="62.42578125" style="324" customWidth="1"/>
    <col min="15" max="15" width="52" style="324" customWidth="1"/>
    <col min="16" max="16384" width="9.140625" style="324"/>
  </cols>
  <sheetData>
    <row r="1" spans="1:15" s="334" customFormat="1" ht="15.75" x14ac:dyDescent="0.25">
      <c r="A1" s="641" t="s">
        <v>1385</v>
      </c>
      <c r="B1" s="252"/>
      <c r="C1" s="643"/>
      <c r="D1" s="643"/>
      <c r="E1" s="643"/>
      <c r="F1" s="915"/>
      <c r="G1" s="643"/>
      <c r="H1" s="643"/>
      <c r="I1" s="644"/>
      <c r="J1" s="916"/>
      <c r="K1" s="916"/>
      <c r="L1" s="917"/>
      <c r="M1" s="917"/>
      <c r="N1" s="917"/>
      <c r="O1" s="918"/>
    </row>
    <row r="2" spans="1:15" s="350" customFormat="1" ht="15" customHeight="1" x14ac:dyDescent="0.25">
      <c r="A2" s="633"/>
      <c r="B2" s="634"/>
      <c r="C2" s="27"/>
      <c r="D2" s="635"/>
      <c r="E2" s="635"/>
      <c r="F2" s="1184" t="s">
        <v>1412</v>
      </c>
      <c r="G2" s="635"/>
      <c r="H2" s="635"/>
      <c r="I2" s="635"/>
      <c r="J2" s="72"/>
      <c r="K2" s="635"/>
      <c r="L2" s="635"/>
      <c r="M2" s="635"/>
      <c r="N2" s="30"/>
      <c r="O2" s="353"/>
    </row>
    <row r="3" spans="1:15" s="350" customFormat="1" ht="15" x14ac:dyDescent="0.25">
      <c r="A3" s="70"/>
      <c r="B3" s="1186" t="s">
        <v>1883</v>
      </c>
      <c r="C3" s="1186"/>
      <c r="D3" s="1070"/>
      <c r="E3" s="632"/>
      <c r="F3" s="1185"/>
      <c r="G3" s="635"/>
      <c r="H3" s="635"/>
      <c r="I3" s="635"/>
      <c r="J3" s="71"/>
      <c r="K3" s="632"/>
      <c r="L3" s="632"/>
      <c r="M3" s="632"/>
      <c r="N3" s="352"/>
      <c r="O3" s="353"/>
    </row>
    <row r="4" spans="1:15" s="350" customFormat="1" ht="23.25" customHeight="1" x14ac:dyDescent="0.25">
      <c r="A4" s="70"/>
      <c r="B4" s="70"/>
      <c r="C4" s="27"/>
      <c r="D4" s="635"/>
      <c r="E4" s="632"/>
      <c r="F4" s="1185"/>
      <c r="G4" s="635"/>
      <c r="H4" s="635"/>
      <c r="I4" s="635"/>
      <c r="J4" s="71"/>
      <c r="K4" s="632"/>
      <c r="L4" s="632"/>
      <c r="M4" s="632"/>
      <c r="N4" s="352"/>
      <c r="O4" s="355"/>
    </row>
    <row r="5" spans="1:15" s="350" customFormat="1" ht="15" x14ac:dyDescent="0.25">
      <c r="A5" s="25"/>
      <c r="B5" s="25"/>
      <c r="C5" s="28"/>
      <c r="D5" s="636"/>
      <c r="E5" s="636"/>
      <c r="F5" s="636"/>
      <c r="G5" s="636"/>
      <c r="H5" s="636"/>
      <c r="I5" s="636"/>
      <c r="K5" s="636"/>
      <c r="L5" s="636"/>
      <c r="N5" s="356"/>
      <c r="O5" s="357"/>
    </row>
    <row r="6" spans="1:15" s="350" customFormat="1" ht="15" x14ac:dyDescent="0.25">
      <c r="A6" s="25"/>
      <c r="B6" s="25"/>
      <c r="C6" s="28"/>
      <c r="D6" s="636"/>
      <c r="E6" s="636"/>
      <c r="F6" s="636"/>
      <c r="G6" s="636"/>
      <c r="H6" s="636"/>
      <c r="I6" s="636"/>
      <c r="J6" s="87" t="s">
        <v>116</v>
      </c>
      <c r="K6" s="636"/>
      <c r="L6" s="636"/>
      <c r="M6" s="25" t="s">
        <v>167</v>
      </c>
      <c r="N6" s="356"/>
      <c r="O6" s="357"/>
    </row>
    <row r="7" spans="1:15" s="350" customFormat="1" ht="16.5" x14ac:dyDescent="0.25">
      <c r="A7" s="26"/>
      <c r="B7" s="26"/>
      <c r="C7" s="29"/>
      <c r="D7" s="637"/>
      <c r="E7" s="638"/>
      <c r="F7" s="639"/>
      <c r="G7" s="639"/>
      <c r="H7" s="639"/>
      <c r="I7" s="639"/>
      <c r="J7" s="251"/>
      <c r="K7" s="640"/>
      <c r="L7" s="640"/>
      <c r="M7" s="637"/>
      <c r="N7" s="30"/>
      <c r="O7" s="353"/>
    </row>
    <row r="8" spans="1:15" s="361" customFormat="1" ht="27" thickBot="1" x14ac:dyDescent="0.3">
      <c r="A8" s="153" t="s">
        <v>1431</v>
      </c>
      <c r="B8" s="160" t="s">
        <v>1447</v>
      </c>
      <c r="C8" s="160" t="s">
        <v>1446</v>
      </c>
      <c r="D8" s="160" t="s">
        <v>1445</v>
      </c>
      <c r="E8" s="154" t="s">
        <v>144</v>
      </c>
      <c r="F8" s="160" t="s">
        <v>2239</v>
      </c>
      <c r="G8" s="160" t="s">
        <v>1444</v>
      </c>
      <c r="H8" s="160" t="s">
        <v>220</v>
      </c>
      <c r="I8" s="160" t="s">
        <v>145</v>
      </c>
      <c r="J8" s="161" t="s">
        <v>1448</v>
      </c>
      <c r="K8" s="160" t="s">
        <v>146</v>
      </c>
      <c r="L8" s="160" t="s">
        <v>222</v>
      </c>
      <c r="M8" s="162" t="s">
        <v>147</v>
      </c>
      <c r="N8" s="359" t="s">
        <v>1449</v>
      </c>
      <c r="O8" s="360" t="s">
        <v>1450</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6" customWidth="1"/>
    <col min="2" max="2" width="20.85546875" style="323" customWidth="1"/>
    <col min="3" max="3" width="22.42578125" style="326" customWidth="1"/>
    <col min="4" max="4" width="12.28515625" style="326" customWidth="1"/>
    <col min="5" max="5" width="14.28515625" style="326" customWidth="1"/>
    <col min="6" max="7" width="20.28515625" style="326" customWidth="1"/>
    <col min="8" max="8" width="40.85546875" style="326" customWidth="1"/>
    <col min="9" max="9" width="20.7109375" style="326" customWidth="1"/>
    <col min="10" max="10" width="29.85546875" style="326" customWidth="1"/>
    <col min="11" max="16384" width="9.140625" style="324"/>
  </cols>
  <sheetData>
    <row r="1" spans="1:10" s="334" customFormat="1" ht="15.75" x14ac:dyDescent="0.25">
      <c r="A1" s="641" t="s">
        <v>885</v>
      </c>
      <c r="B1" s="252"/>
      <c r="C1" s="643"/>
      <c r="D1" s="643"/>
      <c r="E1" s="643"/>
      <c r="F1" s="643"/>
      <c r="G1" s="643"/>
      <c r="H1" s="643"/>
      <c r="I1" s="644"/>
      <c r="J1" s="645"/>
    </row>
    <row r="2" spans="1:10" s="334" customFormat="1" ht="12.75" customHeight="1" x14ac:dyDescent="0.25">
      <c r="A2" s="921"/>
      <c r="B2" s="1190" t="s">
        <v>968</v>
      </c>
      <c r="C2" s="921"/>
      <c r="D2" s="921"/>
      <c r="E2" s="1189" t="s">
        <v>886</v>
      </c>
      <c r="F2" s="921"/>
      <c r="G2" s="921"/>
      <c r="H2" s="921"/>
      <c r="I2" s="921"/>
      <c r="J2" s="922"/>
    </row>
    <row r="3" spans="1:10" s="334" customFormat="1" ht="15" customHeight="1" x14ac:dyDescent="0.25">
      <c r="A3" s="921"/>
      <c r="B3" s="1191"/>
      <c r="C3" s="1187" t="s">
        <v>891</v>
      </c>
      <c r="D3" s="921"/>
      <c r="E3" s="1187"/>
      <c r="F3" s="1187" t="s">
        <v>887</v>
      </c>
      <c r="G3" s="1187" t="s">
        <v>888</v>
      </c>
      <c r="H3" s="921"/>
      <c r="I3" s="1187" t="s">
        <v>889</v>
      </c>
      <c r="J3" s="922"/>
    </row>
    <row r="4" spans="1:10" s="334" customFormat="1" ht="17.25" customHeight="1" x14ac:dyDescent="0.25">
      <c r="A4" s="1187" t="s">
        <v>890</v>
      </c>
      <c r="B4" s="1191"/>
      <c r="C4" s="1187"/>
      <c r="D4" s="1187" t="s">
        <v>892</v>
      </c>
      <c r="E4" s="1187"/>
      <c r="F4" s="1187"/>
      <c r="G4" s="1187"/>
      <c r="H4" s="1187" t="s">
        <v>893</v>
      </c>
      <c r="I4" s="1187"/>
      <c r="J4" s="922"/>
    </row>
    <row r="5" spans="1:10" s="334" customFormat="1" ht="27.75" customHeight="1" x14ac:dyDescent="0.25">
      <c r="A5" s="1187"/>
      <c r="B5" s="923"/>
      <c r="C5" s="1187"/>
      <c r="D5" s="1187"/>
      <c r="E5" s="1187"/>
      <c r="F5" s="1187"/>
      <c r="G5" s="1187"/>
      <c r="H5" s="1187"/>
      <c r="I5" s="1187"/>
      <c r="J5" s="1188" t="s">
        <v>894</v>
      </c>
    </row>
    <row r="6" spans="1:10" s="341" customFormat="1" ht="15" customHeight="1" x14ac:dyDescent="0.2">
      <c r="A6" s="1187"/>
      <c r="B6" s="923" t="s">
        <v>942</v>
      </c>
      <c r="C6" s="923"/>
      <c r="D6" s="1187"/>
      <c r="E6" s="1187"/>
      <c r="F6" s="1187"/>
      <c r="G6" s="1187"/>
      <c r="H6" s="1187"/>
      <c r="I6" s="1187"/>
      <c r="J6" s="1188"/>
    </row>
    <row r="7" spans="1:10" s="334" customFormat="1" ht="15" x14ac:dyDescent="0.25">
      <c r="A7" s="642"/>
      <c r="B7" s="73" t="s">
        <v>1393</v>
      </c>
      <c r="C7" s="884" t="str">
        <f>HYPERLINK("#DropDownLists!X6","Add to this list")</f>
        <v>Add to this list</v>
      </c>
      <c r="D7" s="642"/>
      <c r="E7" s="642"/>
      <c r="F7" s="642"/>
      <c r="G7" s="642"/>
      <c r="H7" s="642"/>
      <c r="I7" s="642"/>
      <c r="J7" s="646"/>
    </row>
    <row r="8" spans="1:10" s="362" customFormat="1" ht="45.75" customHeight="1" thickBot="1" x14ac:dyDescent="0.25">
      <c r="A8" s="153" t="s">
        <v>1431</v>
      </c>
      <c r="B8" s="253" t="s">
        <v>1452</v>
      </c>
      <c r="C8" s="160" t="s">
        <v>1453</v>
      </c>
      <c r="D8" s="160" t="s">
        <v>895</v>
      </c>
      <c r="E8" s="160" t="s">
        <v>1451</v>
      </c>
      <c r="F8" s="160" t="s">
        <v>902</v>
      </c>
      <c r="G8" s="160" t="s">
        <v>1454</v>
      </c>
      <c r="H8" s="160" t="s">
        <v>896</v>
      </c>
      <c r="I8" s="160" t="s">
        <v>897</v>
      </c>
      <c r="J8" s="163" t="s">
        <v>1455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A8" sqref="A8"/>
    </sheetView>
  </sheetViews>
  <sheetFormatPr defaultColWidth="9.140625" defaultRowHeight="12.75" x14ac:dyDescent="0.2"/>
  <cols>
    <col min="1" max="1" width="28.7109375" style="326" customWidth="1"/>
    <col min="2" max="2" width="11.42578125" style="323" customWidth="1"/>
    <col min="3" max="3" width="27.42578125" style="326" customWidth="1"/>
    <col min="4" max="4" width="28.7109375" style="326" customWidth="1"/>
    <col min="5" max="5" width="18.5703125" style="326" customWidth="1"/>
    <col min="6" max="6" width="30.5703125" style="326" customWidth="1"/>
    <col min="7" max="7" width="20.7109375" style="326" customWidth="1"/>
    <col min="8" max="8" width="24.42578125" style="326" customWidth="1"/>
    <col min="9" max="9" width="20" style="326" customWidth="1"/>
    <col min="10" max="10" width="17.85546875" style="326" customWidth="1"/>
    <col min="11" max="11" width="10" style="326" customWidth="1"/>
    <col min="12" max="12" width="22" style="326" customWidth="1"/>
    <col min="13" max="13" width="18" style="326" customWidth="1"/>
    <col min="14" max="14" width="15.28515625" style="324" customWidth="1"/>
    <col min="15" max="15" width="19.28515625" style="324" customWidth="1"/>
    <col min="16" max="16" width="26.42578125" style="324" customWidth="1"/>
    <col min="17" max="17" width="23.42578125" style="324" customWidth="1"/>
    <col min="18" max="18" width="12.28515625" style="324" customWidth="1"/>
    <col min="19" max="19" width="21.28515625" style="324" customWidth="1"/>
    <col min="20" max="20" width="24.42578125" style="324" customWidth="1"/>
    <col min="21" max="21" width="20" style="324" customWidth="1"/>
    <col min="22" max="22" width="18" style="324" customWidth="1"/>
    <col min="23" max="23" width="17" style="324" customWidth="1"/>
    <col min="24" max="24" width="22.85546875" style="324" customWidth="1"/>
    <col min="25" max="25" width="19.85546875" style="324" customWidth="1"/>
    <col min="26" max="16384" width="9.140625" style="324"/>
  </cols>
  <sheetData>
    <row r="1" spans="1:22" s="334" customFormat="1" ht="15.75" x14ac:dyDescent="0.25">
      <c r="A1" s="862" t="s">
        <v>165</v>
      </c>
      <c r="B1" s="863"/>
      <c r="C1" s="863"/>
      <c r="D1" s="863"/>
      <c r="E1" s="863"/>
      <c r="F1" s="863"/>
      <c r="G1" s="863"/>
      <c r="H1" s="863"/>
      <c r="I1" s="863"/>
      <c r="J1" s="863"/>
      <c r="K1" s="863"/>
      <c r="L1" s="863"/>
      <c r="M1" s="863"/>
      <c r="N1" s="863"/>
      <c r="O1" s="864"/>
      <c r="P1" s="364"/>
      <c r="Q1" s="364"/>
      <c r="R1" s="364"/>
      <c r="S1" s="364"/>
      <c r="T1" s="332"/>
      <c r="U1" s="332"/>
      <c r="V1" s="364"/>
    </row>
    <row r="2" spans="1:22" s="334" customFormat="1" ht="56.45" customHeight="1" x14ac:dyDescent="0.25">
      <c r="A2" s="647" t="s">
        <v>441</v>
      </c>
      <c r="B2" s="254"/>
      <c r="C2" s="647" t="s">
        <v>442</v>
      </c>
      <c r="D2" s="647" t="s">
        <v>438</v>
      </c>
      <c r="E2" s="647" t="s">
        <v>1299</v>
      </c>
      <c r="F2" s="647" t="s">
        <v>587</v>
      </c>
      <c r="G2" s="651" t="s">
        <v>467</v>
      </c>
      <c r="H2" s="647" t="s">
        <v>1299</v>
      </c>
      <c r="I2" s="647" t="s">
        <v>438</v>
      </c>
      <c r="J2" s="647" t="s">
        <v>616</v>
      </c>
      <c r="K2" s="647" t="s">
        <v>443</v>
      </c>
      <c r="L2" s="647" t="s">
        <v>443</v>
      </c>
      <c r="M2" s="647" t="s">
        <v>617</v>
      </c>
      <c r="N2" s="631"/>
      <c r="O2" s="1115"/>
      <c r="P2" s="364"/>
      <c r="Q2" s="364"/>
      <c r="R2" s="364"/>
      <c r="S2" s="364"/>
      <c r="T2" s="332"/>
      <c r="U2" s="332"/>
      <c r="V2" s="364"/>
    </row>
    <row r="3" spans="1:22" s="334" customFormat="1" ht="27.6" customHeight="1" x14ac:dyDescent="0.25">
      <c r="A3" s="648"/>
      <c r="B3" s="57"/>
      <c r="C3" s="652"/>
      <c r="D3" s="653" t="s">
        <v>939</v>
      </c>
      <c r="E3" s="654"/>
      <c r="F3" s="652"/>
      <c r="G3" s="1192" t="s">
        <v>907</v>
      </c>
      <c r="H3" s="631"/>
      <c r="I3" s="631"/>
      <c r="J3" s="631"/>
      <c r="K3" s="631"/>
      <c r="L3" s="631"/>
      <c r="M3" s="631"/>
      <c r="N3" s="631"/>
      <c r="O3" s="1115"/>
      <c r="P3" s="364"/>
      <c r="Q3" s="364"/>
      <c r="R3" s="364"/>
      <c r="S3" s="364"/>
      <c r="T3" s="332"/>
      <c r="U3" s="332"/>
      <c r="V3" s="364"/>
    </row>
    <row r="4" spans="1:22" s="334" customFormat="1" ht="15.75" x14ac:dyDescent="0.25">
      <c r="A4" s="648"/>
      <c r="B4" s="57"/>
      <c r="C4" s="652"/>
      <c r="D4" s="653" t="s">
        <v>934</v>
      </c>
      <c r="E4" s="654"/>
      <c r="F4" s="652"/>
      <c r="G4" s="1193"/>
      <c r="H4" s="631"/>
      <c r="I4" s="631"/>
      <c r="J4" s="631"/>
      <c r="K4" s="631"/>
      <c r="L4" s="631"/>
      <c r="M4" s="631"/>
      <c r="N4" s="631"/>
      <c r="O4" s="1115"/>
      <c r="P4" s="364"/>
      <c r="Q4" s="364"/>
      <c r="R4" s="364"/>
      <c r="S4" s="364"/>
      <c r="T4" s="332"/>
      <c r="U4" s="332"/>
      <c r="V4" s="364"/>
    </row>
    <row r="5" spans="1:22" s="334" customFormat="1" ht="15.75" x14ac:dyDescent="0.25">
      <c r="A5" s="648"/>
      <c r="B5" s="57"/>
      <c r="C5" s="652"/>
      <c r="D5" s="652"/>
      <c r="E5" s="654"/>
      <c r="F5" s="652"/>
      <c r="G5" s="1193"/>
      <c r="H5" s="631"/>
      <c r="I5" s="631"/>
      <c r="J5" s="631"/>
      <c r="K5" s="631"/>
      <c r="L5" s="631"/>
      <c r="M5" s="631"/>
      <c r="N5" s="631"/>
      <c r="O5" s="1115"/>
      <c r="P5" s="364"/>
      <c r="Q5" s="364"/>
      <c r="R5" s="364"/>
      <c r="S5" s="364"/>
      <c r="T5" s="332"/>
      <c r="U5" s="332"/>
      <c r="V5" s="364"/>
    </row>
    <row r="6" spans="1:22" s="334" customFormat="1" ht="15.75" x14ac:dyDescent="0.25">
      <c r="A6" s="648"/>
      <c r="B6" s="57"/>
      <c r="C6" s="652"/>
      <c r="D6" s="652"/>
      <c r="E6" s="654"/>
      <c r="F6" s="652"/>
      <c r="G6" s="1193"/>
      <c r="H6" s="631"/>
      <c r="I6" s="631"/>
      <c r="J6" s="631"/>
      <c r="K6" s="631"/>
      <c r="L6" s="631"/>
      <c r="M6" s="631"/>
      <c r="N6" s="25"/>
      <c r="O6" s="1116"/>
      <c r="P6" s="364"/>
      <c r="Q6" s="364"/>
      <c r="R6" s="364"/>
      <c r="S6" s="364"/>
      <c r="T6" s="332"/>
      <c r="U6" s="332"/>
      <c r="V6" s="364"/>
    </row>
    <row r="7" spans="1:22" s="334" customFormat="1" ht="15" x14ac:dyDescent="0.25">
      <c r="A7" s="649"/>
      <c r="B7" s="21" t="s">
        <v>116</v>
      </c>
      <c r="C7" s="655"/>
      <c r="D7" s="884" t="str">
        <f>HYPERLINK("#DropDownLists!L6","Add to this list")</f>
        <v>Add to this list</v>
      </c>
      <c r="E7" s="885" t="str">
        <f>HYPERLINK("#DropDownLists!AC6","Add to this list")</f>
        <v>Add to this list</v>
      </c>
      <c r="F7" s="655"/>
      <c r="G7" s="1193"/>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4"/>
      <c r="P7" s="364"/>
      <c r="Q7" s="364"/>
      <c r="R7" s="364"/>
      <c r="S7" s="364"/>
      <c r="T7" s="332"/>
      <c r="U7" s="332"/>
      <c r="V7" s="364"/>
    </row>
    <row r="8" spans="1:22" s="334" customFormat="1" ht="15.75" thickBot="1" x14ac:dyDescent="0.3">
      <c r="A8" s="650" t="s">
        <v>1456</v>
      </c>
      <c r="B8" s="20" t="s">
        <v>1434</v>
      </c>
      <c r="C8" s="650" t="s">
        <v>1457</v>
      </c>
      <c r="D8" s="650" t="s">
        <v>1458</v>
      </c>
      <c r="E8" s="650" t="s">
        <v>1459</v>
      </c>
      <c r="F8" s="650" t="s">
        <v>1460</v>
      </c>
      <c r="G8" s="657" t="s">
        <v>1461</v>
      </c>
      <c r="H8" s="650" t="s">
        <v>2240</v>
      </c>
      <c r="I8" s="7" t="s">
        <v>1462</v>
      </c>
      <c r="J8" s="7" t="s">
        <v>993</v>
      </c>
      <c r="K8" s="7" t="s">
        <v>36</v>
      </c>
      <c r="L8" s="7" t="s">
        <v>996</v>
      </c>
      <c r="M8" s="658" t="s">
        <v>1463</v>
      </c>
      <c r="N8" s="658" t="s">
        <v>2245</v>
      </c>
      <c r="O8" s="1117" t="s">
        <v>2296</v>
      </c>
      <c r="P8" s="364"/>
      <c r="Q8" s="364"/>
      <c r="R8" s="364"/>
      <c r="S8" s="364"/>
      <c r="T8" s="332"/>
      <c r="U8" s="332"/>
      <c r="V8" s="364"/>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26" customWidth="1"/>
    <col min="2" max="2" width="12.42578125" style="326" customWidth="1"/>
    <col min="3" max="3" width="16" style="326" customWidth="1"/>
    <col min="4" max="4" width="11.7109375" style="326" customWidth="1"/>
    <col min="5" max="5" width="15.7109375" style="326" customWidth="1"/>
    <col min="6" max="6" width="11.7109375" style="326" customWidth="1"/>
    <col min="7" max="7" width="13.42578125" style="326" customWidth="1"/>
    <col min="8" max="8" width="11.7109375" style="326" customWidth="1"/>
    <col min="9" max="9" width="15.42578125" style="326" customWidth="1"/>
    <col min="10" max="10" width="14.42578125" style="326" customWidth="1"/>
    <col min="11" max="11" width="23.7109375" style="324" customWidth="1"/>
    <col min="12" max="13" width="13.85546875" style="326" customWidth="1"/>
    <col min="14" max="14" width="13.28515625" style="323" customWidth="1"/>
    <col min="15" max="15" width="11.42578125" style="323" customWidth="1"/>
    <col min="16" max="16" width="62.42578125" style="326" customWidth="1"/>
    <col min="17" max="17" width="15.28515625" style="326" customWidth="1"/>
    <col min="18" max="18" width="17.85546875" style="326" customWidth="1"/>
    <col min="19" max="19" width="20" style="326" customWidth="1"/>
    <col min="20" max="21" width="20" style="324" customWidth="1"/>
    <col min="22" max="22" width="10.7109375" style="326" customWidth="1"/>
    <col min="23" max="23" width="10.85546875" style="324" customWidth="1"/>
    <col min="24" max="24" width="5.85546875" style="324" customWidth="1"/>
    <col min="25" max="25" width="19.85546875" style="324" customWidth="1"/>
    <col min="26" max="16384" width="9.140625" style="324"/>
  </cols>
  <sheetData>
    <row r="1" spans="1:24" s="334" customFormat="1" ht="15.75" x14ac:dyDescent="0.25">
      <c r="A1" s="659" t="s">
        <v>164</v>
      </c>
      <c r="B1" s="659"/>
      <c r="C1" s="659"/>
      <c r="D1" s="659"/>
      <c r="E1" s="659"/>
      <c r="F1" s="659"/>
      <c r="G1" s="659"/>
      <c r="H1" s="659"/>
      <c r="I1" s="660"/>
      <c r="J1" s="660"/>
      <c r="K1" s="1171"/>
      <c r="L1" s="661"/>
      <c r="M1" s="662"/>
      <c r="N1" s="88"/>
      <c r="O1" s="88"/>
      <c r="P1" s="659"/>
      <c r="Q1" s="659"/>
      <c r="R1" s="659"/>
      <c r="S1" s="659"/>
      <c r="T1" s="365"/>
      <c r="U1" s="365"/>
      <c r="V1" s="659"/>
      <c r="W1" s="366"/>
      <c r="X1" s="367"/>
    </row>
    <row r="2" spans="1:24" s="309" customFormat="1" ht="15" x14ac:dyDescent="0.25">
      <c r="A2" s="663"/>
      <c r="B2" s="663"/>
      <c r="C2" s="663"/>
      <c r="D2" s="663"/>
      <c r="E2" s="663"/>
      <c r="F2" s="663"/>
      <c r="G2" s="663"/>
      <c r="H2" s="663"/>
      <c r="I2" s="663"/>
      <c r="J2" s="663"/>
      <c r="K2" s="1172"/>
      <c r="L2" s="663"/>
      <c r="M2" s="663"/>
      <c r="N2" s="273"/>
      <c r="O2" s="273"/>
      <c r="P2" s="663"/>
      <c r="Q2" s="663"/>
      <c r="R2" s="663"/>
      <c r="S2" s="663"/>
      <c r="V2" s="663"/>
      <c r="W2" s="368"/>
    </row>
    <row r="3" spans="1:24" s="334" customFormat="1" ht="99" customHeight="1" x14ac:dyDescent="0.25">
      <c r="A3" s="664" t="s">
        <v>1025</v>
      </c>
      <c r="B3" s="665" t="s">
        <v>1026</v>
      </c>
      <c r="C3" s="664" t="s">
        <v>444</v>
      </c>
      <c r="D3" s="665" t="s">
        <v>445</v>
      </c>
      <c r="E3" s="664" t="s">
        <v>446</v>
      </c>
      <c r="F3" s="665" t="s">
        <v>447</v>
      </c>
      <c r="G3" s="664" t="s">
        <v>448</v>
      </c>
      <c r="H3" s="665" t="s">
        <v>449</v>
      </c>
      <c r="I3" s="664" t="s">
        <v>450</v>
      </c>
      <c r="J3" s="666" t="s">
        <v>451</v>
      </c>
      <c r="K3" s="1173" t="s">
        <v>452</v>
      </c>
      <c r="L3" s="666" t="s">
        <v>453</v>
      </c>
      <c r="M3" s="666"/>
      <c r="N3" s="58"/>
      <c r="O3" s="58"/>
      <c r="P3" s="674"/>
      <c r="Q3" s="674"/>
      <c r="R3" s="674"/>
      <c r="S3" s="674"/>
      <c r="T3" s="976" t="s">
        <v>1319</v>
      </c>
      <c r="U3" s="40"/>
      <c r="V3" s="674"/>
      <c r="W3" s="368"/>
      <c r="X3" s="367"/>
    </row>
    <row r="4" spans="1:24" s="334" customFormat="1" ht="14.25" customHeight="1" x14ac:dyDescent="0.25">
      <c r="A4" s="666"/>
      <c r="B4" s="665"/>
      <c r="C4" s="664"/>
      <c r="D4" s="665"/>
      <c r="E4" s="664"/>
      <c r="F4" s="665"/>
      <c r="G4" s="664"/>
      <c r="H4" s="665"/>
      <c r="I4" s="666"/>
      <c r="J4" s="666"/>
      <c r="K4" s="1173"/>
      <c r="L4" s="666"/>
      <c r="M4" s="666"/>
      <c r="N4" s="58"/>
      <c r="O4" s="58"/>
      <c r="P4" s="674"/>
      <c r="Q4" s="674"/>
      <c r="R4" s="674"/>
      <c r="S4" s="674"/>
      <c r="T4" s="40"/>
      <c r="U4" s="40"/>
      <c r="V4" s="674"/>
      <c r="W4" s="368"/>
      <c r="X4" s="367"/>
    </row>
    <row r="5" spans="1:24" s="334" customFormat="1" ht="14.25" customHeight="1" x14ac:dyDescent="0.25">
      <c r="A5" s="666"/>
      <c r="B5" s="667"/>
      <c r="C5" s="666"/>
      <c r="D5" s="667"/>
      <c r="E5" s="666"/>
      <c r="F5" s="667"/>
      <c r="G5" s="666"/>
      <c r="H5" s="667"/>
      <c r="I5" s="666"/>
      <c r="J5" s="666"/>
      <c r="K5" s="1173"/>
      <c r="L5" s="666"/>
      <c r="M5" s="666"/>
      <c r="N5" s="58"/>
      <c r="O5" s="58"/>
      <c r="P5" s="674"/>
      <c r="Q5" s="674"/>
      <c r="R5" s="674"/>
      <c r="S5" s="674"/>
      <c r="T5" s="40"/>
      <c r="U5" s="40"/>
      <c r="V5" s="674"/>
      <c r="W5" s="368"/>
      <c r="X5" s="367"/>
    </row>
    <row r="6" spans="1:24" s="334" customFormat="1" ht="15" x14ac:dyDescent="0.25">
      <c r="A6" s="668"/>
      <c r="B6" s="668"/>
      <c r="C6" s="668"/>
      <c r="D6" s="668"/>
      <c r="E6" s="668"/>
      <c r="F6" s="668"/>
      <c r="G6" s="668"/>
      <c r="H6" s="668"/>
      <c r="I6" s="668"/>
      <c r="J6" s="668"/>
      <c r="K6" s="1174"/>
      <c r="L6" s="669"/>
      <c r="M6" s="669"/>
      <c r="N6" s="32" t="s">
        <v>116</v>
      </c>
      <c r="O6" s="32" t="s">
        <v>116</v>
      </c>
      <c r="P6" s="655"/>
      <c r="Q6" s="899" t="s">
        <v>1322</v>
      </c>
      <c r="R6" s="655"/>
      <c r="S6" s="655"/>
      <c r="T6" s="310"/>
      <c r="U6" s="310"/>
      <c r="V6" s="655" t="s">
        <v>134</v>
      </c>
      <c r="W6" s="369" t="s">
        <v>104</v>
      </c>
      <c r="X6" s="367"/>
    </row>
    <row r="7" spans="1:24" s="334" customFormat="1" ht="15" x14ac:dyDescent="0.25">
      <c r="A7" s="670"/>
      <c r="B7" s="670"/>
      <c r="C7" s="671"/>
      <c r="D7" s="671"/>
      <c r="E7" s="671"/>
      <c r="F7" s="671"/>
      <c r="G7" s="671"/>
      <c r="H7" s="671"/>
      <c r="I7" s="670"/>
      <c r="J7" s="670"/>
      <c r="K7" s="1175"/>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 thickBot="1" x14ac:dyDescent="0.3">
      <c r="A8" s="650" t="s">
        <v>569</v>
      </c>
      <c r="B8" s="650" t="s">
        <v>1749</v>
      </c>
      <c r="C8" s="650" t="s">
        <v>570</v>
      </c>
      <c r="D8" s="650" t="s">
        <v>1751</v>
      </c>
      <c r="E8" s="650" t="s">
        <v>571</v>
      </c>
      <c r="F8" s="650" t="s">
        <v>1752</v>
      </c>
      <c r="G8" s="650" t="s">
        <v>572</v>
      </c>
      <c r="H8" s="650" t="s">
        <v>1753</v>
      </c>
      <c r="I8" s="650" t="s">
        <v>573</v>
      </c>
      <c r="J8" s="650" t="s">
        <v>1754</v>
      </c>
      <c r="K8" s="1176" t="s">
        <v>1495</v>
      </c>
      <c r="L8" s="650" t="s">
        <v>1456</v>
      </c>
      <c r="M8" s="673" t="s">
        <v>1436</v>
      </c>
      <c r="N8" s="34" t="s">
        <v>1434</v>
      </c>
      <c r="O8" s="34" t="s">
        <v>1435</v>
      </c>
      <c r="P8" s="650" t="s">
        <v>1464</v>
      </c>
      <c r="Q8" s="677" t="s">
        <v>1465</v>
      </c>
      <c r="R8" s="677" t="s">
        <v>1466</v>
      </c>
      <c r="S8" s="650" t="s">
        <v>1467</v>
      </c>
      <c r="T8" s="298" t="s">
        <v>67</v>
      </c>
      <c r="U8" s="298" t="s">
        <v>68</v>
      </c>
      <c r="V8" s="650" t="s">
        <v>1469</v>
      </c>
      <c r="W8" s="371" t="s">
        <v>1468</v>
      </c>
      <c r="X8" s="367"/>
    </row>
    <row r="9" spans="1:24" ht="15.75" customHeight="1" x14ac:dyDescent="0.2">
      <c r="K9" s="1177" t="str">
        <f t="shared" ref="K9:K72" si="0">A9&amp;C9&amp;E9&amp;G9&amp;I9</f>
        <v/>
      </c>
    </row>
    <row r="10" spans="1:24" ht="15" customHeight="1" x14ac:dyDescent="0.2">
      <c r="K10" s="1177" t="str">
        <f t="shared" si="0"/>
        <v/>
      </c>
    </row>
    <row r="11" spans="1:24" ht="15.6" customHeight="1" x14ac:dyDescent="0.2">
      <c r="K11" s="1177" t="str">
        <f t="shared" si="0"/>
        <v/>
      </c>
    </row>
    <row r="12" spans="1:24" x14ac:dyDescent="0.2">
      <c r="K12" s="1177" t="str">
        <f t="shared" si="0"/>
        <v/>
      </c>
    </row>
    <row r="13" spans="1:24" x14ac:dyDescent="0.2">
      <c r="K13" s="1177" t="str">
        <f t="shared" si="0"/>
        <v/>
      </c>
    </row>
    <row r="14" spans="1:24" x14ac:dyDescent="0.2">
      <c r="K14" s="1177" t="str">
        <f t="shared" si="0"/>
        <v/>
      </c>
    </row>
    <row r="15" spans="1:24" x14ac:dyDescent="0.2">
      <c r="K15" s="1177" t="str">
        <f t="shared" si="0"/>
        <v/>
      </c>
    </row>
    <row r="16" spans="1:24" x14ac:dyDescent="0.2">
      <c r="K16" s="1177" t="str">
        <f t="shared" si="0"/>
        <v/>
      </c>
    </row>
    <row r="17" spans="11:11" x14ac:dyDescent="0.2">
      <c r="K17" s="1177" t="str">
        <f t="shared" si="0"/>
        <v/>
      </c>
    </row>
    <row r="18" spans="11:11" x14ac:dyDescent="0.2">
      <c r="K18" s="1177" t="str">
        <f t="shared" si="0"/>
        <v/>
      </c>
    </row>
    <row r="19" spans="11:11" x14ac:dyDescent="0.2">
      <c r="K19" s="1177" t="str">
        <f t="shared" si="0"/>
        <v/>
      </c>
    </row>
    <row r="20" spans="11:11" x14ac:dyDescent="0.2">
      <c r="K20" s="1177" t="str">
        <f t="shared" si="0"/>
        <v/>
      </c>
    </row>
    <row r="21" spans="11:11" x14ac:dyDescent="0.2">
      <c r="K21" s="1177" t="str">
        <f t="shared" si="0"/>
        <v/>
      </c>
    </row>
    <row r="22" spans="11:11" x14ac:dyDescent="0.2">
      <c r="K22" s="1177" t="str">
        <f t="shared" si="0"/>
        <v/>
      </c>
    </row>
    <row r="23" spans="11:11" x14ac:dyDescent="0.2">
      <c r="K23" s="1177" t="str">
        <f t="shared" si="0"/>
        <v/>
      </c>
    </row>
    <row r="24" spans="11:11" x14ac:dyDescent="0.2">
      <c r="K24" s="1177" t="str">
        <f t="shared" si="0"/>
        <v/>
      </c>
    </row>
    <row r="25" spans="11:11" x14ac:dyDescent="0.2">
      <c r="K25" s="1177" t="str">
        <f t="shared" si="0"/>
        <v/>
      </c>
    </row>
    <row r="26" spans="11:11" x14ac:dyDescent="0.2">
      <c r="K26" s="1177" t="str">
        <f t="shared" si="0"/>
        <v/>
      </c>
    </row>
    <row r="27" spans="11:11" x14ac:dyDescent="0.2">
      <c r="K27" s="1177" t="str">
        <f t="shared" si="0"/>
        <v/>
      </c>
    </row>
    <row r="28" spans="11:11" x14ac:dyDescent="0.2">
      <c r="K28" s="1177" t="str">
        <f t="shared" si="0"/>
        <v/>
      </c>
    </row>
    <row r="29" spans="11:11" x14ac:dyDescent="0.2">
      <c r="K29" s="1177" t="str">
        <f t="shared" si="0"/>
        <v/>
      </c>
    </row>
    <row r="30" spans="11:11" x14ac:dyDescent="0.2">
      <c r="K30" s="1177" t="str">
        <f t="shared" si="0"/>
        <v/>
      </c>
    </row>
    <row r="31" spans="11:11" x14ac:dyDescent="0.2">
      <c r="K31" s="1177" t="str">
        <f t="shared" si="0"/>
        <v/>
      </c>
    </row>
    <row r="32" spans="11:11" x14ac:dyDescent="0.2">
      <c r="K32" s="1177" t="str">
        <f t="shared" si="0"/>
        <v/>
      </c>
    </row>
    <row r="33" spans="11:11" x14ac:dyDescent="0.2">
      <c r="K33" s="1177" t="str">
        <f t="shared" si="0"/>
        <v/>
      </c>
    </row>
    <row r="34" spans="11:11" x14ac:dyDescent="0.2">
      <c r="K34" s="1177" t="str">
        <f t="shared" si="0"/>
        <v/>
      </c>
    </row>
    <row r="35" spans="11:11" x14ac:dyDescent="0.2">
      <c r="K35" s="1177" t="str">
        <f t="shared" si="0"/>
        <v/>
      </c>
    </row>
    <row r="36" spans="11:11" x14ac:dyDescent="0.2">
      <c r="K36" s="1177" t="str">
        <f t="shared" si="0"/>
        <v/>
      </c>
    </row>
    <row r="37" spans="11:11" x14ac:dyDescent="0.2">
      <c r="K37" s="1177" t="str">
        <f t="shared" si="0"/>
        <v/>
      </c>
    </row>
    <row r="38" spans="11:11" x14ac:dyDescent="0.2">
      <c r="K38" s="1177" t="str">
        <f t="shared" si="0"/>
        <v/>
      </c>
    </row>
    <row r="39" spans="11:11" x14ac:dyDescent="0.2">
      <c r="K39" s="1177" t="str">
        <f t="shared" si="0"/>
        <v/>
      </c>
    </row>
    <row r="40" spans="11:11" x14ac:dyDescent="0.2">
      <c r="K40" s="1177" t="str">
        <f t="shared" si="0"/>
        <v/>
      </c>
    </row>
    <row r="41" spans="11:11" x14ac:dyDescent="0.2">
      <c r="K41" s="1177" t="str">
        <f t="shared" si="0"/>
        <v/>
      </c>
    </row>
    <row r="42" spans="11:11" x14ac:dyDescent="0.2">
      <c r="K42" s="1177" t="str">
        <f t="shared" si="0"/>
        <v/>
      </c>
    </row>
    <row r="43" spans="11:11" x14ac:dyDescent="0.2">
      <c r="K43" s="1177" t="str">
        <f t="shared" si="0"/>
        <v/>
      </c>
    </row>
    <row r="44" spans="11:11" x14ac:dyDescent="0.2">
      <c r="K44" s="1177" t="str">
        <f t="shared" si="0"/>
        <v/>
      </c>
    </row>
    <row r="45" spans="11:11" x14ac:dyDescent="0.2">
      <c r="K45" s="1177" t="str">
        <f t="shared" si="0"/>
        <v/>
      </c>
    </row>
    <row r="46" spans="11:11" x14ac:dyDescent="0.2">
      <c r="K46" s="1177" t="str">
        <f t="shared" si="0"/>
        <v/>
      </c>
    </row>
    <row r="47" spans="11:11" x14ac:dyDescent="0.2">
      <c r="K47" s="1177" t="str">
        <f t="shared" si="0"/>
        <v/>
      </c>
    </row>
    <row r="48" spans="11:11" x14ac:dyDescent="0.2">
      <c r="K48" s="1177" t="str">
        <f t="shared" si="0"/>
        <v/>
      </c>
    </row>
    <row r="49" spans="11:11" x14ac:dyDescent="0.2">
      <c r="K49" s="1177" t="str">
        <f t="shared" si="0"/>
        <v/>
      </c>
    </row>
    <row r="50" spans="11:11" x14ac:dyDescent="0.2">
      <c r="K50" s="1177" t="str">
        <f t="shared" si="0"/>
        <v/>
      </c>
    </row>
    <row r="51" spans="11:11" x14ac:dyDescent="0.2">
      <c r="K51" s="1177" t="str">
        <f t="shared" si="0"/>
        <v/>
      </c>
    </row>
    <row r="52" spans="11:11" x14ac:dyDescent="0.2">
      <c r="K52" s="1177" t="str">
        <f t="shared" si="0"/>
        <v/>
      </c>
    </row>
    <row r="53" spans="11:11" x14ac:dyDescent="0.2">
      <c r="K53" s="1177" t="str">
        <f t="shared" si="0"/>
        <v/>
      </c>
    </row>
    <row r="54" spans="11:11" x14ac:dyDescent="0.2">
      <c r="K54" s="1177" t="str">
        <f t="shared" si="0"/>
        <v/>
      </c>
    </row>
    <row r="55" spans="11:11" x14ac:dyDescent="0.2">
      <c r="K55" s="1177" t="str">
        <f t="shared" si="0"/>
        <v/>
      </c>
    </row>
    <row r="56" spans="11:11" x14ac:dyDescent="0.2">
      <c r="K56" s="1177" t="str">
        <f t="shared" si="0"/>
        <v/>
      </c>
    </row>
    <row r="57" spans="11:11" x14ac:dyDescent="0.2">
      <c r="K57" s="1177" t="str">
        <f t="shared" si="0"/>
        <v/>
      </c>
    </row>
    <row r="58" spans="11:11" x14ac:dyDescent="0.2">
      <c r="K58" s="1177" t="str">
        <f t="shared" si="0"/>
        <v/>
      </c>
    </row>
    <row r="59" spans="11:11" x14ac:dyDescent="0.2">
      <c r="K59" s="1177" t="str">
        <f t="shared" si="0"/>
        <v/>
      </c>
    </row>
    <row r="60" spans="11:11" x14ac:dyDescent="0.2">
      <c r="K60" s="1177" t="str">
        <f t="shared" si="0"/>
        <v/>
      </c>
    </row>
    <row r="61" spans="11:11" x14ac:dyDescent="0.2">
      <c r="K61" s="1177" t="str">
        <f t="shared" si="0"/>
        <v/>
      </c>
    </row>
    <row r="62" spans="11:11" x14ac:dyDescent="0.2">
      <c r="K62" s="1177" t="str">
        <f t="shared" si="0"/>
        <v/>
      </c>
    </row>
    <row r="63" spans="11:11" x14ac:dyDescent="0.2">
      <c r="K63" s="1177" t="str">
        <f t="shared" si="0"/>
        <v/>
      </c>
    </row>
    <row r="64" spans="11:11" x14ac:dyDescent="0.2">
      <c r="K64" s="1177" t="str">
        <f t="shared" si="0"/>
        <v/>
      </c>
    </row>
    <row r="65" spans="11:11" x14ac:dyDescent="0.2">
      <c r="K65" s="1177" t="str">
        <f t="shared" si="0"/>
        <v/>
      </c>
    </row>
    <row r="66" spans="11:11" x14ac:dyDescent="0.2">
      <c r="K66" s="1177" t="str">
        <f t="shared" si="0"/>
        <v/>
      </c>
    </row>
    <row r="67" spans="11:11" x14ac:dyDescent="0.2">
      <c r="K67" s="1177" t="str">
        <f t="shared" si="0"/>
        <v/>
      </c>
    </row>
    <row r="68" spans="11:11" x14ac:dyDescent="0.2">
      <c r="K68" s="1177" t="str">
        <f t="shared" si="0"/>
        <v/>
      </c>
    </row>
    <row r="69" spans="11:11" x14ac:dyDescent="0.2">
      <c r="K69" s="1177" t="str">
        <f t="shared" si="0"/>
        <v/>
      </c>
    </row>
    <row r="70" spans="11:11" x14ac:dyDescent="0.2">
      <c r="K70" s="1177" t="str">
        <f t="shared" si="0"/>
        <v/>
      </c>
    </row>
    <row r="71" spans="11:11" x14ac:dyDescent="0.2">
      <c r="K71" s="1177" t="str">
        <f t="shared" si="0"/>
        <v/>
      </c>
    </row>
    <row r="72" spans="11:11" x14ac:dyDescent="0.2">
      <c r="K72" s="1177" t="str">
        <f t="shared" si="0"/>
        <v/>
      </c>
    </row>
    <row r="73" spans="11:11" x14ac:dyDescent="0.2">
      <c r="K73" s="1177" t="str">
        <f t="shared" ref="K73:K136" si="1">A73&amp;C73&amp;E73&amp;G73&amp;I73</f>
        <v/>
      </c>
    </row>
    <row r="74" spans="11:11" x14ac:dyDescent="0.2">
      <c r="K74" s="1177" t="str">
        <f t="shared" si="1"/>
        <v/>
      </c>
    </row>
    <row r="75" spans="11:11" x14ac:dyDescent="0.2">
      <c r="K75" s="1177" t="str">
        <f t="shared" si="1"/>
        <v/>
      </c>
    </row>
    <row r="76" spans="11:11" x14ac:dyDescent="0.2">
      <c r="K76" s="1177" t="str">
        <f t="shared" si="1"/>
        <v/>
      </c>
    </row>
    <row r="77" spans="11:11" x14ac:dyDescent="0.2">
      <c r="K77" s="1177" t="str">
        <f t="shared" si="1"/>
        <v/>
      </c>
    </row>
    <row r="78" spans="11:11" x14ac:dyDescent="0.2">
      <c r="K78" s="1177" t="str">
        <f t="shared" si="1"/>
        <v/>
      </c>
    </row>
    <row r="79" spans="11:11" x14ac:dyDescent="0.2">
      <c r="K79" s="1177" t="str">
        <f t="shared" si="1"/>
        <v/>
      </c>
    </row>
    <row r="80" spans="11:11" x14ac:dyDescent="0.2">
      <c r="K80" s="1177" t="str">
        <f t="shared" si="1"/>
        <v/>
      </c>
    </row>
    <row r="81" spans="11:11" x14ac:dyDescent="0.2">
      <c r="K81" s="1177" t="str">
        <f t="shared" si="1"/>
        <v/>
      </c>
    </row>
    <row r="82" spans="11:11" x14ac:dyDescent="0.2">
      <c r="K82" s="1177" t="str">
        <f t="shared" si="1"/>
        <v/>
      </c>
    </row>
    <row r="83" spans="11:11" x14ac:dyDescent="0.2">
      <c r="K83" s="1177" t="str">
        <f t="shared" si="1"/>
        <v/>
      </c>
    </row>
    <row r="84" spans="11:11" x14ac:dyDescent="0.2">
      <c r="K84" s="1177" t="str">
        <f t="shared" si="1"/>
        <v/>
      </c>
    </row>
    <row r="85" spans="11:11" x14ac:dyDescent="0.2">
      <c r="K85" s="1177" t="str">
        <f t="shared" si="1"/>
        <v/>
      </c>
    </row>
    <row r="86" spans="11:11" x14ac:dyDescent="0.2">
      <c r="K86" s="1177" t="str">
        <f t="shared" si="1"/>
        <v/>
      </c>
    </row>
    <row r="87" spans="11:11" x14ac:dyDescent="0.2">
      <c r="K87" s="1177" t="str">
        <f t="shared" si="1"/>
        <v/>
      </c>
    </row>
    <row r="88" spans="11:11" x14ac:dyDescent="0.2">
      <c r="K88" s="1177" t="str">
        <f t="shared" si="1"/>
        <v/>
      </c>
    </row>
    <row r="89" spans="11:11" x14ac:dyDescent="0.2">
      <c r="K89" s="1177" t="str">
        <f t="shared" si="1"/>
        <v/>
      </c>
    </row>
    <row r="90" spans="11:11" x14ac:dyDescent="0.2">
      <c r="K90" s="1177" t="str">
        <f t="shared" si="1"/>
        <v/>
      </c>
    </row>
    <row r="91" spans="11:11" x14ac:dyDescent="0.2">
      <c r="K91" s="1177" t="str">
        <f t="shared" si="1"/>
        <v/>
      </c>
    </row>
    <row r="92" spans="11:11" x14ac:dyDescent="0.2">
      <c r="K92" s="1177" t="str">
        <f t="shared" si="1"/>
        <v/>
      </c>
    </row>
    <row r="93" spans="11:11" x14ac:dyDescent="0.2">
      <c r="K93" s="1177" t="str">
        <f t="shared" si="1"/>
        <v/>
      </c>
    </row>
    <row r="94" spans="11:11" x14ac:dyDescent="0.2">
      <c r="K94" s="1177" t="str">
        <f t="shared" si="1"/>
        <v/>
      </c>
    </row>
    <row r="95" spans="11:11" x14ac:dyDescent="0.2">
      <c r="K95" s="1177" t="str">
        <f t="shared" si="1"/>
        <v/>
      </c>
    </row>
    <row r="96" spans="11:11" x14ac:dyDescent="0.2">
      <c r="K96" s="1177" t="str">
        <f t="shared" si="1"/>
        <v/>
      </c>
    </row>
    <row r="97" spans="11:11" x14ac:dyDescent="0.2">
      <c r="K97" s="1177" t="str">
        <f t="shared" si="1"/>
        <v/>
      </c>
    </row>
    <row r="98" spans="11:11" x14ac:dyDescent="0.2">
      <c r="K98" s="1177" t="str">
        <f t="shared" si="1"/>
        <v/>
      </c>
    </row>
    <row r="99" spans="11:11" x14ac:dyDescent="0.2">
      <c r="K99" s="1177" t="str">
        <f t="shared" si="1"/>
        <v/>
      </c>
    </row>
    <row r="100" spans="11:11" x14ac:dyDescent="0.2">
      <c r="K100" s="1177" t="str">
        <f t="shared" si="1"/>
        <v/>
      </c>
    </row>
    <row r="101" spans="11:11" x14ac:dyDescent="0.2">
      <c r="K101" s="1177" t="str">
        <f t="shared" si="1"/>
        <v/>
      </c>
    </row>
    <row r="102" spans="11:11" x14ac:dyDescent="0.2">
      <c r="K102" s="1177" t="str">
        <f t="shared" si="1"/>
        <v/>
      </c>
    </row>
    <row r="103" spans="11:11" x14ac:dyDescent="0.2">
      <c r="K103" s="1177" t="str">
        <f t="shared" si="1"/>
        <v/>
      </c>
    </row>
    <row r="104" spans="11:11" x14ac:dyDescent="0.2">
      <c r="K104" s="1177" t="str">
        <f t="shared" si="1"/>
        <v/>
      </c>
    </row>
    <row r="105" spans="11:11" x14ac:dyDescent="0.2">
      <c r="K105" s="1177" t="str">
        <f t="shared" si="1"/>
        <v/>
      </c>
    </row>
    <row r="106" spans="11:11" x14ac:dyDescent="0.2">
      <c r="K106" s="1177" t="str">
        <f t="shared" si="1"/>
        <v/>
      </c>
    </row>
    <row r="107" spans="11:11" x14ac:dyDescent="0.2">
      <c r="K107" s="1177" t="str">
        <f t="shared" si="1"/>
        <v/>
      </c>
    </row>
    <row r="108" spans="11:11" x14ac:dyDescent="0.2">
      <c r="K108" s="1177" t="str">
        <f t="shared" si="1"/>
        <v/>
      </c>
    </row>
    <row r="109" spans="11:11" x14ac:dyDescent="0.2">
      <c r="K109" s="1177" t="str">
        <f t="shared" si="1"/>
        <v/>
      </c>
    </row>
    <row r="110" spans="11:11" x14ac:dyDescent="0.2">
      <c r="K110" s="1177" t="str">
        <f t="shared" si="1"/>
        <v/>
      </c>
    </row>
    <row r="111" spans="11:11" x14ac:dyDescent="0.2">
      <c r="K111" s="1177" t="str">
        <f t="shared" si="1"/>
        <v/>
      </c>
    </row>
    <row r="112" spans="11:11" x14ac:dyDescent="0.2">
      <c r="K112" s="1177" t="str">
        <f t="shared" si="1"/>
        <v/>
      </c>
    </row>
    <row r="113" spans="11:11" x14ac:dyDescent="0.2">
      <c r="K113" s="1177" t="str">
        <f t="shared" si="1"/>
        <v/>
      </c>
    </row>
    <row r="114" spans="11:11" x14ac:dyDescent="0.2">
      <c r="K114" s="1177" t="str">
        <f t="shared" si="1"/>
        <v/>
      </c>
    </row>
    <row r="115" spans="11:11" x14ac:dyDescent="0.2">
      <c r="K115" s="1177" t="str">
        <f t="shared" si="1"/>
        <v/>
      </c>
    </row>
    <row r="116" spans="11:11" x14ac:dyDescent="0.2">
      <c r="K116" s="1177" t="str">
        <f t="shared" si="1"/>
        <v/>
      </c>
    </row>
    <row r="117" spans="11:11" x14ac:dyDescent="0.2">
      <c r="K117" s="1177" t="str">
        <f t="shared" si="1"/>
        <v/>
      </c>
    </row>
    <row r="118" spans="11:11" x14ac:dyDescent="0.2">
      <c r="K118" s="1177" t="str">
        <f t="shared" si="1"/>
        <v/>
      </c>
    </row>
    <row r="119" spans="11:11" x14ac:dyDescent="0.2">
      <c r="K119" s="1177" t="str">
        <f t="shared" si="1"/>
        <v/>
      </c>
    </row>
    <row r="120" spans="11:11" x14ac:dyDescent="0.2">
      <c r="K120" s="1177" t="str">
        <f t="shared" si="1"/>
        <v/>
      </c>
    </row>
    <row r="121" spans="11:11" x14ac:dyDescent="0.2">
      <c r="K121" s="1177" t="str">
        <f t="shared" si="1"/>
        <v/>
      </c>
    </row>
    <row r="122" spans="11:11" x14ac:dyDescent="0.2">
      <c r="K122" s="1177" t="str">
        <f t="shared" si="1"/>
        <v/>
      </c>
    </row>
    <row r="123" spans="11:11" x14ac:dyDescent="0.2">
      <c r="K123" s="1177" t="str">
        <f t="shared" si="1"/>
        <v/>
      </c>
    </row>
    <row r="124" spans="11:11" x14ac:dyDescent="0.2">
      <c r="K124" s="1177" t="str">
        <f t="shared" si="1"/>
        <v/>
      </c>
    </row>
    <row r="125" spans="11:11" x14ac:dyDescent="0.2">
      <c r="K125" s="1177" t="str">
        <f t="shared" si="1"/>
        <v/>
      </c>
    </row>
    <row r="126" spans="11:11" x14ac:dyDescent="0.2">
      <c r="K126" s="1177" t="str">
        <f t="shared" si="1"/>
        <v/>
      </c>
    </row>
    <row r="127" spans="11:11" x14ac:dyDescent="0.2">
      <c r="K127" s="1177" t="str">
        <f t="shared" si="1"/>
        <v/>
      </c>
    </row>
    <row r="128" spans="11:11" x14ac:dyDescent="0.2">
      <c r="K128" s="1177" t="str">
        <f t="shared" si="1"/>
        <v/>
      </c>
    </row>
    <row r="129" spans="11:11" x14ac:dyDescent="0.2">
      <c r="K129" s="1177" t="str">
        <f t="shared" si="1"/>
        <v/>
      </c>
    </row>
    <row r="130" spans="11:11" x14ac:dyDescent="0.2">
      <c r="K130" s="1177" t="str">
        <f t="shared" si="1"/>
        <v/>
      </c>
    </row>
    <row r="131" spans="11:11" x14ac:dyDescent="0.2">
      <c r="K131" s="1177" t="str">
        <f t="shared" si="1"/>
        <v/>
      </c>
    </row>
    <row r="132" spans="11:11" x14ac:dyDescent="0.2">
      <c r="K132" s="1177" t="str">
        <f t="shared" si="1"/>
        <v/>
      </c>
    </row>
    <row r="133" spans="11:11" x14ac:dyDescent="0.2">
      <c r="K133" s="1177" t="str">
        <f t="shared" si="1"/>
        <v/>
      </c>
    </row>
    <row r="134" spans="11:11" x14ac:dyDescent="0.2">
      <c r="K134" s="1177" t="str">
        <f t="shared" si="1"/>
        <v/>
      </c>
    </row>
    <row r="135" spans="11:11" x14ac:dyDescent="0.2">
      <c r="K135" s="1177" t="str">
        <f t="shared" si="1"/>
        <v/>
      </c>
    </row>
    <row r="136" spans="11:11" x14ac:dyDescent="0.2">
      <c r="K136" s="1177" t="str">
        <f t="shared" si="1"/>
        <v/>
      </c>
    </row>
    <row r="137" spans="11:11" x14ac:dyDescent="0.2">
      <c r="K137" s="1177" t="str">
        <f t="shared" ref="K137:K200" si="2">A137&amp;C137&amp;E137&amp;G137&amp;I137</f>
        <v/>
      </c>
    </row>
    <row r="138" spans="11:11" x14ac:dyDescent="0.2">
      <c r="K138" s="1177" t="str">
        <f t="shared" si="2"/>
        <v/>
      </c>
    </row>
    <row r="139" spans="11:11" x14ac:dyDescent="0.2">
      <c r="K139" s="1177" t="str">
        <f t="shared" si="2"/>
        <v/>
      </c>
    </row>
    <row r="140" spans="11:11" x14ac:dyDescent="0.2">
      <c r="K140" s="1177" t="str">
        <f t="shared" si="2"/>
        <v/>
      </c>
    </row>
    <row r="141" spans="11:11" x14ac:dyDescent="0.2">
      <c r="K141" s="1177" t="str">
        <f t="shared" si="2"/>
        <v/>
      </c>
    </row>
    <row r="142" spans="11:11" x14ac:dyDescent="0.2">
      <c r="K142" s="1177" t="str">
        <f t="shared" si="2"/>
        <v/>
      </c>
    </row>
    <row r="143" spans="11:11" x14ac:dyDescent="0.2">
      <c r="K143" s="1177" t="str">
        <f t="shared" si="2"/>
        <v/>
      </c>
    </row>
    <row r="144" spans="11:11" x14ac:dyDescent="0.2">
      <c r="K144" s="1177" t="str">
        <f t="shared" si="2"/>
        <v/>
      </c>
    </row>
    <row r="145" spans="11:11" x14ac:dyDescent="0.2">
      <c r="K145" s="1177" t="str">
        <f t="shared" si="2"/>
        <v/>
      </c>
    </row>
    <row r="146" spans="11:11" x14ac:dyDescent="0.2">
      <c r="K146" s="1177" t="str">
        <f t="shared" si="2"/>
        <v/>
      </c>
    </row>
    <row r="147" spans="11:11" x14ac:dyDescent="0.2">
      <c r="K147" s="1177" t="str">
        <f t="shared" si="2"/>
        <v/>
      </c>
    </row>
    <row r="148" spans="11:11" x14ac:dyDescent="0.2">
      <c r="K148" s="1177" t="str">
        <f t="shared" si="2"/>
        <v/>
      </c>
    </row>
    <row r="149" spans="11:11" x14ac:dyDescent="0.2">
      <c r="K149" s="1177" t="str">
        <f t="shared" si="2"/>
        <v/>
      </c>
    </row>
    <row r="150" spans="11:11" x14ac:dyDescent="0.2">
      <c r="K150" s="1177" t="str">
        <f t="shared" si="2"/>
        <v/>
      </c>
    </row>
    <row r="151" spans="11:11" x14ac:dyDescent="0.2">
      <c r="K151" s="1177" t="str">
        <f t="shared" si="2"/>
        <v/>
      </c>
    </row>
    <row r="152" spans="11:11" x14ac:dyDescent="0.2">
      <c r="K152" s="1177" t="str">
        <f t="shared" si="2"/>
        <v/>
      </c>
    </row>
    <row r="153" spans="11:11" x14ac:dyDescent="0.2">
      <c r="K153" s="1177" t="str">
        <f t="shared" si="2"/>
        <v/>
      </c>
    </row>
    <row r="154" spans="11:11" x14ac:dyDescent="0.2">
      <c r="K154" s="1177" t="str">
        <f t="shared" si="2"/>
        <v/>
      </c>
    </row>
    <row r="155" spans="11:11" x14ac:dyDescent="0.2">
      <c r="K155" s="1177" t="str">
        <f t="shared" si="2"/>
        <v/>
      </c>
    </row>
    <row r="156" spans="11:11" x14ac:dyDescent="0.2">
      <c r="K156" s="1177" t="str">
        <f t="shared" si="2"/>
        <v/>
      </c>
    </row>
    <row r="157" spans="11:11" x14ac:dyDescent="0.2">
      <c r="K157" s="1177" t="str">
        <f t="shared" si="2"/>
        <v/>
      </c>
    </row>
    <row r="158" spans="11:11" x14ac:dyDescent="0.2">
      <c r="K158" s="1177" t="str">
        <f t="shared" si="2"/>
        <v/>
      </c>
    </row>
    <row r="159" spans="11:11" x14ac:dyDescent="0.2">
      <c r="K159" s="1177" t="str">
        <f t="shared" si="2"/>
        <v/>
      </c>
    </row>
    <row r="160" spans="11:11" x14ac:dyDescent="0.2">
      <c r="K160" s="1177" t="str">
        <f t="shared" si="2"/>
        <v/>
      </c>
    </row>
    <row r="161" spans="11:11" x14ac:dyDescent="0.2">
      <c r="K161" s="1177" t="str">
        <f t="shared" si="2"/>
        <v/>
      </c>
    </row>
    <row r="162" spans="11:11" x14ac:dyDescent="0.2">
      <c r="K162" s="1177" t="str">
        <f t="shared" si="2"/>
        <v/>
      </c>
    </row>
    <row r="163" spans="11:11" x14ac:dyDescent="0.2">
      <c r="K163" s="1177" t="str">
        <f t="shared" si="2"/>
        <v/>
      </c>
    </row>
    <row r="164" spans="11:11" x14ac:dyDescent="0.2">
      <c r="K164" s="1177" t="str">
        <f t="shared" si="2"/>
        <v/>
      </c>
    </row>
    <row r="165" spans="11:11" x14ac:dyDescent="0.2">
      <c r="K165" s="1177" t="str">
        <f t="shared" si="2"/>
        <v/>
      </c>
    </row>
    <row r="166" spans="11:11" x14ac:dyDescent="0.2">
      <c r="K166" s="1177" t="str">
        <f t="shared" si="2"/>
        <v/>
      </c>
    </row>
    <row r="167" spans="11:11" x14ac:dyDescent="0.2">
      <c r="K167" s="1177" t="str">
        <f t="shared" si="2"/>
        <v/>
      </c>
    </row>
    <row r="168" spans="11:11" x14ac:dyDescent="0.2">
      <c r="K168" s="1177" t="str">
        <f t="shared" si="2"/>
        <v/>
      </c>
    </row>
    <row r="169" spans="11:11" x14ac:dyDescent="0.2">
      <c r="K169" s="1177" t="str">
        <f t="shared" si="2"/>
        <v/>
      </c>
    </row>
    <row r="170" spans="11:11" x14ac:dyDescent="0.2">
      <c r="K170" s="1177" t="str">
        <f t="shared" si="2"/>
        <v/>
      </c>
    </row>
    <row r="171" spans="11:11" x14ac:dyDescent="0.2">
      <c r="K171" s="1177" t="str">
        <f t="shared" si="2"/>
        <v/>
      </c>
    </row>
    <row r="172" spans="11:11" x14ac:dyDescent="0.2">
      <c r="K172" s="1177" t="str">
        <f t="shared" si="2"/>
        <v/>
      </c>
    </row>
    <row r="173" spans="11:11" x14ac:dyDescent="0.2">
      <c r="K173" s="1177" t="str">
        <f t="shared" si="2"/>
        <v/>
      </c>
    </row>
    <row r="174" spans="11:11" x14ac:dyDescent="0.2">
      <c r="K174" s="1177" t="str">
        <f t="shared" si="2"/>
        <v/>
      </c>
    </row>
    <row r="175" spans="11:11" x14ac:dyDescent="0.2">
      <c r="K175" s="1177" t="str">
        <f t="shared" si="2"/>
        <v/>
      </c>
    </row>
    <row r="176" spans="11:11" x14ac:dyDescent="0.2">
      <c r="K176" s="1177" t="str">
        <f t="shared" si="2"/>
        <v/>
      </c>
    </row>
    <row r="177" spans="11:11" x14ac:dyDescent="0.2">
      <c r="K177" s="1177" t="str">
        <f t="shared" si="2"/>
        <v/>
      </c>
    </row>
    <row r="178" spans="11:11" x14ac:dyDescent="0.2">
      <c r="K178" s="1177" t="str">
        <f t="shared" si="2"/>
        <v/>
      </c>
    </row>
    <row r="179" spans="11:11" x14ac:dyDescent="0.2">
      <c r="K179" s="1177" t="str">
        <f t="shared" si="2"/>
        <v/>
      </c>
    </row>
    <row r="180" spans="11:11" x14ac:dyDescent="0.2">
      <c r="K180" s="1177" t="str">
        <f t="shared" si="2"/>
        <v/>
      </c>
    </row>
    <row r="181" spans="11:11" x14ac:dyDescent="0.2">
      <c r="K181" s="1177" t="str">
        <f t="shared" si="2"/>
        <v/>
      </c>
    </row>
    <row r="182" spans="11:11" x14ac:dyDescent="0.2">
      <c r="K182" s="1177" t="str">
        <f t="shared" si="2"/>
        <v/>
      </c>
    </row>
    <row r="183" spans="11:11" x14ac:dyDescent="0.2">
      <c r="K183" s="1177" t="str">
        <f t="shared" si="2"/>
        <v/>
      </c>
    </row>
    <row r="184" spans="11:11" x14ac:dyDescent="0.2">
      <c r="K184" s="1177" t="str">
        <f t="shared" si="2"/>
        <v/>
      </c>
    </row>
    <row r="185" spans="11:11" x14ac:dyDescent="0.2">
      <c r="K185" s="1177" t="str">
        <f t="shared" si="2"/>
        <v/>
      </c>
    </row>
    <row r="186" spans="11:11" x14ac:dyDescent="0.2">
      <c r="K186" s="1177" t="str">
        <f t="shared" si="2"/>
        <v/>
      </c>
    </row>
    <row r="187" spans="11:11" x14ac:dyDescent="0.2">
      <c r="K187" s="1177" t="str">
        <f t="shared" si="2"/>
        <v/>
      </c>
    </row>
    <row r="188" spans="11:11" x14ac:dyDescent="0.2">
      <c r="K188" s="1177" t="str">
        <f t="shared" si="2"/>
        <v/>
      </c>
    </row>
    <row r="189" spans="11:11" x14ac:dyDescent="0.2">
      <c r="K189" s="1177" t="str">
        <f t="shared" si="2"/>
        <v/>
      </c>
    </row>
    <row r="190" spans="11:11" x14ac:dyDescent="0.2">
      <c r="K190" s="1177" t="str">
        <f t="shared" si="2"/>
        <v/>
      </c>
    </row>
    <row r="191" spans="11:11" x14ac:dyDescent="0.2">
      <c r="K191" s="1177" t="str">
        <f t="shared" si="2"/>
        <v/>
      </c>
    </row>
    <row r="192" spans="11:11" x14ac:dyDescent="0.2">
      <c r="K192" s="1177" t="str">
        <f t="shared" si="2"/>
        <v/>
      </c>
    </row>
    <row r="193" spans="11:11" x14ac:dyDescent="0.2">
      <c r="K193" s="1177" t="str">
        <f t="shared" si="2"/>
        <v/>
      </c>
    </row>
    <row r="194" spans="11:11" x14ac:dyDescent="0.2">
      <c r="K194" s="1177" t="str">
        <f t="shared" si="2"/>
        <v/>
      </c>
    </row>
    <row r="195" spans="11:11" x14ac:dyDescent="0.2">
      <c r="K195" s="1177" t="str">
        <f t="shared" si="2"/>
        <v/>
      </c>
    </row>
    <row r="196" spans="11:11" x14ac:dyDescent="0.2">
      <c r="K196" s="1177" t="str">
        <f t="shared" si="2"/>
        <v/>
      </c>
    </row>
    <row r="197" spans="11:11" x14ac:dyDescent="0.2">
      <c r="K197" s="1177" t="str">
        <f t="shared" si="2"/>
        <v/>
      </c>
    </row>
    <row r="198" spans="11:11" x14ac:dyDescent="0.2">
      <c r="K198" s="1177" t="str">
        <f t="shared" si="2"/>
        <v/>
      </c>
    </row>
    <row r="199" spans="11:11" x14ac:dyDescent="0.2">
      <c r="K199" s="1177" t="str">
        <f t="shared" si="2"/>
        <v/>
      </c>
    </row>
    <row r="200" spans="11:11" x14ac:dyDescent="0.2">
      <c r="K200" s="1177" t="str">
        <f t="shared" si="2"/>
        <v/>
      </c>
    </row>
    <row r="201" spans="11:11" x14ac:dyDescent="0.2">
      <c r="K201" s="1177" t="str">
        <f t="shared" ref="K201:K264" si="3">A201&amp;C201&amp;E201&amp;G201&amp;I201</f>
        <v/>
      </c>
    </row>
    <row r="202" spans="11:11" x14ac:dyDescent="0.2">
      <c r="K202" s="1177" t="str">
        <f t="shared" si="3"/>
        <v/>
      </c>
    </row>
    <row r="203" spans="11:11" x14ac:dyDescent="0.2">
      <c r="K203" s="1177" t="str">
        <f t="shared" si="3"/>
        <v/>
      </c>
    </row>
    <row r="204" spans="11:11" x14ac:dyDescent="0.2">
      <c r="K204" s="1177" t="str">
        <f t="shared" si="3"/>
        <v/>
      </c>
    </row>
    <row r="205" spans="11:11" x14ac:dyDescent="0.2">
      <c r="K205" s="1177" t="str">
        <f t="shared" si="3"/>
        <v/>
      </c>
    </row>
    <row r="206" spans="11:11" x14ac:dyDescent="0.2">
      <c r="K206" s="1177" t="str">
        <f t="shared" si="3"/>
        <v/>
      </c>
    </row>
    <row r="207" spans="11:11" x14ac:dyDescent="0.2">
      <c r="K207" s="1177" t="str">
        <f t="shared" si="3"/>
        <v/>
      </c>
    </row>
    <row r="208" spans="11:11" x14ac:dyDescent="0.2">
      <c r="K208" s="1177" t="str">
        <f t="shared" si="3"/>
        <v/>
      </c>
    </row>
    <row r="209" spans="11:11" x14ac:dyDescent="0.2">
      <c r="K209" s="1177" t="str">
        <f t="shared" si="3"/>
        <v/>
      </c>
    </row>
    <row r="210" spans="11:11" x14ac:dyDescent="0.2">
      <c r="K210" s="1177" t="str">
        <f t="shared" si="3"/>
        <v/>
      </c>
    </row>
    <row r="211" spans="11:11" x14ac:dyDescent="0.2">
      <c r="K211" s="1177" t="str">
        <f t="shared" si="3"/>
        <v/>
      </c>
    </row>
    <row r="212" spans="11:11" x14ac:dyDescent="0.2">
      <c r="K212" s="1177" t="str">
        <f t="shared" si="3"/>
        <v/>
      </c>
    </row>
    <row r="213" spans="11:11" x14ac:dyDescent="0.2">
      <c r="K213" s="1177" t="str">
        <f t="shared" si="3"/>
        <v/>
      </c>
    </row>
    <row r="214" spans="11:11" x14ac:dyDescent="0.2">
      <c r="K214" s="1177" t="str">
        <f t="shared" si="3"/>
        <v/>
      </c>
    </row>
    <row r="215" spans="11:11" x14ac:dyDescent="0.2">
      <c r="K215" s="1177" t="str">
        <f t="shared" si="3"/>
        <v/>
      </c>
    </row>
    <row r="216" spans="11:11" x14ac:dyDescent="0.2">
      <c r="K216" s="1177" t="str">
        <f t="shared" si="3"/>
        <v/>
      </c>
    </row>
    <row r="217" spans="11:11" x14ac:dyDescent="0.2">
      <c r="K217" s="1177" t="str">
        <f t="shared" si="3"/>
        <v/>
      </c>
    </row>
    <row r="218" spans="11:11" x14ac:dyDescent="0.2">
      <c r="K218" s="1177" t="str">
        <f t="shared" si="3"/>
        <v/>
      </c>
    </row>
    <row r="219" spans="11:11" x14ac:dyDescent="0.2">
      <c r="K219" s="1177" t="str">
        <f t="shared" si="3"/>
        <v/>
      </c>
    </row>
    <row r="220" spans="11:11" x14ac:dyDescent="0.2">
      <c r="K220" s="1177" t="str">
        <f t="shared" si="3"/>
        <v/>
      </c>
    </row>
    <row r="221" spans="11:11" x14ac:dyDescent="0.2">
      <c r="K221" s="1177" t="str">
        <f t="shared" si="3"/>
        <v/>
      </c>
    </row>
    <row r="222" spans="11:11" x14ac:dyDescent="0.2">
      <c r="K222" s="1177" t="str">
        <f t="shared" si="3"/>
        <v/>
      </c>
    </row>
    <row r="223" spans="11:11" x14ac:dyDescent="0.2">
      <c r="K223" s="1177" t="str">
        <f t="shared" si="3"/>
        <v/>
      </c>
    </row>
    <row r="224" spans="11:11" x14ac:dyDescent="0.2">
      <c r="K224" s="1177" t="str">
        <f t="shared" si="3"/>
        <v/>
      </c>
    </row>
    <row r="225" spans="11:11" x14ac:dyDescent="0.2">
      <c r="K225" s="1177" t="str">
        <f t="shared" si="3"/>
        <v/>
      </c>
    </row>
    <row r="226" spans="11:11" x14ac:dyDescent="0.2">
      <c r="K226" s="1177" t="str">
        <f t="shared" si="3"/>
        <v/>
      </c>
    </row>
    <row r="227" spans="11:11" x14ac:dyDescent="0.2">
      <c r="K227" s="1177" t="str">
        <f t="shared" si="3"/>
        <v/>
      </c>
    </row>
    <row r="228" spans="11:11" x14ac:dyDescent="0.2">
      <c r="K228" s="1177" t="str">
        <f t="shared" si="3"/>
        <v/>
      </c>
    </row>
    <row r="229" spans="11:11" x14ac:dyDescent="0.2">
      <c r="K229" s="1177" t="str">
        <f t="shared" si="3"/>
        <v/>
      </c>
    </row>
    <row r="230" spans="11:11" x14ac:dyDescent="0.2">
      <c r="K230" s="1177" t="str">
        <f t="shared" si="3"/>
        <v/>
      </c>
    </row>
    <row r="231" spans="11:11" x14ac:dyDescent="0.2">
      <c r="K231" s="1177" t="str">
        <f t="shared" si="3"/>
        <v/>
      </c>
    </row>
    <row r="232" spans="11:11" x14ac:dyDescent="0.2">
      <c r="K232" s="1177" t="str">
        <f t="shared" si="3"/>
        <v/>
      </c>
    </row>
    <row r="233" spans="11:11" x14ac:dyDescent="0.2">
      <c r="K233" s="1177" t="str">
        <f t="shared" si="3"/>
        <v/>
      </c>
    </row>
    <row r="234" spans="11:11" x14ac:dyDescent="0.2">
      <c r="K234" s="1177" t="str">
        <f t="shared" si="3"/>
        <v/>
      </c>
    </row>
    <row r="235" spans="11:11" x14ac:dyDescent="0.2">
      <c r="K235" s="1177" t="str">
        <f t="shared" si="3"/>
        <v/>
      </c>
    </row>
    <row r="236" spans="11:11" x14ac:dyDescent="0.2">
      <c r="K236" s="1177" t="str">
        <f t="shared" si="3"/>
        <v/>
      </c>
    </row>
    <row r="237" spans="11:11" x14ac:dyDescent="0.2">
      <c r="K237" s="1177" t="str">
        <f t="shared" si="3"/>
        <v/>
      </c>
    </row>
    <row r="238" spans="11:11" x14ac:dyDescent="0.2">
      <c r="K238" s="1177" t="str">
        <f t="shared" si="3"/>
        <v/>
      </c>
    </row>
    <row r="239" spans="11:11" x14ac:dyDescent="0.2">
      <c r="K239" s="1177" t="str">
        <f t="shared" si="3"/>
        <v/>
      </c>
    </row>
    <row r="240" spans="11:11" x14ac:dyDescent="0.2">
      <c r="K240" s="1177" t="str">
        <f t="shared" si="3"/>
        <v/>
      </c>
    </row>
    <row r="241" spans="11:11" x14ac:dyDescent="0.2">
      <c r="K241" s="1177" t="str">
        <f t="shared" si="3"/>
        <v/>
      </c>
    </row>
    <row r="242" spans="11:11" x14ac:dyDescent="0.2">
      <c r="K242" s="1177" t="str">
        <f t="shared" si="3"/>
        <v/>
      </c>
    </row>
    <row r="243" spans="11:11" x14ac:dyDescent="0.2">
      <c r="K243" s="1177" t="str">
        <f t="shared" si="3"/>
        <v/>
      </c>
    </row>
    <row r="244" spans="11:11" x14ac:dyDescent="0.2">
      <c r="K244" s="1177" t="str">
        <f t="shared" si="3"/>
        <v/>
      </c>
    </row>
    <row r="245" spans="11:11" x14ac:dyDescent="0.2">
      <c r="K245" s="1177" t="str">
        <f t="shared" si="3"/>
        <v/>
      </c>
    </row>
    <row r="246" spans="11:11" x14ac:dyDescent="0.2">
      <c r="K246" s="1177" t="str">
        <f t="shared" si="3"/>
        <v/>
      </c>
    </row>
    <row r="247" spans="11:11" x14ac:dyDescent="0.2">
      <c r="K247" s="1177" t="str">
        <f t="shared" si="3"/>
        <v/>
      </c>
    </row>
    <row r="248" spans="11:11" x14ac:dyDescent="0.2">
      <c r="K248" s="1177" t="str">
        <f t="shared" si="3"/>
        <v/>
      </c>
    </row>
    <row r="249" spans="11:11" x14ac:dyDescent="0.2">
      <c r="K249" s="1177" t="str">
        <f t="shared" si="3"/>
        <v/>
      </c>
    </row>
    <row r="250" spans="11:11" x14ac:dyDescent="0.2">
      <c r="K250" s="1177" t="str">
        <f t="shared" si="3"/>
        <v/>
      </c>
    </row>
    <row r="251" spans="11:11" x14ac:dyDescent="0.2">
      <c r="K251" s="1177" t="str">
        <f t="shared" si="3"/>
        <v/>
      </c>
    </row>
    <row r="252" spans="11:11" x14ac:dyDescent="0.2">
      <c r="K252" s="1177" t="str">
        <f t="shared" si="3"/>
        <v/>
      </c>
    </row>
    <row r="253" spans="11:11" x14ac:dyDescent="0.2">
      <c r="K253" s="1177" t="str">
        <f t="shared" si="3"/>
        <v/>
      </c>
    </row>
    <row r="254" spans="11:11" x14ac:dyDescent="0.2">
      <c r="K254" s="1177" t="str">
        <f t="shared" si="3"/>
        <v/>
      </c>
    </row>
    <row r="255" spans="11:11" x14ac:dyDescent="0.2">
      <c r="K255" s="1177" t="str">
        <f t="shared" si="3"/>
        <v/>
      </c>
    </row>
    <row r="256" spans="11:11" x14ac:dyDescent="0.2">
      <c r="K256" s="1177" t="str">
        <f t="shared" si="3"/>
        <v/>
      </c>
    </row>
    <row r="257" spans="11:11" x14ac:dyDescent="0.2">
      <c r="K257" s="1177" t="str">
        <f t="shared" si="3"/>
        <v/>
      </c>
    </row>
    <row r="258" spans="11:11" x14ac:dyDescent="0.2">
      <c r="K258" s="1177" t="str">
        <f t="shared" si="3"/>
        <v/>
      </c>
    </row>
    <row r="259" spans="11:11" x14ac:dyDescent="0.2">
      <c r="K259" s="1177" t="str">
        <f t="shared" si="3"/>
        <v/>
      </c>
    </row>
    <row r="260" spans="11:11" x14ac:dyDescent="0.2">
      <c r="K260" s="1177" t="str">
        <f t="shared" si="3"/>
        <v/>
      </c>
    </row>
    <row r="261" spans="11:11" x14ac:dyDescent="0.2">
      <c r="K261" s="1177" t="str">
        <f t="shared" si="3"/>
        <v/>
      </c>
    </row>
    <row r="262" spans="11:11" x14ac:dyDescent="0.2">
      <c r="K262" s="1177" t="str">
        <f t="shared" si="3"/>
        <v/>
      </c>
    </row>
    <row r="263" spans="11:11" x14ac:dyDescent="0.2">
      <c r="K263" s="1177" t="str">
        <f t="shared" si="3"/>
        <v/>
      </c>
    </row>
    <row r="264" spans="11:11" x14ac:dyDescent="0.2">
      <c r="K264" s="1177" t="str">
        <f t="shared" si="3"/>
        <v/>
      </c>
    </row>
    <row r="265" spans="11:11" x14ac:dyDescent="0.2">
      <c r="K265" s="1177" t="str">
        <f t="shared" ref="K265:K328" si="4">A265&amp;C265&amp;E265&amp;G265&amp;I265</f>
        <v/>
      </c>
    </row>
    <row r="266" spans="11:11" x14ac:dyDescent="0.2">
      <c r="K266" s="1177" t="str">
        <f t="shared" si="4"/>
        <v/>
      </c>
    </row>
    <row r="267" spans="11:11" x14ac:dyDescent="0.2">
      <c r="K267" s="1177" t="str">
        <f t="shared" si="4"/>
        <v/>
      </c>
    </row>
    <row r="268" spans="11:11" x14ac:dyDescent="0.2">
      <c r="K268" s="1177" t="str">
        <f t="shared" si="4"/>
        <v/>
      </c>
    </row>
    <row r="269" spans="11:11" x14ac:dyDescent="0.2">
      <c r="K269" s="1177" t="str">
        <f t="shared" si="4"/>
        <v/>
      </c>
    </row>
    <row r="270" spans="11:11" x14ac:dyDescent="0.2">
      <c r="K270" s="1177" t="str">
        <f t="shared" si="4"/>
        <v/>
      </c>
    </row>
    <row r="271" spans="11:11" x14ac:dyDescent="0.2">
      <c r="K271" s="1177" t="str">
        <f t="shared" si="4"/>
        <v/>
      </c>
    </row>
    <row r="272" spans="11:11" x14ac:dyDescent="0.2">
      <c r="K272" s="1177" t="str">
        <f t="shared" si="4"/>
        <v/>
      </c>
    </row>
    <row r="273" spans="11:11" x14ac:dyDescent="0.2">
      <c r="K273" s="1177" t="str">
        <f t="shared" si="4"/>
        <v/>
      </c>
    </row>
    <row r="274" spans="11:11" x14ac:dyDescent="0.2">
      <c r="K274" s="1177" t="str">
        <f t="shared" si="4"/>
        <v/>
      </c>
    </row>
    <row r="275" spans="11:11" x14ac:dyDescent="0.2">
      <c r="K275" s="1177" t="str">
        <f t="shared" si="4"/>
        <v/>
      </c>
    </row>
    <row r="276" spans="11:11" x14ac:dyDescent="0.2">
      <c r="K276" s="1177" t="str">
        <f t="shared" si="4"/>
        <v/>
      </c>
    </row>
    <row r="277" spans="11:11" x14ac:dyDescent="0.2">
      <c r="K277" s="1177" t="str">
        <f t="shared" si="4"/>
        <v/>
      </c>
    </row>
    <row r="278" spans="11:11" x14ac:dyDescent="0.2">
      <c r="K278" s="1177" t="str">
        <f t="shared" si="4"/>
        <v/>
      </c>
    </row>
    <row r="279" spans="11:11" x14ac:dyDescent="0.2">
      <c r="K279" s="1177" t="str">
        <f t="shared" si="4"/>
        <v/>
      </c>
    </row>
    <row r="280" spans="11:11" x14ac:dyDescent="0.2">
      <c r="K280" s="1177" t="str">
        <f t="shared" si="4"/>
        <v/>
      </c>
    </row>
    <row r="281" spans="11:11" x14ac:dyDescent="0.2">
      <c r="K281" s="1177" t="str">
        <f t="shared" si="4"/>
        <v/>
      </c>
    </row>
    <row r="282" spans="11:11" x14ac:dyDescent="0.2">
      <c r="K282" s="1177" t="str">
        <f t="shared" si="4"/>
        <v/>
      </c>
    </row>
    <row r="283" spans="11:11" x14ac:dyDescent="0.2">
      <c r="K283" s="1177" t="str">
        <f t="shared" si="4"/>
        <v/>
      </c>
    </row>
    <row r="284" spans="11:11" x14ac:dyDescent="0.2">
      <c r="K284" s="1177" t="str">
        <f t="shared" si="4"/>
        <v/>
      </c>
    </row>
    <row r="285" spans="11:11" x14ac:dyDescent="0.2">
      <c r="K285" s="1177" t="str">
        <f t="shared" si="4"/>
        <v/>
      </c>
    </row>
    <row r="286" spans="11:11" x14ac:dyDescent="0.2">
      <c r="K286" s="1177" t="str">
        <f t="shared" si="4"/>
        <v/>
      </c>
    </row>
    <row r="287" spans="11:11" x14ac:dyDescent="0.2">
      <c r="K287" s="1177" t="str">
        <f t="shared" si="4"/>
        <v/>
      </c>
    </row>
    <row r="288" spans="11:11" x14ac:dyDescent="0.2">
      <c r="K288" s="1177" t="str">
        <f t="shared" si="4"/>
        <v/>
      </c>
    </row>
    <row r="289" spans="11:11" x14ac:dyDescent="0.2">
      <c r="K289" s="1177" t="str">
        <f t="shared" si="4"/>
        <v/>
      </c>
    </row>
    <row r="290" spans="11:11" x14ac:dyDescent="0.2">
      <c r="K290" s="1177" t="str">
        <f t="shared" si="4"/>
        <v/>
      </c>
    </row>
    <row r="291" spans="11:11" x14ac:dyDescent="0.2">
      <c r="K291" s="1177" t="str">
        <f t="shared" si="4"/>
        <v/>
      </c>
    </row>
    <row r="292" spans="11:11" x14ac:dyDescent="0.2">
      <c r="K292" s="1177" t="str">
        <f t="shared" si="4"/>
        <v/>
      </c>
    </row>
    <row r="293" spans="11:11" x14ac:dyDescent="0.2">
      <c r="K293" s="1177" t="str">
        <f t="shared" si="4"/>
        <v/>
      </c>
    </row>
    <row r="294" spans="11:11" x14ac:dyDescent="0.2">
      <c r="K294" s="1177" t="str">
        <f t="shared" si="4"/>
        <v/>
      </c>
    </row>
    <row r="295" spans="11:11" x14ac:dyDescent="0.2">
      <c r="K295" s="1177" t="str">
        <f t="shared" si="4"/>
        <v/>
      </c>
    </row>
    <row r="296" spans="11:11" x14ac:dyDescent="0.2">
      <c r="K296" s="1177" t="str">
        <f t="shared" si="4"/>
        <v/>
      </c>
    </row>
    <row r="297" spans="11:11" x14ac:dyDescent="0.2">
      <c r="K297" s="1177" t="str">
        <f t="shared" si="4"/>
        <v/>
      </c>
    </row>
    <row r="298" spans="11:11" x14ac:dyDescent="0.2">
      <c r="K298" s="1177" t="str">
        <f t="shared" si="4"/>
        <v/>
      </c>
    </row>
    <row r="299" spans="11:11" x14ac:dyDescent="0.2">
      <c r="K299" s="1177" t="str">
        <f t="shared" si="4"/>
        <v/>
      </c>
    </row>
    <row r="300" spans="11:11" x14ac:dyDescent="0.2">
      <c r="K300" s="1177" t="str">
        <f t="shared" si="4"/>
        <v/>
      </c>
    </row>
    <row r="301" spans="11:11" x14ac:dyDescent="0.2">
      <c r="K301" s="1177" t="str">
        <f t="shared" si="4"/>
        <v/>
      </c>
    </row>
    <row r="302" spans="11:11" x14ac:dyDescent="0.2">
      <c r="K302" s="1177" t="str">
        <f t="shared" si="4"/>
        <v/>
      </c>
    </row>
    <row r="303" spans="11:11" x14ac:dyDescent="0.2">
      <c r="K303" s="1177" t="str">
        <f t="shared" si="4"/>
        <v/>
      </c>
    </row>
    <row r="304" spans="11:11" x14ac:dyDescent="0.2">
      <c r="K304" s="1177" t="str">
        <f t="shared" si="4"/>
        <v/>
      </c>
    </row>
    <row r="305" spans="11:11" x14ac:dyDescent="0.2">
      <c r="K305" s="1177" t="str">
        <f t="shared" si="4"/>
        <v/>
      </c>
    </row>
    <row r="306" spans="11:11" x14ac:dyDescent="0.2">
      <c r="K306" s="1177" t="str">
        <f t="shared" si="4"/>
        <v/>
      </c>
    </row>
    <row r="307" spans="11:11" x14ac:dyDescent="0.2">
      <c r="K307" s="1177" t="str">
        <f t="shared" si="4"/>
        <v/>
      </c>
    </row>
    <row r="308" spans="11:11" x14ac:dyDescent="0.2">
      <c r="K308" s="1177" t="str">
        <f t="shared" si="4"/>
        <v/>
      </c>
    </row>
    <row r="309" spans="11:11" x14ac:dyDescent="0.2">
      <c r="K309" s="1177" t="str">
        <f t="shared" si="4"/>
        <v/>
      </c>
    </row>
    <row r="310" spans="11:11" x14ac:dyDescent="0.2">
      <c r="K310" s="1177" t="str">
        <f t="shared" si="4"/>
        <v/>
      </c>
    </row>
    <row r="311" spans="11:11" x14ac:dyDescent="0.2">
      <c r="K311" s="1177" t="str">
        <f t="shared" si="4"/>
        <v/>
      </c>
    </row>
    <row r="312" spans="11:11" x14ac:dyDescent="0.2">
      <c r="K312" s="1177" t="str">
        <f t="shared" si="4"/>
        <v/>
      </c>
    </row>
    <row r="313" spans="11:11" x14ac:dyDescent="0.2">
      <c r="K313" s="1177" t="str">
        <f t="shared" si="4"/>
        <v/>
      </c>
    </row>
    <row r="314" spans="11:11" x14ac:dyDescent="0.2">
      <c r="K314" s="1177" t="str">
        <f t="shared" si="4"/>
        <v/>
      </c>
    </row>
    <row r="315" spans="11:11" x14ac:dyDescent="0.2">
      <c r="K315" s="1177" t="str">
        <f t="shared" si="4"/>
        <v/>
      </c>
    </row>
    <row r="316" spans="11:11" x14ac:dyDescent="0.2">
      <c r="K316" s="1177" t="str">
        <f t="shared" si="4"/>
        <v/>
      </c>
    </row>
    <row r="317" spans="11:11" x14ac:dyDescent="0.2">
      <c r="K317" s="1177" t="str">
        <f t="shared" si="4"/>
        <v/>
      </c>
    </row>
    <row r="318" spans="11:11" x14ac:dyDescent="0.2">
      <c r="K318" s="1177" t="str">
        <f t="shared" si="4"/>
        <v/>
      </c>
    </row>
    <row r="319" spans="11:11" x14ac:dyDescent="0.2">
      <c r="K319" s="1177" t="str">
        <f t="shared" si="4"/>
        <v/>
      </c>
    </row>
    <row r="320" spans="11:11" x14ac:dyDescent="0.2">
      <c r="K320" s="1177" t="str">
        <f t="shared" si="4"/>
        <v/>
      </c>
    </row>
    <row r="321" spans="11:11" x14ac:dyDescent="0.2">
      <c r="K321" s="1177" t="str">
        <f t="shared" si="4"/>
        <v/>
      </c>
    </row>
    <row r="322" spans="11:11" x14ac:dyDescent="0.2">
      <c r="K322" s="1177" t="str">
        <f t="shared" si="4"/>
        <v/>
      </c>
    </row>
    <row r="323" spans="11:11" x14ac:dyDescent="0.2">
      <c r="K323" s="1177" t="str">
        <f t="shared" si="4"/>
        <v/>
      </c>
    </row>
    <row r="324" spans="11:11" x14ac:dyDescent="0.2">
      <c r="K324" s="1177" t="str">
        <f t="shared" si="4"/>
        <v/>
      </c>
    </row>
    <row r="325" spans="11:11" x14ac:dyDescent="0.2">
      <c r="K325" s="1177" t="str">
        <f t="shared" si="4"/>
        <v/>
      </c>
    </row>
    <row r="326" spans="11:11" x14ac:dyDescent="0.2">
      <c r="K326" s="1177" t="str">
        <f t="shared" si="4"/>
        <v/>
      </c>
    </row>
    <row r="327" spans="11:11" x14ac:dyDescent="0.2">
      <c r="K327" s="1177" t="str">
        <f t="shared" si="4"/>
        <v/>
      </c>
    </row>
    <row r="328" spans="11:11" x14ac:dyDescent="0.2">
      <c r="K328" s="1177" t="str">
        <f t="shared" si="4"/>
        <v/>
      </c>
    </row>
    <row r="329" spans="11:11" x14ac:dyDescent="0.2">
      <c r="K329" s="1177" t="str">
        <f t="shared" ref="K329:K392" si="5">A329&amp;C329&amp;E329&amp;G329&amp;I329</f>
        <v/>
      </c>
    </row>
    <row r="330" spans="11:11" x14ac:dyDescent="0.2">
      <c r="K330" s="1177" t="str">
        <f t="shared" si="5"/>
        <v/>
      </c>
    </row>
    <row r="331" spans="11:11" x14ac:dyDescent="0.2">
      <c r="K331" s="1177" t="str">
        <f t="shared" si="5"/>
        <v/>
      </c>
    </row>
    <row r="332" spans="11:11" x14ac:dyDescent="0.2">
      <c r="K332" s="1177" t="str">
        <f t="shared" si="5"/>
        <v/>
      </c>
    </row>
    <row r="333" spans="11:11" x14ac:dyDescent="0.2">
      <c r="K333" s="1177" t="str">
        <f t="shared" si="5"/>
        <v/>
      </c>
    </row>
    <row r="334" spans="11:11" x14ac:dyDescent="0.2">
      <c r="K334" s="1177" t="str">
        <f t="shared" si="5"/>
        <v/>
      </c>
    </row>
    <row r="335" spans="11:11" x14ac:dyDescent="0.2">
      <c r="K335" s="1177" t="str">
        <f t="shared" si="5"/>
        <v/>
      </c>
    </row>
    <row r="336" spans="11:11" x14ac:dyDescent="0.2">
      <c r="K336" s="1177" t="str">
        <f t="shared" si="5"/>
        <v/>
      </c>
    </row>
    <row r="337" spans="11:11" x14ac:dyDescent="0.2">
      <c r="K337" s="1177" t="str">
        <f t="shared" si="5"/>
        <v/>
      </c>
    </row>
    <row r="338" spans="11:11" x14ac:dyDescent="0.2">
      <c r="K338" s="1177" t="str">
        <f t="shared" si="5"/>
        <v/>
      </c>
    </row>
    <row r="339" spans="11:11" x14ac:dyDescent="0.2">
      <c r="K339" s="1177" t="str">
        <f t="shared" si="5"/>
        <v/>
      </c>
    </row>
    <row r="340" spans="11:11" x14ac:dyDescent="0.2">
      <c r="K340" s="1177" t="str">
        <f t="shared" si="5"/>
        <v/>
      </c>
    </row>
    <row r="341" spans="11:11" x14ac:dyDescent="0.2">
      <c r="K341" s="1177" t="str">
        <f t="shared" si="5"/>
        <v/>
      </c>
    </row>
    <row r="342" spans="11:11" x14ac:dyDescent="0.2">
      <c r="K342" s="1177" t="str">
        <f t="shared" si="5"/>
        <v/>
      </c>
    </row>
    <row r="343" spans="11:11" x14ac:dyDescent="0.2">
      <c r="K343" s="1177" t="str">
        <f t="shared" si="5"/>
        <v/>
      </c>
    </row>
    <row r="344" spans="11:11" x14ac:dyDescent="0.2">
      <c r="K344" s="1177" t="str">
        <f t="shared" si="5"/>
        <v/>
      </c>
    </row>
    <row r="345" spans="11:11" x14ac:dyDescent="0.2">
      <c r="K345" s="1177" t="str">
        <f t="shared" si="5"/>
        <v/>
      </c>
    </row>
    <row r="346" spans="11:11" x14ac:dyDescent="0.2">
      <c r="K346" s="1177" t="str">
        <f t="shared" si="5"/>
        <v/>
      </c>
    </row>
    <row r="347" spans="11:11" x14ac:dyDescent="0.2">
      <c r="K347" s="1177" t="str">
        <f t="shared" si="5"/>
        <v/>
      </c>
    </row>
    <row r="348" spans="11:11" x14ac:dyDescent="0.2">
      <c r="K348" s="1177" t="str">
        <f t="shared" si="5"/>
        <v/>
      </c>
    </row>
    <row r="349" spans="11:11" x14ac:dyDescent="0.2">
      <c r="K349" s="1177" t="str">
        <f t="shared" si="5"/>
        <v/>
      </c>
    </row>
    <row r="350" spans="11:11" x14ac:dyDescent="0.2">
      <c r="K350" s="1177" t="str">
        <f t="shared" si="5"/>
        <v/>
      </c>
    </row>
    <row r="351" spans="11:11" x14ac:dyDescent="0.2">
      <c r="K351" s="1177" t="str">
        <f t="shared" si="5"/>
        <v/>
      </c>
    </row>
    <row r="352" spans="11:11" x14ac:dyDescent="0.2">
      <c r="K352" s="1177" t="str">
        <f t="shared" si="5"/>
        <v/>
      </c>
    </row>
    <row r="353" spans="11:11" x14ac:dyDescent="0.2">
      <c r="K353" s="1177" t="str">
        <f t="shared" si="5"/>
        <v/>
      </c>
    </row>
    <row r="354" spans="11:11" x14ac:dyDescent="0.2">
      <c r="K354" s="1177" t="str">
        <f t="shared" si="5"/>
        <v/>
      </c>
    </row>
    <row r="355" spans="11:11" x14ac:dyDescent="0.2">
      <c r="K355" s="1177" t="str">
        <f t="shared" si="5"/>
        <v/>
      </c>
    </row>
    <row r="356" spans="11:11" x14ac:dyDescent="0.2">
      <c r="K356" s="1177" t="str">
        <f t="shared" si="5"/>
        <v/>
      </c>
    </row>
    <row r="357" spans="11:11" x14ac:dyDescent="0.2">
      <c r="K357" s="1177" t="str">
        <f t="shared" si="5"/>
        <v/>
      </c>
    </row>
    <row r="358" spans="11:11" x14ac:dyDescent="0.2">
      <c r="K358" s="1177" t="str">
        <f t="shared" si="5"/>
        <v/>
      </c>
    </row>
    <row r="359" spans="11:11" x14ac:dyDescent="0.2">
      <c r="K359" s="1177" t="str">
        <f t="shared" si="5"/>
        <v/>
      </c>
    </row>
    <row r="360" spans="11:11" x14ac:dyDescent="0.2">
      <c r="K360" s="1177" t="str">
        <f t="shared" si="5"/>
        <v/>
      </c>
    </row>
    <row r="361" spans="11:11" x14ac:dyDescent="0.2">
      <c r="K361" s="1177" t="str">
        <f t="shared" si="5"/>
        <v/>
      </c>
    </row>
    <row r="362" spans="11:11" x14ac:dyDescent="0.2">
      <c r="K362" s="1177" t="str">
        <f t="shared" si="5"/>
        <v/>
      </c>
    </row>
    <row r="363" spans="11:11" x14ac:dyDescent="0.2">
      <c r="K363" s="1177" t="str">
        <f t="shared" si="5"/>
        <v/>
      </c>
    </row>
    <row r="364" spans="11:11" x14ac:dyDescent="0.2">
      <c r="K364" s="1177" t="str">
        <f t="shared" si="5"/>
        <v/>
      </c>
    </row>
    <row r="365" spans="11:11" x14ac:dyDescent="0.2">
      <c r="K365" s="1177" t="str">
        <f t="shared" si="5"/>
        <v/>
      </c>
    </row>
    <row r="366" spans="11:11" x14ac:dyDescent="0.2">
      <c r="K366" s="1177" t="str">
        <f t="shared" si="5"/>
        <v/>
      </c>
    </row>
    <row r="367" spans="11:11" x14ac:dyDescent="0.2">
      <c r="K367" s="1177" t="str">
        <f t="shared" si="5"/>
        <v/>
      </c>
    </row>
    <row r="368" spans="11:11" x14ac:dyDescent="0.2">
      <c r="K368" s="1177" t="str">
        <f t="shared" si="5"/>
        <v/>
      </c>
    </row>
    <row r="369" spans="11:11" x14ac:dyDescent="0.2">
      <c r="K369" s="1177" t="str">
        <f t="shared" si="5"/>
        <v/>
      </c>
    </row>
    <row r="370" spans="11:11" x14ac:dyDescent="0.2">
      <c r="K370" s="1177" t="str">
        <f t="shared" si="5"/>
        <v/>
      </c>
    </row>
    <row r="371" spans="11:11" x14ac:dyDescent="0.2">
      <c r="K371" s="1177" t="str">
        <f t="shared" si="5"/>
        <v/>
      </c>
    </row>
    <row r="372" spans="11:11" x14ac:dyDescent="0.2">
      <c r="K372" s="1177" t="str">
        <f t="shared" si="5"/>
        <v/>
      </c>
    </row>
    <row r="373" spans="11:11" x14ac:dyDescent="0.2">
      <c r="K373" s="1177" t="str">
        <f t="shared" si="5"/>
        <v/>
      </c>
    </row>
    <row r="374" spans="11:11" x14ac:dyDescent="0.2">
      <c r="K374" s="1177" t="str">
        <f t="shared" si="5"/>
        <v/>
      </c>
    </row>
    <row r="375" spans="11:11" x14ac:dyDescent="0.2">
      <c r="K375" s="1177" t="str">
        <f t="shared" si="5"/>
        <v/>
      </c>
    </row>
    <row r="376" spans="11:11" x14ac:dyDescent="0.2">
      <c r="K376" s="1177" t="str">
        <f t="shared" si="5"/>
        <v/>
      </c>
    </row>
    <row r="377" spans="11:11" x14ac:dyDescent="0.2">
      <c r="K377" s="1177" t="str">
        <f t="shared" si="5"/>
        <v/>
      </c>
    </row>
    <row r="378" spans="11:11" x14ac:dyDescent="0.2">
      <c r="K378" s="1177" t="str">
        <f t="shared" si="5"/>
        <v/>
      </c>
    </row>
    <row r="379" spans="11:11" x14ac:dyDescent="0.2">
      <c r="K379" s="1177" t="str">
        <f t="shared" si="5"/>
        <v/>
      </c>
    </row>
    <row r="380" spans="11:11" x14ac:dyDescent="0.2">
      <c r="K380" s="1177" t="str">
        <f t="shared" si="5"/>
        <v/>
      </c>
    </row>
    <row r="381" spans="11:11" x14ac:dyDescent="0.2">
      <c r="K381" s="1177" t="str">
        <f t="shared" si="5"/>
        <v/>
      </c>
    </row>
    <row r="382" spans="11:11" x14ac:dyDescent="0.2">
      <c r="K382" s="1177" t="str">
        <f t="shared" si="5"/>
        <v/>
      </c>
    </row>
    <row r="383" spans="11:11" x14ac:dyDescent="0.2">
      <c r="K383" s="1177" t="str">
        <f t="shared" si="5"/>
        <v/>
      </c>
    </row>
    <row r="384" spans="11:11" x14ac:dyDescent="0.2">
      <c r="K384" s="1177" t="str">
        <f t="shared" si="5"/>
        <v/>
      </c>
    </row>
    <row r="385" spans="11:11" x14ac:dyDescent="0.2">
      <c r="K385" s="1177" t="str">
        <f t="shared" si="5"/>
        <v/>
      </c>
    </row>
    <row r="386" spans="11:11" x14ac:dyDescent="0.2">
      <c r="K386" s="1177" t="str">
        <f t="shared" si="5"/>
        <v/>
      </c>
    </row>
    <row r="387" spans="11:11" x14ac:dyDescent="0.2">
      <c r="K387" s="1177" t="str">
        <f t="shared" si="5"/>
        <v/>
      </c>
    </row>
    <row r="388" spans="11:11" x14ac:dyDescent="0.2">
      <c r="K388" s="1177" t="str">
        <f t="shared" si="5"/>
        <v/>
      </c>
    </row>
    <row r="389" spans="11:11" x14ac:dyDescent="0.2">
      <c r="K389" s="1177" t="str">
        <f t="shared" si="5"/>
        <v/>
      </c>
    </row>
    <row r="390" spans="11:11" x14ac:dyDescent="0.2">
      <c r="K390" s="1177" t="str">
        <f t="shared" si="5"/>
        <v/>
      </c>
    </row>
    <row r="391" spans="11:11" x14ac:dyDescent="0.2">
      <c r="K391" s="1177" t="str">
        <f t="shared" si="5"/>
        <v/>
      </c>
    </row>
    <row r="392" spans="11:11" x14ac:dyDescent="0.2">
      <c r="K392" s="1177" t="str">
        <f t="shared" si="5"/>
        <v/>
      </c>
    </row>
    <row r="393" spans="11:11" x14ac:dyDescent="0.2">
      <c r="K393" s="1177" t="str">
        <f t="shared" ref="K393:K456" si="6">A393&amp;C393&amp;E393&amp;G393&amp;I393</f>
        <v/>
      </c>
    </row>
    <row r="394" spans="11:11" x14ac:dyDescent="0.2">
      <c r="K394" s="1177" t="str">
        <f t="shared" si="6"/>
        <v/>
      </c>
    </row>
    <row r="395" spans="11:11" x14ac:dyDescent="0.2">
      <c r="K395" s="1177" t="str">
        <f t="shared" si="6"/>
        <v/>
      </c>
    </row>
    <row r="396" spans="11:11" x14ac:dyDescent="0.2">
      <c r="K396" s="1177" t="str">
        <f t="shared" si="6"/>
        <v/>
      </c>
    </row>
    <row r="397" spans="11:11" x14ac:dyDescent="0.2">
      <c r="K397" s="1177" t="str">
        <f t="shared" si="6"/>
        <v/>
      </c>
    </row>
    <row r="398" spans="11:11" x14ac:dyDescent="0.2">
      <c r="K398" s="1177" t="str">
        <f t="shared" si="6"/>
        <v/>
      </c>
    </row>
    <row r="399" spans="11:11" x14ac:dyDescent="0.2">
      <c r="K399" s="1177" t="str">
        <f t="shared" si="6"/>
        <v/>
      </c>
    </row>
    <row r="400" spans="11:11" x14ac:dyDescent="0.2">
      <c r="K400" s="1177" t="str">
        <f t="shared" si="6"/>
        <v/>
      </c>
    </row>
    <row r="401" spans="11:11" x14ac:dyDescent="0.2">
      <c r="K401" s="1177" t="str">
        <f t="shared" si="6"/>
        <v/>
      </c>
    </row>
    <row r="402" spans="11:11" x14ac:dyDescent="0.2">
      <c r="K402" s="1177" t="str">
        <f t="shared" si="6"/>
        <v/>
      </c>
    </row>
    <row r="403" spans="11:11" x14ac:dyDescent="0.2">
      <c r="K403" s="1177" t="str">
        <f t="shared" si="6"/>
        <v/>
      </c>
    </row>
    <row r="404" spans="11:11" x14ac:dyDescent="0.2">
      <c r="K404" s="1177" t="str">
        <f t="shared" si="6"/>
        <v/>
      </c>
    </row>
    <row r="405" spans="11:11" x14ac:dyDescent="0.2">
      <c r="K405" s="1177" t="str">
        <f t="shared" si="6"/>
        <v/>
      </c>
    </row>
    <row r="406" spans="11:11" x14ac:dyDescent="0.2">
      <c r="K406" s="1177" t="str">
        <f t="shared" si="6"/>
        <v/>
      </c>
    </row>
    <row r="407" spans="11:11" x14ac:dyDescent="0.2">
      <c r="K407" s="1177" t="str">
        <f t="shared" si="6"/>
        <v/>
      </c>
    </row>
    <row r="408" spans="11:11" x14ac:dyDescent="0.2">
      <c r="K408" s="1177" t="str">
        <f t="shared" si="6"/>
        <v/>
      </c>
    </row>
    <row r="409" spans="11:11" x14ac:dyDescent="0.2">
      <c r="K409" s="1177" t="str">
        <f t="shared" si="6"/>
        <v/>
      </c>
    </row>
    <row r="410" spans="11:11" x14ac:dyDescent="0.2">
      <c r="K410" s="1177" t="str">
        <f t="shared" si="6"/>
        <v/>
      </c>
    </row>
    <row r="411" spans="11:11" x14ac:dyDescent="0.2">
      <c r="K411" s="1177" t="str">
        <f t="shared" si="6"/>
        <v/>
      </c>
    </row>
    <row r="412" spans="11:11" x14ac:dyDescent="0.2">
      <c r="K412" s="1177" t="str">
        <f t="shared" si="6"/>
        <v/>
      </c>
    </row>
    <row r="413" spans="11:11" x14ac:dyDescent="0.2">
      <c r="K413" s="1177" t="str">
        <f t="shared" si="6"/>
        <v/>
      </c>
    </row>
    <row r="414" spans="11:11" x14ac:dyDescent="0.2">
      <c r="K414" s="1177" t="str">
        <f t="shared" si="6"/>
        <v/>
      </c>
    </row>
    <row r="415" spans="11:11" x14ac:dyDescent="0.2">
      <c r="K415" s="1177" t="str">
        <f t="shared" si="6"/>
        <v/>
      </c>
    </row>
    <row r="416" spans="11:11" x14ac:dyDescent="0.2">
      <c r="K416" s="1177" t="str">
        <f t="shared" si="6"/>
        <v/>
      </c>
    </row>
    <row r="417" spans="11:11" x14ac:dyDescent="0.2">
      <c r="K417" s="1177" t="str">
        <f t="shared" si="6"/>
        <v/>
      </c>
    </row>
    <row r="418" spans="11:11" x14ac:dyDescent="0.2">
      <c r="K418" s="1177" t="str">
        <f t="shared" si="6"/>
        <v/>
      </c>
    </row>
    <row r="419" spans="11:11" x14ac:dyDescent="0.2">
      <c r="K419" s="1177" t="str">
        <f t="shared" si="6"/>
        <v/>
      </c>
    </row>
    <row r="420" spans="11:11" x14ac:dyDescent="0.2">
      <c r="K420" s="1177" t="str">
        <f t="shared" si="6"/>
        <v/>
      </c>
    </row>
    <row r="421" spans="11:11" x14ac:dyDescent="0.2">
      <c r="K421" s="1177" t="str">
        <f t="shared" si="6"/>
        <v/>
      </c>
    </row>
    <row r="422" spans="11:11" x14ac:dyDescent="0.2">
      <c r="K422" s="1177" t="str">
        <f t="shared" si="6"/>
        <v/>
      </c>
    </row>
    <row r="423" spans="11:11" x14ac:dyDescent="0.2">
      <c r="K423" s="1177" t="str">
        <f t="shared" si="6"/>
        <v/>
      </c>
    </row>
    <row r="424" spans="11:11" x14ac:dyDescent="0.2">
      <c r="K424" s="1177" t="str">
        <f t="shared" si="6"/>
        <v/>
      </c>
    </row>
    <row r="425" spans="11:11" x14ac:dyDescent="0.2">
      <c r="K425" s="1177" t="str">
        <f t="shared" si="6"/>
        <v/>
      </c>
    </row>
    <row r="426" spans="11:11" x14ac:dyDescent="0.2">
      <c r="K426" s="1177" t="str">
        <f t="shared" si="6"/>
        <v/>
      </c>
    </row>
    <row r="427" spans="11:11" x14ac:dyDescent="0.2">
      <c r="K427" s="1177" t="str">
        <f t="shared" si="6"/>
        <v/>
      </c>
    </row>
    <row r="428" spans="11:11" x14ac:dyDescent="0.2">
      <c r="K428" s="1177" t="str">
        <f t="shared" si="6"/>
        <v/>
      </c>
    </row>
    <row r="429" spans="11:11" x14ac:dyDescent="0.2">
      <c r="K429" s="1177" t="str">
        <f t="shared" si="6"/>
        <v/>
      </c>
    </row>
    <row r="430" spans="11:11" x14ac:dyDescent="0.2">
      <c r="K430" s="1177" t="str">
        <f t="shared" si="6"/>
        <v/>
      </c>
    </row>
    <row r="431" spans="11:11" x14ac:dyDescent="0.2">
      <c r="K431" s="1177" t="str">
        <f t="shared" si="6"/>
        <v/>
      </c>
    </row>
    <row r="432" spans="11:11" x14ac:dyDescent="0.2">
      <c r="K432" s="1177" t="str">
        <f t="shared" si="6"/>
        <v/>
      </c>
    </row>
    <row r="433" spans="11:11" x14ac:dyDescent="0.2">
      <c r="K433" s="1177" t="str">
        <f t="shared" si="6"/>
        <v/>
      </c>
    </row>
    <row r="434" spans="11:11" x14ac:dyDescent="0.2">
      <c r="K434" s="1177" t="str">
        <f t="shared" si="6"/>
        <v/>
      </c>
    </row>
    <row r="435" spans="11:11" x14ac:dyDescent="0.2">
      <c r="K435" s="1177" t="str">
        <f t="shared" si="6"/>
        <v/>
      </c>
    </row>
    <row r="436" spans="11:11" x14ac:dyDescent="0.2">
      <c r="K436" s="1177" t="str">
        <f t="shared" si="6"/>
        <v/>
      </c>
    </row>
    <row r="437" spans="11:11" x14ac:dyDescent="0.2">
      <c r="K437" s="1177" t="str">
        <f t="shared" si="6"/>
        <v/>
      </c>
    </row>
    <row r="438" spans="11:11" x14ac:dyDescent="0.2">
      <c r="K438" s="1177" t="str">
        <f t="shared" si="6"/>
        <v/>
      </c>
    </row>
    <row r="439" spans="11:11" x14ac:dyDescent="0.2">
      <c r="K439" s="1177" t="str">
        <f t="shared" si="6"/>
        <v/>
      </c>
    </row>
    <row r="440" spans="11:11" x14ac:dyDescent="0.2">
      <c r="K440" s="1177" t="str">
        <f t="shared" si="6"/>
        <v/>
      </c>
    </row>
    <row r="441" spans="11:11" x14ac:dyDescent="0.2">
      <c r="K441" s="1177" t="str">
        <f t="shared" si="6"/>
        <v/>
      </c>
    </row>
    <row r="442" spans="11:11" x14ac:dyDescent="0.2">
      <c r="K442" s="1177" t="str">
        <f t="shared" si="6"/>
        <v/>
      </c>
    </row>
    <row r="443" spans="11:11" x14ac:dyDescent="0.2">
      <c r="K443" s="1177" t="str">
        <f t="shared" si="6"/>
        <v/>
      </c>
    </row>
    <row r="444" spans="11:11" x14ac:dyDescent="0.2">
      <c r="K444" s="1177" t="str">
        <f t="shared" si="6"/>
        <v/>
      </c>
    </row>
    <row r="445" spans="11:11" x14ac:dyDescent="0.2">
      <c r="K445" s="1177" t="str">
        <f t="shared" si="6"/>
        <v/>
      </c>
    </row>
    <row r="446" spans="11:11" x14ac:dyDescent="0.2">
      <c r="K446" s="1177" t="str">
        <f t="shared" si="6"/>
        <v/>
      </c>
    </row>
    <row r="447" spans="11:11" x14ac:dyDescent="0.2">
      <c r="K447" s="1177" t="str">
        <f t="shared" si="6"/>
        <v/>
      </c>
    </row>
    <row r="448" spans="11:11" x14ac:dyDescent="0.2">
      <c r="K448" s="1177" t="str">
        <f t="shared" si="6"/>
        <v/>
      </c>
    </row>
    <row r="449" spans="11:11" x14ac:dyDescent="0.2">
      <c r="K449" s="1177" t="str">
        <f t="shared" si="6"/>
        <v/>
      </c>
    </row>
    <row r="450" spans="11:11" x14ac:dyDescent="0.2">
      <c r="K450" s="1177" t="str">
        <f t="shared" si="6"/>
        <v/>
      </c>
    </row>
    <row r="451" spans="11:11" x14ac:dyDescent="0.2">
      <c r="K451" s="1177" t="str">
        <f t="shared" si="6"/>
        <v/>
      </c>
    </row>
    <row r="452" spans="11:11" x14ac:dyDescent="0.2">
      <c r="K452" s="1177" t="str">
        <f t="shared" si="6"/>
        <v/>
      </c>
    </row>
    <row r="453" spans="11:11" x14ac:dyDescent="0.2">
      <c r="K453" s="1177" t="str">
        <f t="shared" si="6"/>
        <v/>
      </c>
    </row>
    <row r="454" spans="11:11" x14ac:dyDescent="0.2">
      <c r="K454" s="1177" t="str">
        <f t="shared" si="6"/>
        <v/>
      </c>
    </row>
    <row r="455" spans="11:11" x14ac:dyDescent="0.2">
      <c r="K455" s="1177" t="str">
        <f t="shared" si="6"/>
        <v/>
      </c>
    </row>
    <row r="456" spans="11:11" x14ac:dyDescent="0.2">
      <c r="K456" s="1177" t="str">
        <f t="shared" si="6"/>
        <v/>
      </c>
    </row>
    <row r="457" spans="11:11" x14ac:dyDescent="0.2">
      <c r="K457" s="1177" t="str">
        <f t="shared" ref="K457:K520" si="7">A457&amp;C457&amp;E457&amp;G457&amp;I457</f>
        <v/>
      </c>
    </row>
    <row r="458" spans="11:11" x14ac:dyDescent="0.2">
      <c r="K458" s="1177" t="str">
        <f t="shared" si="7"/>
        <v/>
      </c>
    </row>
    <row r="459" spans="11:11" x14ac:dyDescent="0.2">
      <c r="K459" s="1177" t="str">
        <f t="shared" si="7"/>
        <v/>
      </c>
    </row>
    <row r="460" spans="11:11" x14ac:dyDescent="0.2">
      <c r="K460" s="1177" t="str">
        <f t="shared" si="7"/>
        <v/>
      </c>
    </row>
    <row r="461" spans="11:11" x14ac:dyDescent="0.2">
      <c r="K461" s="1177" t="str">
        <f t="shared" si="7"/>
        <v/>
      </c>
    </row>
    <row r="462" spans="11:11" x14ac:dyDescent="0.2">
      <c r="K462" s="1177" t="str">
        <f t="shared" si="7"/>
        <v/>
      </c>
    </row>
    <row r="463" spans="11:11" x14ac:dyDescent="0.2">
      <c r="K463" s="1177" t="str">
        <f t="shared" si="7"/>
        <v/>
      </c>
    </row>
    <row r="464" spans="11:11" x14ac:dyDescent="0.2">
      <c r="K464" s="1177" t="str">
        <f t="shared" si="7"/>
        <v/>
      </c>
    </row>
    <row r="465" spans="11:11" x14ac:dyDescent="0.2">
      <c r="K465" s="1177" t="str">
        <f t="shared" si="7"/>
        <v/>
      </c>
    </row>
    <row r="466" spans="11:11" x14ac:dyDescent="0.2">
      <c r="K466" s="1177" t="str">
        <f t="shared" si="7"/>
        <v/>
      </c>
    </row>
    <row r="467" spans="11:11" x14ac:dyDescent="0.2">
      <c r="K467" s="1177" t="str">
        <f t="shared" si="7"/>
        <v/>
      </c>
    </row>
    <row r="468" spans="11:11" x14ac:dyDescent="0.2">
      <c r="K468" s="1177" t="str">
        <f t="shared" si="7"/>
        <v/>
      </c>
    </row>
    <row r="469" spans="11:11" x14ac:dyDescent="0.2">
      <c r="K469" s="1177" t="str">
        <f t="shared" si="7"/>
        <v/>
      </c>
    </row>
    <row r="470" spans="11:11" x14ac:dyDescent="0.2">
      <c r="K470" s="1177" t="str">
        <f t="shared" si="7"/>
        <v/>
      </c>
    </row>
    <row r="471" spans="11:11" x14ac:dyDescent="0.2">
      <c r="K471" s="1177" t="str">
        <f t="shared" si="7"/>
        <v/>
      </c>
    </row>
    <row r="472" spans="11:11" x14ac:dyDescent="0.2">
      <c r="K472" s="1177" t="str">
        <f t="shared" si="7"/>
        <v/>
      </c>
    </row>
    <row r="473" spans="11:11" x14ac:dyDescent="0.2">
      <c r="K473" s="1177" t="str">
        <f t="shared" si="7"/>
        <v/>
      </c>
    </row>
    <row r="474" spans="11:11" x14ac:dyDescent="0.2">
      <c r="K474" s="1177" t="str">
        <f t="shared" si="7"/>
        <v/>
      </c>
    </row>
    <row r="475" spans="11:11" x14ac:dyDescent="0.2">
      <c r="K475" s="1177" t="str">
        <f t="shared" si="7"/>
        <v/>
      </c>
    </row>
    <row r="476" spans="11:11" x14ac:dyDescent="0.2">
      <c r="K476" s="1177" t="str">
        <f t="shared" si="7"/>
        <v/>
      </c>
    </row>
    <row r="477" spans="11:11" x14ac:dyDescent="0.2">
      <c r="K477" s="1177" t="str">
        <f t="shared" si="7"/>
        <v/>
      </c>
    </row>
    <row r="478" spans="11:11" x14ac:dyDescent="0.2">
      <c r="K478" s="1177" t="str">
        <f t="shared" si="7"/>
        <v/>
      </c>
    </row>
    <row r="479" spans="11:11" x14ac:dyDescent="0.2">
      <c r="K479" s="1177" t="str">
        <f t="shared" si="7"/>
        <v/>
      </c>
    </row>
    <row r="480" spans="11:11" x14ac:dyDescent="0.2">
      <c r="K480" s="1177" t="str">
        <f t="shared" si="7"/>
        <v/>
      </c>
    </row>
    <row r="481" spans="11:11" x14ac:dyDescent="0.2">
      <c r="K481" s="1177" t="str">
        <f t="shared" si="7"/>
        <v/>
      </c>
    </row>
    <row r="482" spans="11:11" x14ac:dyDescent="0.2">
      <c r="K482" s="1177" t="str">
        <f t="shared" si="7"/>
        <v/>
      </c>
    </row>
    <row r="483" spans="11:11" x14ac:dyDescent="0.2">
      <c r="K483" s="1177" t="str">
        <f t="shared" si="7"/>
        <v/>
      </c>
    </row>
    <row r="484" spans="11:11" x14ac:dyDescent="0.2">
      <c r="K484" s="1177" t="str">
        <f t="shared" si="7"/>
        <v/>
      </c>
    </row>
    <row r="485" spans="11:11" x14ac:dyDescent="0.2">
      <c r="K485" s="1177" t="str">
        <f t="shared" si="7"/>
        <v/>
      </c>
    </row>
    <row r="486" spans="11:11" x14ac:dyDescent="0.2">
      <c r="K486" s="1177" t="str">
        <f t="shared" si="7"/>
        <v/>
      </c>
    </row>
    <row r="487" spans="11:11" x14ac:dyDescent="0.2">
      <c r="K487" s="1177" t="str">
        <f t="shared" si="7"/>
        <v/>
      </c>
    </row>
    <row r="488" spans="11:11" x14ac:dyDescent="0.2">
      <c r="K488" s="1177" t="str">
        <f t="shared" si="7"/>
        <v/>
      </c>
    </row>
    <row r="489" spans="11:11" x14ac:dyDescent="0.2">
      <c r="K489" s="1177" t="str">
        <f t="shared" si="7"/>
        <v/>
      </c>
    </row>
    <row r="490" spans="11:11" x14ac:dyDescent="0.2">
      <c r="K490" s="1177" t="str">
        <f t="shared" si="7"/>
        <v/>
      </c>
    </row>
    <row r="491" spans="11:11" x14ac:dyDescent="0.2">
      <c r="K491" s="1177" t="str">
        <f t="shared" si="7"/>
        <v/>
      </c>
    </row>
    <row r="492" spans="11:11" x14ac:dyDescent="0.2">
      <c r="K492" s="1177" t="str">
        <f t="shared" si="7"/>
        <v/>
      </c>
    </row>
    <row r="493" spans="11:11" x14ac:dyDescent="0.2">
      <c r="K493" s="1177" t="str">
        <f t="shared" si="7"/>
        <v/>
      </c>
    </row>
    <row r="494" spans="11:11" x14ac:dyDescent="0.2">
      <c r="K494" s="1177" t="str">
        <f t="shared" si="7"/>
        <v/>
      </c>
    </row>
    <row r="495" spans="11:11" x14ac:dyDescent="0.2">
      <c r="K495" s="1177" t="str">
        <f t="shared" si="7"/>
        <v/>
      </c>
    </row>
    <row r="496" spans="11:11" x14ac:dyDescent="0.2">
      <c r="K496" s="1177" t="str">
        <f t="shared" si="7"/>
        <v/>
      </c>
    </row>
    <row r="497" spans="11:11" x14ac:dyDescent="0.2">
      <c r="K497" s="1177" t="str">
        <f t="shared" si="7"/>
        <v/>
      </c>
    </row>
    <row r="498" spans="11:11" x14ac:dyDescent="0.2">
      <c r="K498" s="1177" t="str">
        <f t="shared" si="7"/>
        <v/>
      </c>
    </row>
    <row r="499" spans="11:11" x14ac:dyDescent="0.2">
      <c r="K499" s="1177" t="str">
        <f t="shared" si="7"/>
        <v/>
      </c>
    </row>
    <row r="500" spans="11:11" x14ac:dyDescent="0.2">
      <c r="K500" s="1177" t="str">
        <f t="shared" si="7"/>
        <v/>
      </c>
    </row>
    <row r="501" spans="11:11" x14ac:dyDescent="0.2">
      <c r="K501" s="1177" t="str">
        <f t="shared" si="7"/>
        <v/>
      </c>
    </row>
    <row r="502" spans="11:11" x14ac:dyDescent="0.2">
      <c r="K502" s="1177" t="str">
        <f t="shared" si="7"/>
        <v/>
      </c>
    </row>
    <row r="503" spans="11:11" x14ac:dyDescent="0.2">
      <c r="K503" s="1177" t="str">
        <f t="shared" si="7"/>
        <v/>
      </c>
    </row>
    <row r="504" spans="11:11" x14ac:dyDescent="0.2">
      <c r="K504" s="1177" t="str">
        <f t="shared" si="7"/>
        <v/>
      </c>
    </row>
    <row r="505" spans="11:11" x14ac:dyDescent="0.2">
      <c r="K505" s="1177" t="str">
        <f t="shared" si="7"/>
        <v/>
      </c>
    </row>
    <row r="506" spans="11:11" x14ac:dyDescent="0.2">
      <c r="K506" s="1177" t="str">
        <f t="shared" si="7"/>
        <v/>
      </c>
    </row>
    <row r="507" spans="11:11" x14ac:dyDescent="0.2">
      <c r="K507" s="1177" t="str">
        <f t="shared" si="7"/>
        <v/>
      </c>
    </row>
    <row r="508" spans="11:11" x14ac:dyDescent="0.2">
      <c r="K508" s="1177" t="str">
        <f t="shared" si="7"/>
        <v/>
      </c>
    </row>
    <row r="509" spans="11:11" x14ac:dyDescent="0.2">
      <c r="K509" s="1177" t="str">
        <f t="shared" si="7"/>
        <v/>
      </c>
    </row>
    <row r="510" spans="11:11" x14ac:dyDescent="0.2">
      <c r="K510" s="1177" t="str">
        <f t="shared" si="7"/>
        <v/>
      </c>
    </row>
    <row r="511" spans="11:11" x14ac:dyDescent="0.2">
      <c r="K511" s="1177" t="str">
        <f t="shared" si="7"/>
        <v/>
      </c>
    </row>
    <row r="512" spans="11:11" x14ac:dyDescent="0.2">
      <c r="K512" s="1177" t="str">
        <f t="shared" si="7"/>
        <v/>
      </c>
    </row>
    <row r="513" spans="11:11" x14ac:dyDescent="0.2">
      <c r="K513" s="1177" t="str">
        <f t="shared" si="7"/>
        <v/>
      </c>
    </row>
    <row r="514" spans="11:11" x14ac:dyDescent="0.2">
      <c r="K514" s="1177" t="str">
        <f t="shared" si="7"/>
        <v/>
      </c>
    </row>
    <row r="515" spans="11:11" x14ac:dyDescent="0.2">
      <c r="K515" s="1177" t="str">
        <f t="shared" si="7"/>
        <v/>
      </c>
    </row>
    <row r="516" spans="11:11" x14ac:dyDescent="0.2">
      <c r="K516" s="1177" t="str">
        <f t="shared" si="7"/>
        <v/>
      </c>
    </row>
    <row r="517" spans="11:11" x14ac:dyDescent="0.2">
      <c r="K517" s="1177" t="str">
        <f t="shared" si="7"/>
        <v/>
      </c>
    </row>
    <row r="518" spans="11:11" x14ac:dyDescent="0.2">
      <c r="K518" s="1177" t="str">
        <f t="shared" si="7"/>
        <v/>
      </c>
    </row>
    <row r="519" spans="11:11" x14ac:dyDescent="0.2">
      <c r="K519" s="1177" t="str">
        <f t="shared" si="7"/>
        <v/>
      </c>
    </row>
    <row r="520" spans="11:11" x14ac:dyDescent="0.2">
      <c r="K520" s="1177" t="str">
        <f t="shared" si="7"/>
        <v/>
      </c>
    </row>
    <row r="521" spans="11:11" x14ac:dyDescent="0.2">
      <c r="K521" s="1177" t="str">
        <f t="shared" ref="K521:K584" si="8">A521&amp;C521&amp;E521&amp;G521&amp;I521</f>
        <v/>
      </c>
    </row>
    <row r="522" spans="11:11" x14ac:dyDescent="0.2">
      <c r="K522" s="1177" t="str">
        <f t="shared" si="8"/>
        <v/>
      </c>
    </row>
    <row r="523" spans="11:11" x14ac:dyDescent="0.2">
      <c r="K523" s="1177" t="str">
        <f t="shared" si="8"/>
        <v/>
      </c>
    </row>
    <row r="524" spans="11:11" x14ac:dyDescent="0.2">
      <c r="K524" s="1177" t="str">
        <f t="shared" si="8"/>
        <v/>
      </c>
    </row>
    <row r="525" spans="11:11" x14ac:dyDescent="0.2">
      <c r="K525" s="1177" t="str">
        <f t="shared" si="8"/>
        <v/>
      </c>
    </row>
    <row r="526" spans="11:11" x14ac:dyDescent="0.2">
      <c r="K526" s="1177" t="str">
        <f t="shared" si="8"/>
        <v/>
      </c>
    </row>
    <row r="527" spans="11:11" x14ac:dyDescent="0.2">
      <c r="K527" s="1177" t="str">
        <f t="shared" si="8"/>
        <v/>
      </c>
    </row>
    <row r="528" spans="11:11" x14ac:dyDescent="0.2">
      <c r="K528" s="1177" t="str">
        <f t="shared" si="8"/>
        <v/>
      </c>
    </row>
    <row r="529" spans="11:11" x14ac:dyDescent="0.2">
      <c r="K529" s="1177" t="str">
        <f t="shared" si="8"/>
        <v/>
      </c>
    </row>
    <row r="530" spans="11:11" x14ac:dyDescent="0.2">
      <c r="K530" s="1177" t="str">
        <f t="shared" si="8"/>
        <v/>
      </c>
    </row>
    <row r="531" spans="11:11" x14ac:dyDescent="0.2">
      <c r="K531" s="1177" t="str">
        <f t="shared" si="8"/>
        <v/>
      </c>
    </row>
    <row r="532" spans="11:11" x14ac:dyDescent="0.2">
      <c r="K532" s="1177" t="str">
        <f t="shared" si="8"/>
        <v/>
      </c>
    </row>
    <row r="533" spans="11:11" x14ac:dyDescent="0.2">
      <c r="K533" s="1177" t="str">
        <f t="shared" si="8"/>
        <v/>
      </c>
    </row>
    <row r="534" spans="11:11" x14ac:dyDescent="0.2">
      <c r="K534" s="1177" t="str">
        <f t="shared" si="8"/>
        <v/>
      </c>
    </row>
    <row r="535" spans="11:11" x14ac:dyDescent="0.2">
      <c r="K535" s="1177" t="str">
        <f t="shared" si="8"/>
        <v/>
      </c>
    </row>
    <row r="536" spans="11:11" x14ac:dyDescent="0.2">
      <c r="K536" s="1177" t="str">
        <f t="shared" si="8"/>
        <v/>
      </c>
    </row>
    <row r="537" spans="11:11" x14ac:dyDescent="0.2">
      <c r="K537" s="1177" t="str">
        <f t="shared" si="8"/>
        <v/>
      </c>
    </row>
    <row r="538" spans="11:11" x14ac:dyDescent="0.2">
      <c r="K538" s="1177" t="str">
        <f t="shared" si="8"/>
        <v/>
      </c>
    </row>
    <row r="539" spans="11:11" x14ac:dyDescent="0.2">
      <c r="K539" s="1177" t="str">
        <f t="shared" si="8"/>
        <v/>
      </c>
    </row>
    <row r="540" spans="11:11" x14ac:dyDescent="0.2">
      <c r="K540" s="1177" t="str">
        <f t="shared" si="8"/>
        <v/>
      </c>
    </row>
    <row r="541" spans="11:11" x14ac:dyDescent="0.2">
      <c r="K541" s="1177" t="str">
        <f t="shared" si="8"/>
        <v/>
      </c>
    </row>
    <row r="542" spans="11:11" x14ac:dyDescent="0.2">
      <c r="K542" s="1177" t="str">
        <f t="shared" si="8"/>
        <v/>
      </c>
    </row>
    <row r="543" spans="11:11" x14ac:dyDescent="0.2">
      <c r="K543" s="1177" t="str">
        <f t="shared" si="8"/>
        <v/>
      </c>
    </row>
    <row r="544" spans="11:11" x14ac:dyDescent="0.2">
      <c r="K544" s="1177" t="str">
        <f t="shared" si="8"/>
        <v/>
      </c>
    </row>
    <row r="545" spans="11:11" x14ac:dyDescent="0.2">
      <c r="K545" s="1177" t="str">
        <f t="shared" si="8"/>
        <v/>
      </c>
    </row>
    <row r="546" spans="11:11" x14ac:dyDescent="0.2">
      <c r="K546" s="1177" t="str">
        <f t="shared" si="8"/>
        <v/>
      </c>
    </row>
    <row r="547" spans="11:11" x14ac:dyDescent="0.2">
      <c r="K547" s="1177" t="str">
        <f t="shared" si="8"/>
        <v/>
      </c>
    </row>
    <row r="548" spans="11:11" x14ac:dyDescent="0.2">
      <c r="K548" s="1177" t="str">
        <f t="shared" si="8"/>
        <v/>
      </c>
    </row>
    <row r="549" spans="11:11" x14ac:dyDescent="0.2">
      <c r="K549" s="1177" t="str">
        <f t="shared" si="8"/>
        <v/>
      </c>
    </row>
    <row r="550" spans="11:11" x14ac:dyDescent="0.2">
      <c r="K550" s="1177" t="str">
        <f t="shared" si="8"/>
        <v/>
      </c>
    </row>
    <row r="551" spans="11:11" x14ac:dyDescent="0.2">
      <c r="K551" s="1177" t="str">
        <f t="shared" si="8"/>
        <v/>
      </c>
    </row>
    <row r="552" spans="11:11" x14ac:dyDescent="0.2">
      <c r="K552" s="1177" t="str">
        <f t="shared" si="8"/>
        <v/>
      </c>
    </row>
    <row r="553" spans="11:11" x14ac:dyDescent="0.2">
      <c r="K553" s="1177" t="str">
        <f t="shared" si="8"/>
        <v/>
      </c>
    </row>
    <row r="554" spans="11:11" x14ac:dyDescent="0.2">
      <c r="K554" s="1177" t="str">
        <f t="shared" si="8"/>
        <v/>
      </c>
    </row>
    <row r="555" spans="11:11" x14ac:dyDescent="0.2">
      <c r="K555" s="1177" t="str">
        <f t="shared" si="8"/>
        <v/>
      </c>
    </row>
    <row r="556" spans="11:11" x14ac:dyDescent="0.2">
      <c r="K556" s="1177" t="str">
        <f t="shared" si="8"/>
        <v/>
      </c>
    </row>
    <row r="557" spans="11:11" x14ac:dyDescent="0.2">
      <c r="K557" s="1177" t="str">
        <f t="shared" si="8"/>
        <v/>
      </c>
    </row>
    <row r="558" spans="11:11" x14ac:dyDescent="0.2">
      <c r="K558" s="1177" t="str">
        <f t="shared" si="8"/>
        <v/>
      </c>
    </row>
    <row r="559" spans="11:11" x14ac:dyDescent="0.2">
      <c r="K559" s="1177" t="str">
        <f t="shared" si="8"/>
        <v/>
      </c>
    </row>
    <row r="560" spans="11:11" x14ac:dyDescent="0.2">
      <c r="K560" s="1177" t="str">
        <f t="shared" si="8"/>
        <v/>
      </c>
    </row>
    <row r="561" spans="11:11" x14ac:dyDescent="0.2">
      <c r="K561" s="1177" t="str">
        <f t="shared" si="8"/>
        <v/>
      </c>
    </row>
    <row r="562" spans="11:11" x14ac:dyDescent="0.2">
      <c r="K562" s="1177" t="str">
        <f t="shared" si="8"/>
        <v/>
      </c>
    </row>
    <row r="563" spans="11:11" x14ac:dyDescent="0.2">
      <c r="K563" s="1177" t="str">
        <f t="shared" si="8"/>
        <v/>
      </c>
    </row>
    <row r="564" spans="11:11" x14ac:dyDescent="0.2">
      <c r="K564" s="1177" t="str">
        <f t="shared" si="8"/>
        <v/>
      </c>
    </row>
    <row r="565" spans="11:11" x14ac:dyDescent="0.2">
      <c r="K565" s="1177" t="str">
        <f t="shared" si="8"/>
        <v/>
      </c>
    </row>
    <row r="566" spans="11:11" x14ac:dyDescent="0.2">
      <c r="K566" s="1177" t="str">
        <f t="shared" si="8"/>
        <v/>
      </c>
    </row>
    <row r="567" spans="11:11" x14ac:dyDescent="0.2">
      <c r="K567" s="1177" t="str">
        <f t="shared" si="8"/>
        <v/>
      </c>
    </row>
    <row r="568" spans="11:11" x14ac:dyDescent="0.2">
      <c r="K568" s="1177" t="str">
        <f t="shared" si="8"/>
        <v/>
      </c>
    </row>
    <row r="569" spans="11:11" x14ac:dyDescent="0.2">
      <c r="K569" s="1177" t="str">
        <f t="shared" si="8"/>
        <v/>
      </c>
    </row>
    <row r="570" spans="11:11" x14ac:dyDescent="0.2">
      <c r="K570" s="1177" t="str">
        <f t="shared" si="8"/>
        <v/>
      </c>
    </row>
    <row r="571" spans="11:11" x14ac:dyDescent="0.2">
      <c r="K571" s="1177" t="str">
        <f t="shared" si="8"/>
        <v/>
      </c>
    </row>
    <row r="572" spans="11:11" x14ac:dyDescent="0.2">
      <c r="K572" s="1177" t="str">
        <f t="shared" si="8"/>
        <v/>
      </c>
    </row>
    <row r="573" spans="11:11" x14ac:dyDescent="0.2">
      <c r="K573" s="1177" t="str">
        <f t="shared" si="8"/>
        <v/>
      </c>
    </row>
    <row r="574" spans="11:11" x14ac:dyDescent="0.2">
      <c r="K574" s="1177" t="str">
        <f t="shared" si="8"/>
        <v/>
      </c>
    </row>
    <row r="575" spans="11:11" x14ac:dyDescent="0.2">
      <c r="K575" s="1177" t="str">
        <f t="shared" si="8"/>
        <v/>
      </c>
    </row>
    <row r="576" spans="11:11" x14ac:dyDescent="0.2">
      <c r="K576" s="1177" t="str">
        <f t="shared" si="8"/>
        <v/>
      </c>
    </row>
    <row r="577" spans="11:11" x14ac:dyDescent="0.2">
      <c r="K577" s="1177" t="str">
        <f t="shared" si="8"/>
        <v/>
      </c>
    </row>
    <row r="578" spans="11:11" x14ac:dyDescent="0.2">
      <c r="K578" s="1177" t="str">
        <f t="shared" si="8"/>
        <v/>
      </c>
    </row>
    <row r="579" spans="11:11" x14ac:dyDescent="0.2">
      <c r="K579" s="1177" t="str">
        <f t="shared" si="8"/>
        <v/>
      </c>
    </row>
    <row r="580" spans="11:11" x14ac:dyDescent="0.2">
      <c r="K580" s="1177" t="str">
        <f t="shared" si="8"/>
        <v/>
      </c>
    </row>
    <row r="581" spans="11:11" x14ac:dyDescent="0.2">
      <c r="K581" s="1177" t="str">
        <f t="shared" si="8"/>
        <v/>
      </c>
    </row>
    <row r="582" spans="11:11" x14ac:dyDescent="0.2">
      <c r="K582" s="1177" t="str">
        <f t="shared" si="8"/>
        <v/>
      </c>
    </row>
    <row r="583" spans="11:11" x14ac:dyDescent="0.2">
      <c r="K583" s="1177" t="str">
        <f t="shared" si="8"/>
        <v/>
      </c>
    </row>
    <row r="584" spans="11:11" x14ac:dyDescent="0.2">
      <c r="K584" s="1177" t="str">
        <f t="shared" si="8"/>
        <v/>
      </c>
    </row>
    <row r="585" spans="11:11" x14ac:dyDescent="0.2">
      <c r="K585" s="1177" t="str">
        <f t="shared" ref="K585:K648" si="9">A585&amp;C585&amp;E585&amp;G585&amp;I585</f>
        <v/>
      </c>
    </row>
    <row r="586" spans="11:11" x14ac:dyDescent="0.2">
      <c r="K586" s="1177" t="str">
        <f t="shared" si="9"/>
        <v/>
      </c>
    </row>
    <row r="587" spans="11:11" x14ac:dyDescent="0.2">
      <c r="K587" s="1177" t="str">
        <f t="shared" si="9"/>
        <v/>
      </c>
    </row>
    <row r="588" spans="11:11" x14ac:dyDescent="0.2">
      <c r="K588" s="1177" t="str">
        <f t="shared" si="9"/>
        <v/>
      </c>
    </row>
    <row r="589" spans="11:11" x14ac:dyDescent="0.2">
      <c r="K589" s="1177" t="str">
        <f t="shared" si="9"/>
        <v/>
      </c>
    </row>
    <row r="590" spans="11:11" x14ac:dyDescent="0.2">
      <c r="K590" s="1177" t="str">
        <f t="shared" si="9"/>
        <v/>
      </c>
    </row>
    <row r="591" spans="11:11" x14ac:dyDescent="0.2">
      <c r="K591" s="1177" t="str">
        <f t="shared" si="9"/>
        <v/>
      </c>
    </row>
    <row r="592" spans="11:11" x14ac:dyDescent="0.2">
      <c r="K592" s="1177" t="str">
        <f t="shared" si="9"/>
        <v/>
      </c>
    </row>
    <row r="593" spans="11:11" x14ac:dyDescent="0.2">
      <c r="K593" s="1177" t="str">
        <f t="shared" si="9"/>
        <v/>
      </c>
    </row>
    <row r="594" spans="11:11" x14ac:dyDescent="0.2">
      <c r="K594" s="1177" t="str">
        <f t="shared" si="9"/>
        <v/>
      </c>
    </row>
    <row r="595" spans="11:11" x14ac:dyDescent="0.2">
      <c r="K595" s="1177" t="str">
        <f t="shared" si="9"/>
        <v/>
      </c>
    </row>
    <row r="596" spans="11:11" x14ac:dyDescent="0.2">
      <c r="K596" s="1177" t="str">
        <f t="shared" si="9"/>
        <v/>
      </c>
    </row>
    <row r="597" spans="11:11" x14ac:dyDescent="0.2">
      <c r="K597" s="1177" t="str">
        <f t="shared" si="9"/>
        <v/>
      </c>
    </row>
    <row r="598" spans="11:11" x14ac:dyDescent="0.2">
      <c r="K598" s="1177" t="str">
        <f t="shared" si="9"/>
        <v/>
      </c>
    </row>
    <row r="599" spans="11:11" x14ac:dyDescent="0.2">
      <c r="K599" s="1177" t="str">
        <f t="shared" si="9"/>
        <v/>
      </c>
    </row>
    <row r="600" spans="11:11" x14ac:dyDescent="0.2">
      <c r="K600" s="1177" t="str">
        <f t="shared" si="9"/>
        <v/>
      </c>
    </row>
    <row r="601" spans="11:11" x14ac:dyDescent="0.2">
      <c r="K601" s="1177" t="str">
        <f t="shared" si="9"/>
        <v/>
      </c>
    </row>
    <row r="602" spans="11:11" x14ac:dyDescent="0.2">
      <c r="K602" s="1177" t="str">
        <f t="shared" si="9"/>
        <v/>
      </c>
    </row>
    <row r="603" spans="11:11" x14ac:dyDescent="0.2">
      <c r="K603" s="1177" t="str">
        <f t="shared" si="9"/>
        <v/>
      </c>
    </row>
    <row r="604" spans="11:11" x14ac:dyDescent="0.2">
      <c r="K604" s="1177" t="str">
        <f t="shared" si="9"/>
        <v/>
      </c>
    </row>
    <row r="605" spans="11:11" x14ac:dyDescent="0.2">
      <c r="K605" s="1177" t="str">
        <f t="shared" si="9"/>
        <v/>
      </c>
    </row>
    <row r="606" spans="11:11" x14ac:dyDescent="0.2">
      <c r="K606" s="1177" t="str">
        <f t="shared" si="9"/>
        <v/>
      </c>
    </row>
    <row r="607" spans="11:11" x14ac:dyDescent="0.2">
      <c r="K607" s="1177" t="str">
        <f t="shared" si="9"/>
        <v/>
      </c>
    </row>
    <row r="608" spans="11:11" x14ac:dyDescent="0.2">
      <c r="K608" s="1177" t="str">
        <f t="shared" si="9"/>
        <v/>
      </c>
    </row>
    <row r="609" spans="11:11" x14ac:dyDescent="0.2">
      <c r="K609" s="1177" t="str">
        <f t="shared" si="9"/>
        <v/>
      </c>
    </row>
    <row r="610" spans="11:11" x14ac:dyDescent="0.2">
      <c r="K610" s="1177" t="str">
        <f t="shared" si="9"/>
        <v/>
      </c>
    </row>
    <row r="611" spans="11:11" x14ac:dyDescent="0.2">
      <c r="K611" s="1177" t="str">
        <f t="shared" si="9"/>
        <v/>
      </c>
    </row>
    <row r="612" spans="11:11" x14ac:dyDescent="0.2">
      <c r="K612" s="1177" t="str">
        <f t="shared" si="9"/>
        <v/>
      </c>
    </row>
    <row r="613" spans="11:11" x14ac:dyDescent="0.2">
      <c r="K613" s="1177" t="str">
        <f t="shared" si="9"/>
        <v/>
      </c>
    </row>
    <row r="614" spans="11:11" x14ac:dyDescent="0.2">
      <c r="K614" s="1177" t="str">
        <f t="shared" si="9"/>
        <v/>
      </c>
    </row>
    <row r="615" spans="11:11" x14ac:dyDescent="0.2">
      <c r="K615" s="1177" t="str">
        <f t="shared" si="9"/>
        <v/>
      </c>
    </row>
    <row r="616" spans="11:11" x14ac:dyDescent="0.2">
      <c r="K616" s="1177" t="str">
        <f t="shared" si="9"/>
        <v/>
      </c>
    </row>
    <row r="617" spans="11:11" x14ac:dyDescent="0.2">
      <c r="K617" s="1177" t="str">
        <f t="shared" si="9"/>
        <v/>
      </c>
    </row>
    <row r="618" spans="11:11" x14ac:dyDescent="0.2">
      <c r="K618" s="1177" t="str">
        <f t="shared" si="9"/>
        <v/>
      </c>
    </row>
    <row r="619" spans="11:11" x14ac:dyDescent="0.2">
      <c r="K619" s="1177" t="str">
        <f t="shared" si="9"/>
        <v/>
      </c>
    </row>
    <row r="620" spans="11:11" x14ac:dyDescent="0.2">
      <c r="K620" s="1177" t="str">
        <f t="shared" si="9"/>
        <v/>
      </c>
    </row>
    <row r="621" spans="11:11" x14ac:dyDescent="0.2">
      <c r="K621" s="1177" t="str">
        <f t="shared" si="9"/>
        <v/>
      </c>
    </row>
    <row r="622" spans="11:11" x14ac:dyDescent="0.2">
      <c r="K622" s="1177" t="str">
        <f t="shared" si="9"/>
        <v/>
      </c>
    </row>
    <row r="623" spans="11:11" x14ac:dyDescent="0.2">
      <c r="K623" s="1177" t="str">
        <f t="shared" si="9"/>
        <v/>
      </c>
    </row>
    <row r="624" spans="11:11" x14ac:dyDescent="0.2">
      <c r="K624" s="1177" t="str">
        <f t="shared" si="9"/>
        <v/>
      </c>
    </row>
    <row r="625" spans="11:11" x14ac:dyDescent="0.2">
      <c r="K625" s="1177" t="str">
        <f t="shared" si="9"/>
        <v/>
      </c>
    </row>
    <row r="626" spans="11:11" x14ac:dyDescent="0.2">
      <c r="K626" s="1177" t="str">
        <f t="shared" si="9"/>
        <v/>
      </c>
    </row>
    <row r="627" spans="11:11" x14ac:dyDescent="0.2">
      <c r="K627" s="1177" t="str">
        <f t="shared" si="9"/>
        <v/>
      </c>
    </row>
    <row r="628" spans="11:11" x14ac:dyDescent="0.2">
      <c r="K628" s="1177" t="str">
        <f t="shared" si="9"/>
        <v/>
      </c>
    </row>
    <row r="629" spans="11:11" x14ac:dyDescent="0.2">
      <c r="K629" s="1177" t="str">
        <f t="shared" si="9"/>
        <v/>
      </c>
    </row>
    <row r="630" spans="11:11" x14ac:dyDescent="0.2">
      <c r="K630" s="1177" t="str">
        <f t="shared" si="9"/>
        <v/>
      </c>
    </row>
    <row r="631" spans="11:11" x14ac:dyDescent="0.2">
      <c r="K631" s="1177" t="str">
        <f t="shared" si="9"/>
        <v/>
      </c>
    </row>
    <row r="632" spans="11:11" x14ac:dyDescent="0.2">
      <c r="K632" s="1177" t="str">
        <f t="shared" si="9"/>
        <v/>
      </c>
    </row>
    <row r="633" spans="11:11" x14ac:dyDescent="0.2">
      <c r="K633" s="1177" t="str">
        <f t="shared" si="9"/>
        <v/>
      </c>
    </row>
    <row r="634" spans="11:11" x14ac:dyDescent="0.2">
      <c r="K634" s="1177" t="str">
        <f t="shared" si="9"/>
        <v/>
      </c>
    </row>
    <row r="635" spans="11:11" x14ac:dyDescent="0.2">
      <c r="K635" s="1177" t="str">
        <f t="shared" si="9"/>
        <v/>
      </c>
    </row>
    <row r="636" spans="11:11" x14ac:dyDescent="0.2">
      <c r="K636" s="1177" t="str">
        <f t="shared" si="9"/>
        <v/>
      </c>
    </row>
    <row r="637" spans="11:11" x14ac:dyDescent="0.2">
      <c r="K637" s="1177" t="str">
        <f t="shared" si="9"/>
        <v/>
      </c>
    </row>
    <row r="638" spans="11:11" x14ac:dyDescent="0.2">
      <c r="K638" s="1177" t="str">
        <f t="shared" si="9"/>
        <v/>
      </c>
    </row>
    <row r="639" spans="11:11" x14ac:dyDescent="0.2">
      <c r="K639" s="1177" t="str">
        <f t="shared" si="9"/>
        <v/>
      </c>
    </row>
    <row r="640" spans="11:11" x14ac:dyDescent="0.2">
      <c r="K640" s="1177" t="str">
        <f t="shared" si="9"/>
        <v/>
      </c>
    </row>
    <row r="641" spans="11:11" x14ac:dyDescent="0.2">
      <c r="K641" s="1177" t="str">
        <f t="shared" si="9"/>
        <v/>
      </c>
    </row>
    <row r="642" spans="11:11" x14ac:dyDescent="0.2">
      <c r="K642" s="1177" t="str">
        <f t="shared" si="9"/>
        <v/>
      </c>
    </row>
    <row r="643" spans="11:11" x14ac:dyDescent="0.2">
      <c r="K643" s="1177" t="str">
        <f t="shared" si="9"/>
        <v/>
      </c>
    </row>
    <row r="644" spans="11:11" x14ac:dyDescent="0.2">
      <c r="K644" s="1177" t="str">
        <f t="shared" si="9"/>
        <v/>
      </c>
    </row>
    <row r="645" spans="11:11" x14ac:dyDescent="0.2">
      <c r="K645" s="1177" t="str">
        <f t="shared" si="9"/>
        <v/>
      </c>
    </row>
    <row r="646" spans="11:11" x14ac:dyDescent="0.2">
      <c r="K646" s="1177" t="str">
        <f t="shared" si="9"/>
        <v/>
      </c>
    </row>
    <row r="647" spans="11:11" x14ac:dyDescent="0.2">
      <c r="K647" s="1177" t="str">
        <f t="shared" si="9"/>
        <v/>
      </c>
    </row>
    <row r="648" spans="11:11" x14ac:dyDescent="0.2">
      <c r="K648" s="1177" t="str">
        <f t="shared" si="9"/>
        <v/>
      </c>
    </row>
    <row r="649" spans="11:11" x14ac:dyDescent="0.2">
      <c r="K649" s="1177" t="str">
        <f t="shared" ref="K649:K712" si="10">A649&amp;C649&amp;E649&amp;G649&amp;I649</f>
        <v/>
      </c>
    </row>
    <row r="650" spans="11:11" x14ac:dyDescent="0.2">
      <c r="K650" s="1177" t="str">
        <f t="shared" si="10"/>
        <v/>
      </c>
    </row>
    <row r="651" spans="11:11" x14ac:dyDescent="0.2">
      <c r="K651" s="1177" t="str">
        <f t="shared" si="10"/>
        <v/>
      </c>
    </row>
    <row r="652" spans="11:11" x14ac:dyDescent="0.2">
      <c r="K652" s="1177" t="str">
        <f t="shared" si="10"/>
        <v/>
      </c>
    </row>
    <row r="653" spans="11:11" x14ac:dyDescent="0.2">
      <c r="K653" s="1177" t="str">
        <f t="shared" si="10"/>
        <v/>
      </c>
    </row>
    <row r="654" spans="11:11" x14ac:dyDescent="0.2">
      <c r="K654" s="1177" t="str">
        <f t="shared" si="10"/>
        <v/>
      </c>
    </row>
    <row r="655" spans="11:11" x14ac:dyDescent="0.2">
      <c r="K655" s="1177" t="str">
        <f t="shared" si="10"/>
        <v/>
      </c>
    </row>
    <row r="656" spans="11:11" x14ac:dyDescent="0.2">
      <c r="K656" s="1177" t="str">
        <f t="shared" si="10"/>
        <v/>
      </c>
    </row>
    <row r="657" spans="11:11" x14ac:dyDescent="0.2">
      <c r="K657" s="1177" t="str">
        <f t="shared" si="10"/>
        <v/>
      </c>
    </row>
    <row r="658" spans="11:11" x14ac:dyDescent="0.2">
      <c r="K658" s="1177" t="str">
        <f t="shared" si="10"/>
        <v/>
      </c>
    </row>
    <row r="659" spans="11:11" x14ac:dyDescent="0.2">
      <c r="K659" s="1177" t="str">
        <f t="shared" si="10"/>
        <v/>
      </c>
    </row>
    <row r="660" spans="11:11" x14ac:dyDescent="0.2">
      <c r="K660" s="1177" t="str">
        <f t="shared" si="10"/>
        <v/>
      </c>
    </row>
    <row r="661" spans="11:11" x14ac:dyDescent="0.2">
      <c r="K661" s="1177" t="str">
        <f t="shared" si="10"/>
        <v/>
      </c>
    </row>
    <row r="662" spans="11:11" x14ac:dyDescent="0.2">
      <c r="K662" s="1177" t="str">
        <f t="shared" si="10"/>
        <v/>
      </c>
    </row>
    <row r="663" spans="11:11" x14ac:dyDescent="0.2">
      <c r="K663" s="1177" t="str">
        <f t="shared" si="10"/>
        <v/>
      </c>
    </row>
    <row r="664" spans="11:11" x14ac:dyDescent="0.2">
      <c r="K664" s="1177" t="str">
        <f t="shared" si="10"/>
        <v/>
      </c>
    </row>
    <row r="665" spans="11:11" x14ac:dyDescent="0.2">
      <c r="K665" s="1177" t="str">
        <f t="shared" si="10"/>
        <v/>
      </c>
    </row>
    <row r="666" spans="11:11" x14ac:dyDescent="0.2">
      <c r="K666" s="1177" t="str">
        <f t="shared" si="10"/>
        <v/>
      </c>
    </row>
    <row r="667" spans="11:11" x14ac:dyDescent="0.2">
      <c r="K667" s="1177" t="str">
        <f t="shared" si="10"/>
        <v/>
      </c>
    </row>
    <row r="668" spans="11:11" x14ac:dyDescent="0.2">
      <c r="K668" s="1177" t="str">
        <f t="shared" si="10"/>
        <v/>
      </c>
    </row>
    <row r="669" spans="11:11" x14ac:dyDescent="0.2">
      <c r="K669" s="1177" t="str">
        <f t="shared" si="10"/>
        <v/>
      </c>
    </row>
    <row r="670" spans="11:11" x14ac:dyDescent="0.2">
      <c r="K670" s="1177" t="str">
        <f t="shared" si="10"/>
        <v/>
      </c>
    </row>
    <row r="671" spans="11:11" x14ac:dyDescent="0.2">
      <c r="K671" s="1177" t="str">
        <f t="shared" si="10"/>
        <v/>
      </c>
    </row>
    <row r="672" spans="11:11" x14ac:dyDescent="0.2">
      <c r="K672" s="1177" t="str">
        <f t="shared" si="10"/>
        <v/>
      </c>
    </row>
    <row r="673" spans="11:11" x14ac:dyDescent="0.2">
      <c r="K673" s="1177" t="str">
        <f t="shared" si="10"/>
        <v/>
      </c>
    </row>
    <row r="674" spans="11:11" x14ac:dyDescent="0.2">
      <c r="K674" s="1177" t="str">
        <f t="shared" si="10"/>
        <v/>
      </c>
    </row>
    <row r="675" spans="11:11" x14ac:dyDescent="0.2">
      <c r="K675" s="1177" t="str">
        <f t="shared" si="10"/>
        <v/>
      </c>
    </row>
    <row r="676" spans="11:11" x14ac:dyDescent="0.2">
      <c r="K676" s="1177" t="str">
        <f t="shared" si="10"/>
        <v/>
      </c>
    </row>
    <row r="677" spans="11:11" x14ac:dyDescent="0.2">
      <c r="K677" s="1177" t="str">
        <f t="shared" si="10"/>
        <v/>
      </c>
    </row>
    <row r="678" spans="11:11" x14ac:dyDescent="0.2">
      <c r="K678" s="1177" t="str">
        <f t="shared" si="10"/>
        <v/>
      </c>
    </row>
    <row r="679" spans="11:11" x14ac:dyDescent="0.2">
      <c r="K679" s="1177" t="str">
        <f t="shared" si="10"/>
        <v/>
      </c>
    </row>
    <row r="680" spans="11:11" x14ac:dyDescent="0.2">
      <c r="K680" s="1177" t="str">
        <f t="shared" si="10"/>
        <v/>
      </c>
    </row>
    <row r="681" spans="11:11" x14ac:dyDescent="0.2">
      <c r="K681" s="1177" t="str">
        <f t="shared" si="10"/>
        <v/>
      </c>
    </row>
    <row r="682" spans="11:11" x14ac:dyDescent="0.2">
      <c r="K682" s="1177" t="str">
        <f t="shared" si="10"/>
        <v/>
      </c>
    </row>
    <row r="683" spans="11:11" x14ac:dyDescent="0.2">
      <c r="K683" s="1177" t="str">
        <f t="shared" si="10"/>
        <v/>
      </c>
    </row>
    <row r="684" spans="11:11" x14ac:dyDescent="0.2">
      <c r="K684" s="1177" t="str">
        <f t="shared" si="10"/>
        <v/>
      </c>
    </row>
    <row r="685" spans="11:11" x14ac:dyDescent="0.2">
      <c r="K685" s="1177" t="str">
        <f t="shared" si="10"/>
        <v/>
      </c>
    </row>
    <row r="686" spans="11:11" x14ac:dyDescent="0.2">
      <c r="K686" s="1177" t="str">
        <f t="shared" si="10"/>
        <v/>
      </c>
    </row>
    <row r="687" spans="11:11" x14ac:dyDescent="0.2">
      <c r="K687" s="1177" t="str">
        <f t="shared" si="10"/>
        <v/>
      </c>
    </row>
    <row r="688" spans="11:11" x14ac:dyDescent="0.2">
      <c r="K688" s="1177" t="str">
        <f t="shared" si="10"/>
        <v/>
      </c>
    </row>
    <row r="689" spans="11:11" x14ac:dyDescent="0.2">
      <c r="K689" s="1177" t="str">
        <f t="shared" si="10"/>
        <v/>
      </c>
    </row>
    <row r="690" spans="11:11" x14ac:dyDescent="0.2">
      <c r="K690" s="1177" t="str">
        <f t="shared" si="10"/>
        <v/>
      </c>
    </row>
    <row r="691" spans="11:11" x14ac:dyDescent="0.2">
      <c r="K691" s="1177" t="str">
        <f t="shared" si="10"/>
        <v/>
      </c>
    </row>
    <row r="692" spans="11:11" x14ac:dyDescent="0.2">
      <c r="K692" s="1177" t="str">
        <f t="shared" si="10"/>
        <v/>
      </c>
    </row>
    <row r="693" spans="11:11" x14ac:dyDescent="0.2">
      <c r="K693" s="1177" t="str">
        <f t="shared" si="10"/>
        <v/>
      </c>
    </row>
    <row r="694" spans="11:11" x14ac:dyDescent="0.2">
      <c r="K694" s="1177" t="str">
        <f t="shared" si="10"/>
        <v/>
      </c>
    </row>
    <row r="695" spans="11:11" x14ac:dyDescent="0.2">
      <c r="K695" s="1177" t="str">
        <f t="shared" si="10"/>
        <v/>
      </c>
    </row>
    <row r="696" spans="11:11" x14ac:dyDescent="0.2">
      <c r="K696" s="1177" t="str">
        <f t="shared" si="10"/>
        <v/>
      </c>
    </row>
    <row r="697" spans="11:11" x14ac:dyDescent="0.2">
      <c r="K697" s="1177" t="str">
        <f t="shared" si="10"/>
        <v/>
      </c>
    </row>
    <row r="698" spans="11:11" x14ac:dyDescent="0.2">
      <c r="K698" s="1177" t="str">
        <f t="shared" si="10"/>
        <v/>
      </c>
    </row>
    <row r="699" spans="11:11" x14ac:dyDescent="0.2">
      <c r="K699" s="1177" t="str">
        <f t="shared" si="10"/>
        <v/>
      </c>
    </row>
    <row r="700" spans="11:11" x14ac:dyDescent="0.2">
      <c r="K700" s="1177" t="str">
        <f t="shared" si="10"/>
        <v/>
      </c>
    </row>
    <row r="701" spans="11:11" x14ac:dyDescent="0.2">
      <c r="K701" s="1177" t="str">
        <f t="shared" si="10"/>
        <v/>
      </c>
    </row>
    <row r="702" spans="11:11" x14ac:dyDescent="0.2">
      <c r="K702" s="1177" t="str">
        <f t="shared" si="10"/>
        <v/>
      </c>
    </row>
    <row r="703" spans="11:11" x14ac:dyDescent="0.2">
      <c r="K703" s="1177" t="str">
        <f t="shared" si="10"/>
        <v/>
      </c>
    </row>
    <row r="704" spans="11:11" x14ac:dyDescent="0.2">
      <c r="K704" s="1177" t="str">
        <f t="shared" si="10"/>
        <v/>
      </c>
    </row>
    <row r="705" spans="11:11" x14ac:dyDescent="0.2">
      <c r="K705" s="1177" t="str">
        <f t="shared" si="10"/>
        <v/>
      </c>
    </row>
    <row r="706" spans="11:11" x14ac:dyDescent="0.2">
      <c r="K706" s="1177" t="str">
        <f t="shared" si="10"/>
        <v/>
      </c>
    </row>
    <row r="707" spans="11:11" x14ac:dyDescent="0.2">
      <c r="K707" s="1177" t="str">
        <f t="shared" si="10"/>
        <v/>
      </c>
    </row>
    <row r="708" spans="11:11" x14ac:dyDescent="0.2">
      <c r="K708" s="1177" t="str">
        <f t="shared" si="10"/>
        <v/>
      </c>
    </row>
    <row r="709" spans="11:11" x14ac:dyDescent="0.2">
      <c r="K709" s="1177" t="str">
        <f t="shared" si="10"/>
        <v/>
      </c>
    </row>
    <row r="710" spans="11:11" x14ac:dyDescent="0.2">
      <c r="K710" s="1177" t="str">
        <f t="shared" si="10"/>
        <v/>
      </c>
    </row>
    <row r="711" spans="11:11" x14ac:dyDescent="0.2">
      <c r="K711" s="1177" t="str">
        <f t="shared" si="10"/>
        <v/>
      </c>
    </row>
    <row r="712" spans="11:11" x14ac:dyDescent="0.2">
      <c r="K712" s="1177" t="str">
        <f t="shared" si="10"/>
        <v/>
      </c>
    </row>
    <row r="713" spans="11:11" x14ac:dyDescent="0.2">
      <c r="K713" s="1177" t="str">
        <f t="shared" ref="K713:K776" si="11">A713&amp;C713&amp;E713&amp;G713&amp;I713</f>
        <v/>
      </c>
    </row>
    <row r="714" spans="11:11" x14ac:dyDescent="0.2">
      <c r="K714" s="1177" t="str">
        <f t="shared" si="11"/>
        <v/>
      </c>
    </row>
    <row r="715" spans="11:11" x14ac:dyDescent="0.2">
      <c r="K715" s="1177" t="str">
        <f t="shared" si="11"/>
        <v/>
      </c>
    </row>
    <row r="716" spans="11:11" x14ac:dyDescent="0.2">
      <c r="K716" s="1177" t="str">
        <f t="shared" si="11"/>
        <v/>
      </c>
    </row>
    <row r="717" spans="11:11" x14ac:dyDescent="0.2">
      <c r="K717" s="1177" t="str">
        <f t="shared" si="11"/>
        <v/>
      </c>
    </row>
    <row r="718" spans="11:11" x14ac:dyDescent="0.2">
      <c r="K718" s="1177" t="str">
        <f t="shared" si="11"/>
        <v/>
      </c>
    </row>
    <row r="719" spans="11:11" x14ac:dyDescent="0.2">
      <c r="K719" s="1177" t="str">
        <f t="shared" si="11"/>
        <v/>
      </c>
    </row>
    <row r="720" spans="11:11" x14ac:dyDescent="0.2">
      <c r="K720" s="1177" t="str">
        <f t="shared" si="11"/>
        <v/>
      </c>
    </row>
    <row r="721" spans="11:11" x14ac:dyDescent="0.2">
      <c r="K721" s="1177" t="str">
        <f t="shared" si="11"/>
        <v/>
      </c>
    </row>
    <row r="722" spans="11:11" x14ac:dyDescent="0.2">
      <c r="K722" s="1177" t="str">
        <f t="shared" si="11"/>
        <v/>
      </c>
    </row>
    <row r="723" spans="11:11" x14ac:dyDescent="0.2">
      <c r="K723" s="1177" t="str">
        <f t="shared" si="11"/>
        <v/>
      </c>
    </row>
    <row r="724" spans="11:11" x14ac:dyDescent="0.2">
      <c r="K724" s="1177" t="str">
        <f t="shared" si="11"/>
        <v/>
      </c>
    </row>
    <row r="725" spans="11:11" x14ac:dyDescent="0.2">
      <c r="K725" s="1177" t="str">
        <f t="shared" si="11"/>
        <v/>
      </c>
    </row>
    <row r="726" spans="11:11" x14ac:dyDescent="0.2">
      <c r="K726" s="1177" t="str">
        <f t="shared" si="11"/>
        <v/>
      </c>
    </row>
    <row r="727" spans="11:11" x14ac:dyDescent="0.2">
      <c r="K727" s="1177" t="str">
        <f t="shared" si="11"/>
        <v/>
      </c>
    </row>
    <row r="728" spans="11:11" x14ac:dyDescent="0.2">
      <c r="K728" s="1177" t="str">
        <f t="shared" si="11"/>
        <v/>
      </c>
    </row>
    <row r="729" spans="11:11" x14ac:dyDescent="0.2">
      <c r="K729" s="1177" t="str">
        <f t="shared" si="11"/>
        <v/>
      </c>
    </row>
    <row r="730" spans="11:11" x14ac:dyDescent="0.2">
      <c r="K730" s="1177" t="str">
        <f t="shared" si="11"/>
        <v/>
      </c>
    </row>
    <row r="731" spans="11:11" x14ac:dyDescent="0.2">
      <c r="K731" s="1177" t="str">
        <f t="shared" si="11"/>
        <v/>
      </c>
    </row>
    <row r="732" spans="11:11" x14ac:dyDescent="0.2">
      <c r="K732" s="1177" t="str">
        <f t="shared" si="11"/>
        <v/>
      </c>
    </row>
    <row r="733" spans="11:11" x14ac:dyDescent="0.2">
      <c r="K733" s="1177" t="str">
        <f t="shared" si="11"/>
        <v/>
      </c>
    </row>
    <row r="734" spans="11:11" x14ac:dyDescent="0.2">
      <c r="K734" s="1177" t="str">
        <f t="shared" si="11"/>
        <v/>
      </c>
    </row>
    <row r="735" spans="11:11" x14ac:dyDescent="0.2">
      <c r="K735" s="1177" t="str">
        <f t="shared" si="11"/>
        <v/>
      </c>
    </row>
    <row r="736" spans="11:11" x14ac:dyDescent="0.2">
      <c r="K736" s="1177" t="str">
        <f t="shared" si="11"/>
        <v/>
      </c>
    </row>
    <row r="737" spans="11:11" x14ac:dyDescent="0.2">
      <c r="K737" s="1177" t="str">
        <f t="shared" si="11"/>
        <v/>
      </c>
    </row>
    <row r="738" spans="11:11" x14ac:dyDescent="0.2">
      <c r="K738" s="1177" t="str">
        <f t="shared" si="11"/>
        <v/>
      </c>
    </row>
    <row r="739" spans="11:11" x14ac:dyDescent="0.2">
      <c r="K739" s="1177" t="str">
        <f t="shared" si="11"/>
        <v/>
      </c>
    </row>
    <row r="740" spans="11:11" x14ac:dyDescent="0.2">
      <c r="K740" s="1177" t="str">
        <f t="shared" si="11"/>
        <v/>
      </c>
    </row>
    <row r="741" spans="11:11" x14ac:dyDescent="0.2">
      <c r="K741" s="1177" t="str">
        <f t="shared" si="11"/>
        <v/>
      </c>
    </row>
    <row r="742" spans="11:11" x14ac:dyDescent="0.2">
      <c r="K742" s="1177" t="str">
        <f t="shared" si="11"/>
        <v/>
      </c>
    </row>
    <row r="743" spans="11:11" x14ac:dyDescent="0.2">
      <c r="K743" s="1177" t="str">
        <f t="shared" si="11"/>
        <v/>
      </c>
    </row>
    <row r="744" spans="11:11" x14ac:dyDescent="0.2">
      <c r="K744" s="1177" t="str">
        <f t="shared" si="11"/>
        <v/>
      </c>
    </row>
    <row r="745" spans="11:11" x14ac:dyDescent="0.2">
      <c r="K745" s="1177" t="str">
        <f t="shared" si="11"/>
        <v/>
      </c>
    </row>
    <row r="746" spans="11:11" x14ac:dyDescent="0.2">
      <c r="K746" s="1177" t="str">
        <f t="shared" si="11"/>
        <v/>
      </c>
    </row>
    <row r="747" spans="11:11" x14ac:dyDescent="0.2">
      <c r="K747" s="1177" t="str">
        <f t="shared" si="11"/>
        <v/>
      </c>
    </row>
    <row r="748" spans="11:11" x14ac:dyDescent="0.2">
      <c r="K748" s="1177" t="str">
        <f t="shared" si="11"/>
        <v/>
      </c>
    </row>
    <row r="749" spans="11:11" x14ac:dyDescent="0.2">
      <c r="K749" s="1177" t="str">
        <f t="shared" si="11"/>
        <v/>
      </c>
    </row>
    <row r="750" spans="11:11" x14ac:dyDescent="0.2">
      <c r="K750" s="1177" t="str">
        <f t="shared" si="11"/>
        <v/>
      </c>
    </row>
    <row r="751" spans="11:11" x14ac:dyDescent="0.2">
      <c r="K751" s="1177" t="str">
        <f t="shared" si="11"/>
        <v/>
      </c>
    </row>
    <row r="752" spans="11:11" x14ac:dyDescent="0.2">
      <c r="K752" s="1177" t="str">
        <f t="shared" si="11"/>
        <v/>
      </c>
    </row>
    <row r="753" spans="11:11" x14ac:dyDescent="0.2">
      <c r="K753" s="1177" t="str">
        <f t="shared" si="11"/>
        <v/>
      </c>
    </row>
    <row r="754" spans="11:11" x14ac:dyDescent="0.2">
      <c r="K754" s="1177" t="str">
        <f t="shared" si="11"/>
        <v/>
      </c>
    </row>
    <row r="755" spans="11:11" x14ac:dyDescent="0.2">
      <c r="K755" s="1177" t="str">
        <f t="shared" si="11"/>
        <v/>
      </c>
    </row>
    <row r="756" spans="11:11" x14ac:dyDescent="0.2">
      <c r="K756" s="1177" t="str">
        <f t="shared" si="11"/>
        <v/>
      </c>
    </row>
    <row r="757" spans="11:11" x14ac:dyDescent="0.2">
      <c r="K757" s="1177" t="str">
        <f t="shared" si="11"/>
        <v/>
      </c>
    </row>
    <row r="758" spans="11:11" x14ac:dyDescent="0.2">
      <c r="K758" s="1177" t="str">
        <f t="shared" si="11"/>
        <v/>
      </c>
    </row>
    <row r="759" spans="11:11" x14ac:dyDescent="0.2">
      <c r="K759" s="1177" t="str">
        <f t="shared" si="11"/>
        <v/>
      </c>
    </row>
    <row r="760" spans="11:11" x14ac:dyDescent="0.2">
      <c r="K760" s="1177" t="str">
        <f t="shared" si="11"/>
        <v/>
      </c>
    </row>
    <row r="761" spans="11:11" x14ac:dyDescent="0.2">
      <c r="K761" s="1177" t="str">
        <f t="shared" si="11"/>
        <v/>
      </c>
    </row>
    <row r="762" spans="11:11" x14ac:dyDescent="0.2">
      <c r="K762" s="1177" t="str">
        <f t="shared" si="11"/>
        <v/>
      </c>
    </row>
    <row r="763" spans="11:11" x14ac:dyDescent="0.2">
      <c r="K763" s="1177" t="str">
        <f t="shared" si="11"/>
        <v/>
      </c>
    </row>
    <row r="764" spans="11:11" x14ac:dyDescent="0.2">
      <c r="K764" s="1177" t="str">
        <f t="shared" si="11"/>
        <v/>
      </c>
    </row>
    <row r="765" spans="11:11" x14ac:dyDescent="0.2">
      <c r="K765" s="1177" t="str">
        <f t="shared" si="11"/>
        <v/>
      </c>
    </row>
    <row r="766" spans="11:11" x14ac:dyDescent="0.2">
      <c r="K766" s="1177" t="str">
        <f t="shared" si="11"/>
        <v/>
      </c>
    </row>
    <row r="767" spans="11:11" x14ac:dyDescent="0.2">
      <c r="K767" s="1177" t="str">
        <f t="shared" si="11"/>
        <v/>
      </c>
    </row>
    <row r="768" spans="11:11" x14ac:dyDescent="0.2">
      <c r="K768" s="1177" t="str">
        <f t="shared" si="11"/>
        <v/>
      </c>
    </row>
    <row r="769" spans="11:11" x14ac:dyDescent="0.2">
      <c r="K769" s="1177" t="str">
        <f t="shared" si="11"/>
        <v/>
      </c>
    </row>
    <row r="770" spans="11:11" x14ac:dyDescent="0.2">
      <c r="K770" s="1177" t="str">
        <f t="shared" si="11"/>
        <v/>
      </c>
    </row>
    <row r="771" spans="11:11" x14ac:dyDescent="0.2">
      <c r="K771" s="1177" t="str">
        <f t="shared" si="11"/>
        <v/>
      </c>
    </row>
    <row r="772" spans="11:11" x14ac:dyDescent="0.2">
      <c r="K772" s="1177" t="str">
        <f t="shared" si="11"/>
        <v/>
      </c>
    </row>
    <row r="773" spans="11:11" x14ac:dyDescent="0.2">
      <c r="K773" s="1177" t="str">
        <f t="shared" si="11"/>
        <v/>
      </c>
    </row>
    <row r="774" spans="11:11" x14ac:dyDescent="0.2">
      <c r="K774" s="1177" t="str">
        <f t="shared" si="11"/>
        <v/>
      </c>
    </row>
    <row r="775" spans="11:11" x14ac:dyDescent="0.2">
      <c r="K775" s="1177" t="str">
        <f t="shared" si="11"/>
        <v/>
      </c>
    </row>
    <row r="776" spans="11:11" x14ac:dyDescent="0.2">
      <c r="K776" s="1177" t="str">
        <f t="shared" si="11"/>
        <v/>
      </c>
    </row>
    <row r="777" spans="11:11" x14ac:dyDescent="0.2">
      <c r="K777" s="1177" t="str">
        <f t="shared" ref="K777:K840" si="12">A777&amp;C777&amp;E777&amp;G777&amp;I777</f>
        <v/>
      </c>
    </row>
    <row r="778" spans="11:11" x14ac:dyDescent="0.2">
      <c r="K778" s="1177" t="str">
        <f t="shared" si="12"/>
        <v/>
      </c>
    </row>
    <row r="779" spans="11:11" x14ac:dyDescent="0.2">
      <c r="K779" s="1177" t="str">
        <f t="shared" si="12"/>
        <v/>
      </c>
    </row>
    <row r="780" spans="11:11" x14ac:dyDescent="0.2">
      <c r="K780" s="1177" t="str">
        <f t="shared" si="12"/>
        <v/>
      </c>
    </row>
    <row r="781" spans="11:11" x14ac:dyDescent="0.2">
      <c r="K781" s="1177" t="str">
        <f t="shared" si="12"/>
        <v/>
      </c>
    </row>
    <row r="782" spans="11:11" x14ac:dyDescent="0.2">
      <c r="K782" s="1177" t="str">
        <f t="shared" si="12"/>
        <v/>
      </c>
    </row>
    <row r="783" spans="11:11" x14ac:dyDescent="0.2">
      <c r="K783" s="1177" t="str">
        <f t="shared" si="12"/>
        <v/>
      </c>
    </row>
    <row r="784" spans="11:11" x14ac:dyDescent="0.2">
      <c r="K784" s="1177" t="str">
        <f t="shared" si="12"/>
        <v/>
      </c>
    </row>
    <row r="785" spans="11:11" x14ac:dyDescent="0.2">
      <c r="K785" s="1177" t="str">
        <f t="shared" si="12"/>
        <v/>
      </c>
    </row>
    <row r="786" spans="11:11" x14ac:dyDescent="0.2">
      <c r="K786" s="1177" t="str">
        <f t="shared" si="12"/>
        <v/>
      </c>
    </row>
    <row r="787" spans="11:11" x14ac:dyDescent="0.2">
      <c r="K787" s="1177" t="str">
        <f t="shared" si="12"/>
        <v/>
      </c>
    </row>
    <row r="788" spans="11:11" x14ac:dyDescent="0.2">
      <c r="K788" s="1177" t="str">
        <f t="shared" si="12"/>
        <v/>
      </c>
    </row>
    <row r="789" spans="11:11" x14ac:dyDescent="0.2">
      <c r="K789" s="1177" t="str">
        <f t="shared" si="12"/>
        <v/>
      </c>
    </row>
    <row r="790" spans="11:11" x14ac:dyDescent="0.2">
      <c r="K790" s="1177" t="str">
        <f t="shared" si="12"/>
        <v/>
      </c>
    </row>
    <row r="791" spans="11:11" x14ac:dyDescent="0.2">
      <c r="K791" s="1177" t="str">
        <f t="shared" si="12"/>
        <v/>
      </c>
    </row>
    <row r="792" spans="11:11" x14ac:dyDescent="0.2">
      <c r="K792" s="1177" t="str">
        <f t="shared" si="12"/>
        <v/>
      </c>
    </row>
    <row r="793" spans="11:11" x14ac:dyDescent="0.2">
      <c r="K793" s="1177" t="str">
        <f t="shared" si="12"/>
        <v/>
      </c>
    </row>
    <row r="794" spans="11:11" x14ac:dyDescent="0.2">
      <c r="K794" s="1177" t="str">
        <f t="shared" si="12"/>
        <v/>
      </c>
    </row>
    <row r="795" spans="11:11" x14ac:dyDescent="0.2">
      <c r="K795" s="1177" t="str">
        <f t="shared" si="12"/>
        <v/>
      </c>
    </row>
    <row r="796" spans="11:11" x14ac:dyDescent="0.2">
      <c r="K796" s="1177" t="str">
        <f t="shared" si="12"/>
        <v/>
      </c>
    </row>
    <row r="797" spans="11:11" x14ac:dyDescent="0.2">
      <c r="K797" s="1177" t="str">
        <f t="shared" si="12"/>
        <v/>
      </c>
    </row>
    <row r="798" spans="11:11" x14ac:dyDescent="0.2">
      <c r="K798" s="1177" t="str">
        <f t="shared" si="12"/>
        <v/>
      </c>
    </row>
    <row r="799" spans="11:11" x14ac:dyDescent="0.2">
      <c r="K799" s="1177" t="str">
        <f t="shared" si="12"/>
        <v/>
      </c>
    </row>
    <row r="800" spans="11:11" x14ac:dyDescent="0.2">
      <c r="K800" s="1177" t="str">
        <f t="shared" si="12"/>
        <v/>
      </c>
    </row>
    <row r="801" spans="11:11" x14ac:dyDescent="0.2">
      <c r="K801" s="1177" t="str">
        <f t="shared" si="12"/>
        <v/>
      </c>
    </row>
    <row r="802" spans="11:11" x14ac:dyDescent="0.2">
      <c r="K802" s="1177" t="str">
        <f t="shared" si="12"/>
        <v/>
      </c>
    </row>
    <row r="803" spans="11:11" x14ac:dyDescent="0.2">
      <c r="K803" s="1177" t="str">
        <f t="shared" si="12"/>
        <v/>
      </c>
    </row>
    <row r="804" spans="11:11" x14ac:dyDescent="0.2">
      <c r="K804" s="1177" t="str">
        <f t="shared" si="12"/>
        <v/>
      </c>
    </row>
    <row r="805" spans="11:11" x14ac:dyDescent="0.2">
      <c r="K805" s="1177" t="str">
        <f t="shared" si="12"/>
        <v/>
      </c>
    </row>
    <row r="806" spans="11:11" x14ac:dyDescent="0.2">
      <c r="K806" s="1177" t="str">
        <f t="shared" si="12"/>
        <v/>
      </c>
    </row>
    <row r="807" spans="11:11" x14ac:dyDescent="0.2">
      <c r="K807" s="1177" t="str">
        <f t="shared" si="12"/>
        <v/>
      </c>
    </row>
    <row r="808" spans="11:11" x14ac:dyDescent="0.2">
      <c r="K808" s="1177" t="str">
        <f t="shared" si="12"/>
        <v/>
      </c>
    </row>
    <row r="809" spans="11:11" x14ac:dyDescent="0.2">
      <c r="K809" s="1177" t="str">
        <f t="shared" si="12"/>
        <v/>
      </c>
    </row>
    <row r="810" spans="11:11" x14ac:dyDescent="0.2">
      <c r="K810" s="1177" t="str">
        <f t="shared" si="12"/>
        <v/>
      </c>
    </row>
    <row r="811" spans="11:11" x14ac:dyDescent="0.2">
      <c r="K811" s="1177" t="str">
        <f t="shared" si="12"/>
        <v/>
      </c>
    </row>
    <row r="812" spans="11:11" x14ac:dyDescent="0.2">
      <c r="K812" s="1177" t="str">
        <f t="shared" si="12"/>
        <v/>
      </c>
    </row>
    <row r="813" spans="11:11" x14ac:dyDescent="0.2">
      <c r="K813" s="1177" t="str">
        <f t="shared" si="12"/>
        <v/>
      </c>
    </row>
    <row r="814" spans="11:11" x14ac:dyDescent="0.2">
      <c r="K814" s="1177" t="str">
        <f t="shared" si="12"/>
        <v/>
      </c>
    </row>
    <row r="815" spans="11:11" x14ac:dyDescent="0.2">
      <c r="K815" s="1177" t="str">
        <f t="shared" si="12"/>
        <v/>
      </c>
    </row>
    <row r="816" spans="11:11" x14ac:dyDescent="0.2">
      <c r="K816" s="1177" t="str">
        <f t="shared" si="12"/>
        <v/>
      </c>
    </row>
    <row r="817" spans="11:11" x14ac:dyDescent="0.2">
      <c r="K817" s="1177" t="str">
        <f t="shared" si="12"/>
        <v/>
      </c>
    </row>
    <row r="818" spans="11:11" x14ac:dyDescent="0.2">
      <c r="K818" s="1177" t="str">
        <f t="shared" si="12"/>
        <v/>
      </c>
    </row>
    <row r="819" spans="11:11" x14ac:dyDescent="0.2">
      <c r="K819" s="1177" t="str">
        <f t="shared" si="12"/>
        <v/>
      </c>
    </row>
    <row r="820" spans="11:11" x14ac:dyDescent="0.2">
      <c r="K820" s="1177" t="str">
        <f t="shared" si="12"/>
        <v/>
      </c>
    </row>
    <row r="821" spans="11:11" x14ac:dyDescent="0.2">
      <c r="K821" s="1177" t="str">
        <f t="shared" si="12"/>
        <v/>
      </c>
    </row>
    <row r="822" spans="11:11" x14ac:dyDescent="0.2">
      <c r="K822" s="1177" t="str">
        <f t="shared" si="12"/>
        <v/>
      </c>
    </row>
    <row r="823" spans="11:11" x14ac:dyDescent="0.2">
      <c r="K823" s="1177" t="str">
        <f t="shared" si="12"/>
        <v/>
      </c>
    </row>
    <row r="824" spans="11:11" x14ac:dyDescent="0.2">
      <c r="K824" s="1177" t="str">
        <f t="shared" si="12"/>
        <v/>
      </c>
    </row>
    <row r="825" spans="11:11" x14ac:dyDescent="0.2">
      <c r="K825" s="1177" t="str">
        <f t="shared" si="12"/>
        <v/>
      </c>
    </row>
    <row r="826" spans="11:11" x14ac:dyDescent="0.2">
      <c r="K826" s="1177" t="str">
        <f t="shared" si="12"/>
        <v/>
      </c>
    </row>
    <row r="827" spans="11:11" x14ac:dyDescent="0.2">
      <c r="K827" s="1177" t="str">
        <f t="shared" si="12"/>
        <v/>
      </c>
    </row>
    <row r="828" spans="11:11" x14ac:dyDescent="0.2">
      <c r="K828" s="1177" t="str">
        <f t="shared" si="12"/>
        <v/>
      </c>
    </row>
    <row r="829" spans="11:11" x14ac:dyDescent="0.2">
      <c r="K829" s="1177" t="str">
        <f t="shared" si="12"/>
        <v/>
      </c>
    </row>
    <row r="830" spans="11:11" x14ac:dyDescent="0.2">
      <c r="K830" s="1177" t="str">
        <f t="shared" si="12"/>
        <v/>
      </c>
    </row>
    <row r="831" spans="11:11" x14ac:dyDescent="0.2">
      <c r="K831" s="1177" t="str">
        <f t="shared" si="12"/>
        <v/>
      </c>
    </row>
    <row r="832" spans="11:11" x14ac:dyDescent="0.2">
      <c r="K832" s="1177" t="str">
        <f t="shared" si="12"/>
        <v/>
      </c>
    </row>
    <row r="833" spans="11:11" x14ac:dyDescent="0.2">
      <c r="K833" s="1177" t="str">
        <f t="shared" si="12"/>
        <v/>
      </c>
    </row>
    <row r="834" spans="11:11" x14ac:dyDescent="0.2">
      <c r="K834" s="1177" t="str">
        <f t="shared" si="12"/>
        <v/>
      </c>
    </row>
    <row r="835" spans="11:11" x14ac:dyDescent="0.2">
      <c r="K835" s="1177" t="str">
        <f t="shared" si="12"/>
        <v/>
      </c>
    </row>
    <row r="836" spans="11:11" x14ac:dyDescent="0.2">
      <c r="K836" s="1177" t="str">
        <f t="shared" si="12"/>
        <v/>
      </c>
    </row>
    <row r="837" spans="11:11" x14ac:dyDescent="0.2">
      <c r="K837" s="1177" t="str">
        <f t="shared" si="12"/>
        <v/>
      </c>
    </row>
    <row r="838" spans="11:11" x14ac:dyDescent="0.2">
      <c r="K838" s="1177" t="str">
        <f t="shared" si="12"/>
        <v/>
      </c>
    </row>
    <row r="839" spans="11:11" x14ac:dyDescent="0.2">
      <c r="K839" s="1177" t="str">
        <f t="shared" si="12"/>
        <v/>
      </c>
    </row>
    <row r="840" spans="11:11" x14ac:dyDescent="0.2">
      <c r="K840" s="1177" t="str">
        <f t="shared" si="12"/>
        <v/>
      </c>
    </row>
    <row r="841" spans="11:11" x14ac:dyDescent="0.2">
      <c r="K841" s="1177" t="str">
        <f t="shared" ref="K841:K904" si="13">A841&amp;C841&amp;E841&amp;G841&amp;I841</f>
        <v/>
      </c>
    </row>
    <row r="842" spans="11:11" x14ac:dyDescent="0.2">
      <c r="K842" s="1177" t="str">
        <f t="shared" si="13"/>
        <v/>
      </c>
    </row>
    <row r="843" spans="11:11" x14ac:dyDescent="0.2">
      <c r="K843" s="1177" t="str">
        <f t="shared" si="13"/>
        <v/>
      </c>
    </row>
    <row r="844" spans="11:11" x14ac:dyDescent="0.2">
      <c r="K844" s="1177" t="str">
        <f t="shared" si="13"/>
        <v/>
      </c>
    </row>
    <row r="845" spans="11:11" x14ac:dyDescent="0.2">
      <c r="K845" s="1177" t="str">
        <f t="shared" si="13"/>
        <v/>
      </c>
    </row>
    <row r="846" spans="11:11" x14ac:dyDescent="0.2">
      <c r="K846" s="1177" t="str">
        <f t="shared" si="13"/>
        <v/>
      </c>
    </row>
    <row r="847" spans="11:11" x14ac:dyDescent="0.2">
      <c r="K847" s="1177" t="str">
        <f t="shared" si="13"/>
        <v/>
      </c>
    </row>
    <row r="848" spans="11:11" x14ac:dyDescent="0.2">
      <c r="K848" s="1177" t="str">
        <f t="shared" si="13"/>
        <v/>
      </c>
    </row>
    <row r="849" spans="11:11" x14ac:dyDescent="0.2">
      <c r="K849" s="1177" t="str">
        <f t="shared" si="13"/>
        <v/>
      </c>
    </row>
    <row r="850" spans="11:11" x14ac:dyDescent="0.2">
      <c r="K850" s="1177" t="str">
        <f t="shared" si="13"/>
        <v/>
      </c>
    </row>
    <row r="851" spans="11:11" x14ac:dyDescent="0.2">
      <c r="K851" s="1177" t="str">
        <f t="shared" si="13"/>
        <v/>
      </c>
    </row>
    <row r="852" spans="11:11" x14ac:dyDescent="0.2">
      <c r="K852" s="1177" t="str">
        <f t="shared" si="13"/>
        <v/>
      </c>
    </row>
    <row r="853" spans="11:11" x14ac:dyDescent="0.2">
      <c r="K853" s="1177" t="str">
        <f t="shared" si="13"/>
        <v/>
      </c>
    </row>
    <row r="854" spans="11:11" x14ac:dyDescent="0.2">
      <c r="K854" s="1177" t="str">
        <f t="shared" si="13"/>
        <v/>
      </c>
    </row>
    <row r="855" spans="11:11" x14ac:dyDescent="0.2">
      <c r="K855" s="1177" t="str">
        <f t="shared" si="13"/>
        <v/>
      </c>
    </row>
    <row r="856" spans="11:11" x14ac:dyDescent="0.2">
      <c r="K856" s="1177" t="str">
        <f t="shared" si="13"/>
        <v/>
      </c>
    </row>
    <row r="857" spans="11:11" x14ac:dyDescent="0.2">
      <c r="K857" s="1177" t="str">
        <f t="shared" si="13"/>
        <v/>
      </c>
    </row>
    <row r="858" spans="11:11" x14ac:dyDescent="0.2">
      <c r="K858" s="1177" t="str">
        <f t="shared" si="13"/>
        <v/>
      </c>
    </row>
    <row r="859" spans="11:11" x14ac:dyDescent="0.2">
      <c r="K859" s="1177" t="str">
        <f t="shared" si="13"/>
        <v/>
      </c>
    </row>
    <row r="860" spans="11:11" x14ac:dyDescent="0.2">
      <c r="K860" s="1177" t="str">
        <f t="shared" si="13"/>
        <v/>
      </c>
    </row>
    <row r="861" spans="11:11" x14ac:dyDescent="0.2">
      <c r="K861" s="1177" t="str">
        <f t="shared" si="13"/>
        <v/>
      </c>
    </row>
    <row r="862" spans="11:11" x14ac:dyDescent="0.2">
      <c r="K862" s="1177" t="str">
        <f t="shared" si="13"/>
        <v/>
      </c>
    </row>
    <row r="863" spans="11:11" x14ac:dyDescent="0.2">
      <c r="K863" s="1177" t="str">
        <f t="shared" si="13"/>
        <v/>
      </c>
    </row>
    <row r="864" spans="11:11" x14ac:dyDescent="0.2">
      <c r="K864" s="1177" t="str">
        <f t="shared" si="13"/>
        <v/>
      </c>
    </row>
    <row r="865" spans="11:11" x14ac:dyDescent="0.2">
      <c r="K865" s="1177" t="str">
        <f t="shared" si="13"/>
        <v/>
      </c>
    </row>
    <row r="866" spans="11:11" x14ac:dyDescent="0.2">
      <c r="K866" s="1177" t="str">
        <f t="shared" si="13"/>
        <v/>
      </c>
    </row>
    <row r="867" spans="11:11" x14ac:dyDescent="0.2">
      <c r="K867" s="1177" t="str">
        <f t="shared" si="13"/>
        <v/>
      </c>
    </row>
    <row r="868" spans="11:11" x14ac:dyDescent="0.2">
      <c r="K868" s="1177" t="str">
        <f t="shared" si="13"/>
        <v/>
      </c>
    </row>
    <row r="869" spans="11:11" x14ac:dyDescent="0.2">
      <c r="K869" s="1177" t="str">
        <f t="shared" si="13"/>
        <v/>
      </c>
    </row>
    <row r="870" spans="11:11" x14ac:dyDescent="0.2">
      <c r="K870" s="1177" t="str">
        <f t="shared" si="13"/>
        <v/>
      </c>
    </row>
    <row r="871" spans="11:11" x14ac:dyDescent="0.2">
      <c r="K871" s="1177" t="str">
        <f t="shared" si="13"/>
        <v/>
      </c>
    </row>
    <row r="872" spans="11:11" x14ac:dyDescent="0.2">
      <c r="K872" s="1177" t="str">
        <f t="shared" si="13"/>
        <v/>
      </c>
    </row>
    <row r="873" spans="11:11" x14ac:dyDescent="0.2">
      <c r="K873" s="1177" t="str">
        <f t="shared" si="13"/>
        <v/>
      </c>
    </row>
    <row r="874" spans="11:11" x14ac:dyDescent="0.2">
      <c r="K874" s="1177" t="str">
        <f t="shared" si="13"/>
        <v/>
      </c>
    </row>
    <row r="875" spans="11:11" x14ac:dyDescent="0.2">
      <c r="K875" s="1177" t="str">
        <f t="shared" si="13"/>
        <v/>
      </c>
    </row>
    <row r="876" spans="11:11" x14ac:dyDescent="0.2">
      <c r="K876" s="1177" t="str">
        <f t="shared" si="13"/>
        <v/>
      </c>
    </row>
    <row r="877" spans="11:11" x14ac:dyDescent="0.2">
      <c r="K877" s="1177" t="str">
        <f t="shared" si="13"/>
        <v/>
      </c>
    </row>
    <row r="878" spans="11:11" x14ac:dyDescent="0.2">
      <c r="K878" s="1177" t="str">
        <f t="shared" si="13"/>
        <v/>
      </c>
    </row>
    <row r="879" spans="11:11" x14ac:dyDescent="0.2">
      <c r="K879" s="1177" t="str">
        <f t="shared" si="13"/>
        <v/>
      </c>
    </row>
    <row r="880" spans="11:11" x14ac:dyDescent="0.2">
      <c r="K880" s="1177" t="str">
        <f t="shared" si="13"/>
        <v/>
      </c>
    </row>
    <row r="881" spans="11:11" x14ac:dyDescent="0.2">
      <c r="K881" s="1177" t="str">
        <f t="shared" si="13"/>
        <v/>
      </c>
    </row>
    <row r="882" spans="11:11" x14ac:dyDescent="0.2">
      <c r="K882" s="1177" t="str">
        <f t="shared" si="13"/>
        <v/>
      </c>
    </row>
    <row r="883" spans="11:11" x14ac:dyDescent="0.2">
      <c r="K883" s="1177" t="str">
        <f t="shared" si="13"/>
        <v/>
      </c>
    </row>
    <row r="884" spans="11:11" x14ac:dyDescent="0.2">
      <c r="K884" s="1177" t="str">
        <f t="shared" si="13"/>
        <v/>
      </c>
    </row>
    <row r="885" spans="11:11" x14ac:dyDescent="0.2">
      <c r="K885" s="1177" t="str">
        <f t="shared" si="13"/>
        <v/>
      </c>
    </row>
    <row r="886" spans="11:11" x14ac:dyDescent="0.2">
      <c r="K886" s="1177" t="str">
        <f t="shared" si="13"/>
        <v/>
      </c>
    </row>
    <row r="887" spans="11:11" x14ac:dyDescent="0.2">
      <c r="K887" s="1177" t="str">
        <f t="shared" si="13"/>
        <v/>
      </c>
    </row>
    <row r="888" spans="11:11" x14ac:dyDescent="0.2">
      <c r="K888" s="1177" t="str">
        <f t="shared" si="13"/>
        <v/>
      </c>
    </row>
    <row r="889" spans="11:11" x14ac:dyDescent="0.2">
      <c r="K889" s="1177" t="str">
        <f t="shared" si="13"/>
        <v/>
      </c>
    </row>
    <row r="890" spans="11:11" x14ac:dyDescent="0.2">
      <c r="K890" s="1177" t="str">
        <f t="shared" si="13"/>
        <v/>
      </c>
    </row>
    <row r="891" spans="11:11" x14ac:dyDescent="0.2">
      <c r="K891" s="1177" t="str">
        <f t="shared" si="13"/>
        <v/>
      </c>
    </row>
    <row r="892" spans="11:11" x14ac:dyDescent="0.2">
      <c r="K892" s="1177" t="str">
        <f t="shared" si="13"/>
        <v/>
      </c>
    </row>
    <row r="893" spans="11:11" x14ac:dyDescent="0.2">
      <c r="K893" s="1177" t="str">
        <f t="shared" si="13"/>
        <v/>
      </c>
    </row>
    <row r="894" spans="11:11" x14ac:dyDescent="0.2">
      <c r="K894" s="1177" t="str">
        <f t="shared" si="13"/>
        <v/>
      </c>
    </row>
    <row r="895" spans="11:11" x14ac:dyDescent="0.2">
      <c r="K895" s="1177" t="str">
        <f t="shared" si="13"/>
        <v/>
      </c>
    </row>
    <row r="896" spans="11:11" x14ac:dyDescent="0.2">
      <c r="K896" s="1177" t="str">
        <f t="shared" si="13"/>
        <v/>
      </c>
    </row>
    <row r="897" spans="11:11" x14ac:dyDescent="0.2">
      <c r="K897" s="1177" t="str">
        <f t="shared" si="13"/>
        <v/>
      </c>
    </row>
    <row r="898" spans="11:11" x14ac:dyDescent="0.2">
      <c r="K898" s="1177" t="str">
        <f t="shared" si="13"/>
        <v/>
      </c>
    </row>
    <row r="899" spans="11:11" x14ac:dyDescent="0.2">
      <c r="K899" s="1177" t="str">
        <f t="shared" si="13"/>
        <v/>
      </c>
    </row>
    <row r="900" spans="11:11" x14ac:dyDescent="0.2">
      <c r="K900" s="1177" t="str">
        <f t="shared" si="13"/>
        <v/>
      </c>
    </row>
    <row r="901" spans="11:11" x14ac:dyDescent="0.2">
      <c r="K901" s="1177" t="str">
        <f t="shared" si="13"/>
        <v/>
      </c>
    </row>
    <row r="902" spans="11:11" x14ac:dyDescent="0.2">
      <c r="K902" s="1177" t="str">
        <f t="shared" si="13"/>
        <v/>
      </c>
    </row>
    <row r="903" spans="11:11" x14ac:dyDescent="0.2">
      <c r="K903" s="1177" t="str">
        <f t="shared" si="13"/>
        <v/>
      </c>
    </row>
    <row r="904" spans="11:11" x14ac:dyDescent="0.2">
      <c r="K904" s="1177" t="str">
        <f t="shared" si="13"/>
        <v/>
      </c>
    </row>
    <row r="905" spans="11:11" x14ac:dyDescent="0.2">
      <c r="K905" s="1177" t="str">
        <f t="shared" ref="K905:K968" si="14">A905&amp;C905&amp;E905&amp;G905&amp;I905</f>
        <v/>
      </c>
    </row>
    <row r="906" spans="11:11" x14ac:dyDescent="0.2">
      <c r="K906" s="1177" t="str">
        <f t="shared" si="14"/>
        <v/>
      </c>
    </row>
    <row r="907" spans="11:11" x14ac:dyDescent="0.2">
      <c r="K907" s="1177" t="str">
        <f t="shared" si="14"/>
        <v/>
      </c>
    </row>
    <row r="908" spans="11:11" x14ac:dyDescent="0.2">
      <c r="K908" s="1177" t="str">
        <f t="shared" si="14"/>
        <v/>
      </c>
    </row>
    <row r="909" spans="11:11" x14ac:dyDescent="0.2">
      <c r="K909" s="1177" t="str">
        <f t="shared" si="14"/>
        <v/>
      </c>
    </row>
    <row r="910" spans="11:11" x14ac:dyDescent="0.2">
      <c r="K910" s="1177" t="str">
        <f t="shared" si="14"/>
        <v/>
      </c>
    </row>
    <row r="911" spans="11:11" x14ac:dyDescent="0.2">
      <c r="K911" s="1177" t="str">
        <f t="shared" si="14"/>
        <v/>
      </c>
    </row>
    <row r="912" spans="11:11" x14ac:dyDescent="0.2">
      <c r="K912" s="1177" t="str">
        <f t="shared" si="14"/>
        <v/>
      </c>
    </row>
    <row r="913" spans="11:11" x14ac:dyDescent="0.2">
      <c r="K913" s="1177" t="str">
        <f t="shared" si="14"/>
        <v/>
      </c>
    </row>
    <row r="914" spans="11:11" x14ac:dyDescent="0.2">
      <c r="K914" s="1177" t="str">
        <f t="shared" si="14"/>
        <v/>
      </c>
    </row>
    <row r="915" spans="11:11" x14ac:dyDescent="0.2">
      <c r="K915" s="1177" t="str">
        <f t="shared" si="14"/>
        <v/>
      </c>
    </row>
    <row r="916" spans="11:11" x14ac:dyDescent="0.2">
      <c r="K916" s="1177" t="str">
        <f t="shared" si="14"/>
        <v/>
      </c>
    </row>
    <row r="917" spans="11:11" x14ac:dyDescent="0.2">
      <c r="K917" s="1177" t="str">
        <f t="shared" si="14"/>
        <v/>
      </c>
    </row>
    <row r="918" spans="11:11" x14ac:dyDescent="0.2">
      <c r="K918" s="1177" t="str">
        <f t="shared" si="14"/>
        <v/>
      </c>
    </row>
    <row r="919" spans="11:11" x14ac:dyDescent="0.2">
      <c r="K919" s="1177" t="str">
        <f t="shared" si="14"/>
        <v/>
      </c>
    </row>
    <row r="920" spans="11:11" x14ac:dyDescent="0.2">
      <c r="K920" s="1177" t="str">
        <f t="shared" si="14"/>
        <v/>
      </c>
    </row>
    <row r="921" spans="11:11" x14ac:dyDescent="0.2">
      <c r="K921" s="1177" t="str">
        <f t="shared" si="14"/>
        <v/>
      </c>
    </row>
    <row r="922" spans="11:11" x14ac:dyDescent="0.2">
      <c r="K922" s="1177" t="str">
        <f t="shared" si="14"/>
        <v/>
      </c>
    </row>
    <row r="923" spans="11:11" x14ac:dyDescent="0.2">
      <c r="K923" s="1177" t="str">
        <f t="shared" si="14"/>
        <v/>
      </c>
    </row>
    <row r="924" spans="11:11" x14ac:dyDescent="0.2">
      <c r="K924" s="1177" t="str">
        <f t="shared" si="14"/>
        <v/>
      </c>
    </row>
    <row r="925" spans="11:11" x14ac:dyDescent="0.2">
      <c r="K925" s="1177" t="str">
        <f t="shared" si="14"/>
        <v/>
      </c>
    </row>
    <row r="926" spans="11:11" x14ac:dyDescent="0.2">
      <c r="K926" s="1177" t="str">
        <f t="shared" si="14"/>
        <v/>
      </c>
    </row>
    <row r="927" spans="11:11" x14ac:dyDescent="0.2">
      <c r="K927" s="1177" t="str">
        <f t="shared" si="14"/>
        <v/>
      </c>
    </row>
    <row r="928" spans="11:11" x14ac:dyDescent="0.2">
      <c r="K928" s="1177" t="str">
        <f t="shared" si="14"/>
        <v/>
      </c>
    </row>
    <row r="929" spans="11:11" x14ac:dyDescent="0.2">
      <c r="K929" s="1177" t="str">
        <f t="shared" si="14"/>
        <v/>
      </c>
    </row>
    <row r="930" spans="11:11" x14ac:dyDescent="0.2">
      <c r="K930" s="1177" t="str">
        <f t="shared" si="14"/>
        <v/>
      </c>
    </row>
    <row r="931" spans="11:11" x14ac:dyDescent="0.2">
      <c r="K931" s="1177" t="str">
        <f t="shared" si="14"/>
        <v/>
      </c>
    </row>
    <row r="932" spans="11:11" x14ac:dyDescent="0.2">
      <c r="K932" s="1177" t="str">
        <f t="shared" si="14"/>
        <v/>
      </c>
    </row>
    <row r="933" spans="11:11" x14ac:dyDescent="0.2">
      <c r="K933" s="1177" t="str">
        <f t="shared" si="14"/>
        <v/>
      </c>
    </row>
    <row r="934" spans="11:11" x14ac:dyDescent="0.2">
      <c r="K934" s="1177" t="str">
        <f t="shared" si="14"/>
        <v/>
      </c>
    </row>
    <row r="935" spans="11:11" x14ac:dyDescent="0.2">
      <c r="K935" s="1177" t="str">
        <f t="shared" si="14"/>
        <v/>
      </c>
    </row>
    <row r="936" spans="11:11" x14ac:dyDescent="0.2">
      <c r="K936" s="1177" t="str">
        <f t="shared" si="14"/>
        <v/>
      </c>
    </row>
    <row r="937" spans="11:11" x14ac:dyDescent="0.2">
      <c r="K937" s="1177" t="str">
        <f t="shared" si="14"/>
        <v/>
      </c>
    </row>
    <row r="938" spans="11:11" x14ac:dyDescent="0.2">
      <c r="K938" s="1177" t="str">
        <f t="shared" si="14"/>
        <v/>
      </c>
    </row>
    <row r="939" spans="11:11" x14ac:dyDescent="0.2">
      <c r="K939" s="1177" t="str">
        <f t="shared" si="14"/>
        <v/>
      </c>
    </row>
    <row r="940" spans="11:11" x14ac:dyDescent="0.2">
      <c r="K940" s="1177" t="str">
        <f t="shared" si="14"/>
        <v/>
      </c>
    </row>
    <row r="941" spans="11:11" x14ac:dyDescent="0.2">
      <c r="K941" s="1177" t="str">
        <f t="shared" si="14"/>
        <v/>
      </c>
    </row>
    <row r="942" spans="11:11" x14ac:dyDescent="0.2">
      <c r="K942" s="1177" t="str">
        <f t="shared" si="14"/>
        <v/>
      </c>
    </row>
    <row r="943" spans="11:11" x14ac:dyDescent="0.2">
      <c r="K943" s="1177" t="str">
        <f t="shared" si="14"/>
        <v/>
      </c>
    </row>
    <row r="944" spans="11:11" x14ac:dyDescent="0.2">
      <c r="K944" s="1177" t="str">
        <f t="shared" si="14"/>
        <v/>
      </c>
    </row>
    <row r="945" spans="11:11" x14ac:dyDescent="0.2">
      <c r="K945" s="1177" t="str">
        <f t="shared" si="14"/>
        <v/>
      </c>
    </row>
    <row r="946" spans="11:11" x14ac:dyDescent="0.2">
      <c r="K946" s="1177" t="str">
        <f t="shared" si="14"/>
        <v/>
      </c>
    </row>
    <row r="947" spans="11:11" x14ac:dyDescent="0.2">
      <c r="K947" s="1177" t="str">
        <f t="shared" si="14"/>
        <v/>
      </c>
    </row>
    <row r="948" spans="11:11" x14ac:dyDescent="0.2">
      <c r="K948" s="1177" t="str">
        <f t="shared" si="14"/>
        <v/>
      </c>
    </row>
    <row r="949" spans="11:11" x14ac:dyDescent="0.2">
      <c r="K949" s="1177" t="str">
        <f t="shared" si="14"/>
        <v/>
      </c>
    </row>
    <row r="950" spans="11:11" x14ac:dyDescent="0.2">
      <c r="K950" s="1177" t="str">
        <f t="shared" si="14"/>
        <v/>
      </c>
    </row>
    <row r="951" spans="11:11" x14ac:dyDescent="0.2">
      <c r="K951" s="1177" t="str">
        <f t="shared" si="14"/>
        <v/>
      </c>
    </row>
    <row r="952" spans="11:11" x14ac:dyDescent="0.2">
      <c r="K952" s="1177" t="str">
        <f t="shared" si="14"/>
        <v/>
      </c>
    </row>
    <row r="953" spans="11:11" x14ac:dyDescent="0.2">
      <c r="K953" s="1177" t="str">
        <f t="shared" si="14"/>
        <v/>
      </c>
    </row>
    <row r="954" spans="11:11" x14ac:dyDescent="0.2">
      <c r="K954" s="1177" t="str">
        <f t="shared" si="14"/>
        <v/>
      </c>
    </row>
    <row r="955" spans="11:11" x14ac:dyDescent="0.2">
      <c r="K955" s="1177" t="str">
        <f t="shared" si="14"/>
        <v/>
      </c>
    </row>
    <row r="956" spans="11:11" x14ac:dyDescent="0.2">
      <c r="K956" s="1177" t="str">
        <f t="shared" si="14"/>
        <v/>
      </c>
    </row>
    <row r="957" spans="11:11" x14ac:dyDescent="0.2">
      <c r="K957" s="1177" t="str">
        <f t="shared" si="14"/>
        <v/>
      </c>
    </row>
    <row r="958" spans="11:11" x14ac:dyDescent="0.2">
      <c r="K958" s="1177" t="str">
        <f t="shared" si="14"/>
        <v/>
      </c>
    </row>
    <row r="959" spans="11:11" x14ac:dyDescent="0.2">
      <c r="K959" s="1177" t="str">
        <f t="shared" si="14"/>
        <v/>
      </c>
    </row>
    <row r="960" spans="11:11" x14ac:dyDescent="0.2">
      <c r="K960" s="1177" t="str">
        <f t="shared" si="14"/>
        <v/>
      </c>
    </row>
    <row r="961" spans="11:11" x14ac:dyDescent="0.2">
      <c r="K961" s="1177" t="str">
        <f t="shared" si="14"/>
        <v/>
      </c>
    </row>
    <row r="962" spans="11:11" x14ac:dyDescent="0.2">
      <c r="K962" s="1177" t="str">
        <f t="shared" si="14"/>
        <v/>
      </c>
    </row>
    <row r="963" spans="11:11" x14ac:dyDescent="0.2">
      <c r="K963" s="1177" t="str">
        <f t="shared" si="14"/>
        <v/>
      </c>
    </row>
    <row r="964" spans="11:11" x14ac:dyDescent="0.2">
      <c r="K964" s="1177" t="str">
        <f t="shared" si="14"/>
        <v/>
      </c>
    </row>
    <row r="965" spans="11:11" x14ac:dyDescent="0.2">
      <c r="K965" s="1177" t="str">
        <f t="shared" si="14"/>
        <v/>
      </c>
    </row>
    <row r="966" spans="11:11" x14ac:dyDescent="0.2">
      <c r="K966" s="1177" t="str">
        <f t="shared" si="14"/>
        <v/>
      </c>
    </row>
    <row r="967" spans="11:11" x14ac:dyDescent="0.2">
      <c r="K967" s="1177" t="str">
        <f t="shared" si="14"/>
        <v/>
      </c>
    </row>
    <row r="968" spans="11:11" x14ac:dyDescent="0.2">
      <c r="K968" s="1177" t="str">
        <f t="shared" si="14"/>
        <v/>
      </c>
    </row>
    <row r="969" spans="11:11" x14ac:dyDescent="0.2">
      <c r="K969" s="1177" t="str">
        <f t="shared" ref="K969:K1032" si="15">A969&amp;C969&amp;E969&amp;G969&amp;I969</f>
        <v/>
      </c>
    </row>
    <row r="970" spans="11:11" x14ac:dyDescent="0.2">
      <c r="K970" s="1177" t="str">
        <f t="shared" si="15"/>
        <v/>
      </c>
    </row>
    <row r="971" spans="11:11" x14ac:dyDescent="0.2">
      <c r="K971" s="1177" t="str">
        <f t="shared" si="15"/>
        <v/>
      </c>
    </row>
    <row r="972" spans="11:11" x14ac:dyDescent="0.2">
      <c r="K972" s="1177" t="str">
        <f t="shared" si="15"/>
        <v/>
      </c>
    </row>
    <row r="973" spans="11:11" x14ac:dyDescent="0.2">
      <c r="K973" s="1177" t="str">
        <f t="shared" si="15"/>
        <v/>
      </c>
    </row>
    <row r="974" spans="11:11" x14ac:dyDescent="0.2">
      <c r="K974" s="1177" t="str">
        <f t="shared" si="15"/>
        <v/>
      </c>
    </row>
    <row r="975" spans="11:11" x14ac:dyDescent="0.2">
      <c r="K975" s="1177" t="str">
        <f t="shared" si="15"/>
        <v/>
      </c>
    </row>
    <row r="976" spans="11:11" x14ac:dyDescent="0.2">
      <c r="K976" s="1177" t="str">
        <f t="shared" si="15"/>
        <v/>
      </c>
    </row>
    <row r="977" spans="11:11" x14ac:dyDescent="0.2">
      <c r="K977" s="1177" t="str">
        <f t="shared" si="15"/>
        <v/>
      </c>
    </row>
    <row r="978" spans="11:11" x14ac:dyDescent="0.2">
      <c r="K978" s="1177" t="str">
        <f t="shared" si="15"/>
        <v/>
      </c>
    </row>
    <row r="979" spans="11:11" x14ac:dyDescent="0.2">
      <c r="K979" s="1177" t="str">
        <f t="shared" si="15"/>
        <v/>
      </c>
    </row>
    <row r="980" spans="11:11" x14ac:dyDescent="0.2">
      <c r="K980" s="1177" t="str">
        <f t="shared" si="15"/>
        <v/>
      </c>
    </row>
    <row r="981" spans="11:11" x14ac:dyDescent="0.2">
      <c r="K981" s="1177" t="str">
        <f t="shared" si="15"/>
        <v/>
      </c>
    </row>
    <row r="982" spans="11:11" x14ac:dyDescent="0.2">
      <c r="K982" s="1177" t="str">
        <f t="shared" si="15"/>
        <v/>
      </c>
    </row>
    <row r="983" spans="11:11" x14ac:dyDescent="0.2">
      <c r="K983" s="1177" t="str">
        <f t="shared" si="15"/>
        <v/>
      </c>
    </row>
    <row r="984" spans="11:11" x14ac:dyDescent="0.2">
      <c r="K984" s="1177" t="str">
        <f t="shared" si="15"/>
        <v/>
      </c>
    </row>
    <row r="985" spans="11:11" x14ac:dyDescent="0.2">
      <c r="K985" s="1177" t="str">
        <f t="shared" si="15"/>
        <v/>
      </c>
    </row>
    <row r="986" spans="11:11" x14ac:dyDescent="0.2">
      <c r="K986" s="1177" t="str">
        <f t="shared" si="15"/>
        <v/>
      </c>
    </row>
    <row r="987" spans="11:11" x14ac:dyDescent="0.2">
      <c r="K987" s="1177" t="str">
        <f t="shared" si="15"/>
        <v/>
      </c>
    </row>
    <row r="988" spans="11:11" x14ac:dyDescent="0.2">
      <c r="K988" s="1177" t="str">
        <f t="shared" si="15"/>
        <v/>
      </c>
    </row>
    <row r="989" spans="11:11" x14ac:dyDescent="0.2">
      <c r="K989" s="1177" t="str">
        <f t="shared" si="15"/>
        <v/>
      </c>
    </row>
    <row r="990" spans="11:11" x14ac:dyDescent="0.2">
      <c r="K990" s="1177" t="str">
        <f t="shared" si="15"/>
        <v/>
      </c>
    </row>
    <row r="991" spans="11:11" x14ac:dyDescent="0.2">
      <c r="K991" s="1177" t="str">
        <f t="shared" si="15"/>
        <v/>
      </c>
    </row>
    <row r="992" spans="11:11" x14ac:dyDescent="0.2">
      <c r="K992" s="1177" t="str">
        <f t="shared" si="15"/>
        <v/>
      </c>
    </row>
    <row r="993" spans="11:11" x14ac:dyDescent="0.2">
      <c r="K993" s="1177" t="str">
        <f t="shared" si="15"/>
        <v/>
      </c>
    </row>
    <row r="994" spans="11:11" x14ac:dyDescent="0.2">
      <c r="K994" s="1177" t="str">
        <f t="shared" si="15"/>
        <v/>
      </c>
    </row>
    <row r="995" spans="11:11" x14ac:dyDescent="0.2">
      <c r="K995" s="1177" t="str">
        <f t="shared" si="15"/>
        <v/>
      </c>
    </row>
    <row r="996" spans="11:11" x14ac:dyDescent="0.2">
      <c r="K996" s="1177" t="str">
        <f t="shared" si="15"/>
        <v/>
      </c>
    </row>
    <row r="997" spans="11:11" x14ac:dyDescent="0.2">
      <c r="K997" s="1177" t="str">
        <f t="shared" si="15"/>
        <v/>
      </c>
    </row>
    <row r="998" spans="11:11" x14ac:dyDescent="0.2">
      <c r="K998" s="1177" t="str">
        <f t="shared" si="15"/>
        <v/>
      </c>
    </row>
    <row r="999" spans="11:11" x14ac:dyDescent="0.2">
      <c r="K999" s="1177" t="str">
        <f t="shared" si="15"/>
        <v/>
      </c>
    </row>
    <row r="1000" spans="11:11" x14ac:dyDescent="0.2">
      <c r="K1000" s="1177" t="str">
        <f t="shared" si="15"/>
        <v/>
      </c>
    </row>
    <row r="1001" spans="11:11" x14ac:dyDescent="0.2">
      <c r="K1001" s="1177" t="str">
        <f t="shared" si="15"/>
        <v/>
      </c>
    </row>
    <row r="1002" spans="11:11" x14ac:dyDescent="0.2">
      <c r="K1002" s="1177" t="str">
        <f t="shared" si="15"/>
        <v/>
      </c>
    </row>
    <row r="1003" spans="11:11" x14ac:dyDescent="0.2">
      <c r="K1003" s="1177" t="str">
        <f t="shared" si="15"/>
        <v/>
      </c>
    </row>
    <row r="1004" spans="11:11" x14ac:dyDescent="0.2">
      <c r="K1004" s="1177" t="str">
        <f t="shared" si="15"/>
        <v/>
      </c>
    </row>
    <row r="1005" spans="11:11" x14ac:dyDescent="0.2">
      <c r="K1005" s="1177" t="str">
        <f t="shared" si="15"/>
        <v/>
      </c>
    </row>
    <row r="1006" spans="11:11" x14ac:dyDescent="0.2">
      <c r="K1006" s="1177" t="str">
        <f t="shared" si="15"/>
        <v/>
      </c>
    </row>
    <row r="1007" spans="11:11" x14ac:dyDescent="0.2">
      <c r="K1007" s="1177" t="str">
        <f t="shared" si="15"/>
        <v/>
      </c>
    </row>
    <row r="1008" spans="11:11" x14ac:dyDescent="0.2">
      <c r="K1008" s="1177" t="str">
        <f t="shared" si="15"/>
        <v/>
      </c>
    </row>
    <row r="1009" spans="11:11" x14ac:dyDescent="0.2">
      <c r="K1009" s="1177" t="str">
        <f t="shared" si="15"/>
        <v/>
      </c>
    </row>
    <row r="1010" spans="11:11" x14ac:dyDescent="0.2">
      <c r="K1010" s="1177" t="str">
        <f t="shared" si="15"/>
        <v/>
      </c>
    </row>
    <row r="1011" spans="11:11" x14ac:dyDescent="0.2">
      <c r="K1011" s="1177" t="str">
        <f t="shared" si="15"/>
        <v/>
      </c>
    </row>
    <row r="1012" spans="11:11" x14ac:dyDescent="0.2">
      <c r="K1012" s="1177" t="str">
        <f t="shared" si="15"/>
        <v/>
      </c>
    </row>
    <row r="1013" spans="11:11" x14ac:dyDescent="0.2">
      <c r="K1013" s="1177" t="str">
        <f t="shared" si="15"/>
        <v/>
      </c>
    </row>
    <row r="1014" spans="11:11" x14ac:dyDescent="0.2">
      <c r="K1014" s="1177" t="str">
        <f t="shared" si="15"/>
        <v/>
      </c>
    </row>
    <row r="1015" spans="11:11" x14ac:dyDescent="0.2">
      <c r="K1015" s="1177" t="str">
        <f t="shared" si="15"/>
        <v/>
      </c>
    </row>
    <row r="1016" spans="11:11" x14ac:dyDescent="0.2">
      <c r="K1016" s="1177" t="str">
        <f t="shared" si="15"/>
        <v/>
      </c>
    </row>
    <row r="1017" spans="11:11" x14ac:dyDescent="0.2">
      <c r="K1017" s="1177" t="str">
        <f t="shared" si="15"/>
        <v/>
      </c>
    </row>
    <row r="1018" spans="11:11" x14ac:dyDescent="0.2">
      <c r="K1018" s="1177" t="str">
        <f t="shared" si="15"/>
        <v/>
      </c>
    </row>
    <row r="1019" spans="11:11" x14ac:dyDescent="0.2">
      <c r="K1019" s="1177" t="str">
        <f t="shared" si="15"/>
        <v/>
      </c>
    </row>
    <row r="1020" spans="11:11" x14ac:dyDescent="0.2">
      <c r="K1020" s="1177" t="str">
        <f t="shared" si="15"/>
        <v/>
      </c>
    </row>
    <row r="1021" spans="11:11" x14ac:dyDescent="0.2">
      <c r="K1021" s="1177" t="str">
        <f t="shared" si="15"/>
        <v/>
      </c>
    </row>
    <row r="1022" spans="11:11" x14ac:dyDescent="0.2">
      <c r="K1022" s="1177" t="str">
        <f t="shared" si="15"/>
        <v/>
      </c>
    </row>
    <row r="1023" spans="11:11" x14ac:dyDescent="0.2">
      <c r="K1023" s="1177" t="str">
        <f t="shared" si="15"/>
        <v/>
      </c>
    </row>
    <row r="1024" spans="11:11" x14ac:dyDescent="0.2">
      <c r="K1024" s="1177" t="str">
        <f t="shared" si="15"/>
        <v/>
      </c>
    </row>
    <row r="1025" spans="11:11" x14ac:dyDescent="0.2">
      <c r="K1025" s="1177" t="str">
        <f t="shared" si="15"/>
        <v/>
      </c>
    </row>
    <row r="1026" spans="11:11" x14ac:dyDescent="0.2">
      <c r="K1026" s="1177" t="str">
        <f t="shared" si="15"/>
        <v/>
      </c>
    </row>
    <row r="1027" spans="11:11" x14ac:dyDescent="0.2">
      <c r="K1027" s="1177" t="str">
        <f t="shared" si="15"/>
        <v/>
      </c>
    </row>
    <row r="1028" spans="11:11" x14ac:dyDescent="0.2">
      <c r="K1028" s="1177" t="str">
        <f t="shared" si="15"/>
        <v/>
      </c>
    </row>
    <row r="1029" spans="11:11" x14ac:dyDescent="0.2">
      <c r="K1029" s="1177" t="str">
        <f t="shared" si="15"/>
        <v/>
      </c>
    </row>
    <row r="1030" spans="11:11" x14ac:dyDescent="0.2">
      <c r="K1030" s="1177" t="str">
        <f t="shared" si="15"/>
        <v/>
      </c>
    </row>
    <row r="1031" spans="11:11" x14ac:dyDescent="0.2">
      <c r="K1031" s="1177" t="str">
        <f t="shared" si="15"/>
        <v/>
      </c>
    </row>
    <row r="1032" spans="11:11" x14ac:dyDescent="0.2">
      <c r="K1032" s="1177" t="str">
        <f t="shared" si="15"/>
        <v/>
      </c>
    </row>
    <row r="1033" spans="11:11" x14ac:dyDescent="0.2">
      <c r="K1033" s="1177" t="str">
        <f t="shared" ref="K1033:K1096" si="16">A1033&amp;C1033&amp;E1033&amp;G1033&amp;I1033</f>
        <v/>
      </c>
    </row>
    <row r="1034" spans="11:11" x14ac:dyDescent="0.2">
      <c r="K1034" s="1177" t="str">
        <f t="shared" si="16"/>
        <v/>
      </c>
    </row>
    <row r="1035" spans="11:11" x14ac:dyDescent="0.2">
      <c r="K1035" s="1177" t="str">
        <f t="shared" si="16"/>
        <v/>
      </c>
    </row>
    <row r="1036" spans="11:11" x14ac:dyDescent="0.2">
      <c r="K1036" s="1177" t="str">
        <f t="shared" si="16"/>
        <v/>
      </c>
    </row>
    <row r="1037" spans="11:11" x14ac:dyDescent="0.2">
      <c r="K1037" s="1177" t="str">
        <f t="shared" si="16"/>
        <v/>
      </c>
    </row>
    <row r="1038" spans="11:11" x14ac:dyDescent="0.2">
      <c r="K1038" s="1177" t="str">
        <f t="shared" si="16"/>
        <v/>
      </c>
    </row>
    <row r="1039" spans="11:11" x14ac:dyDescent="0.2">
      <c r="K1039" s="1177" t="str">
        <f t="shared" si="16"/>
        <v/>
      </c>
    </row>
    <row r="1040" spans="11:11" x14ac:dyDescent="0.2">
      <c r="K1040" s="1177" t="str">
        <f t="shared" si="16"/>
        <v/>
      </c>
    </row>
    <row r="1041" spans="11:11" x14ac:dyDescent="0.2">
      <c r="K1041" s="1177" t="str">
        <f t="shared" si="16"/>
        <v/>
      </c>
    </row>
    <row r="1042" spans="11:11" x14ac:dyDescent="0.2">
      <c r="K1042" s="1177" t="str">
        <f t="shared" si="16"/>
        <v/>
      </c>
    </row>
    <row r="1043" spans="11:11" x14ac:dyDescent="0.2">
      <c r="K1043" s="1177" t="str">
        <f t="shared" si="16"/>
        <v/>
      </c>
    </row>
    <row r="1044" spans="11:11" x14ac:dyDescent="0.2">
      <c r="K1044" s="1177" t="str">
        <f t="shared" si="16"/>
        <v/>
      </c>
    </row>
    <row r="1045" spans="11:11" x14ac:dyDescent="0.2">
      <c r="K1045" s="1177" t="str">
        <f t="shared" si="16"/>
        <v/>
      </c>
    </row>
    <row r="1046" spans="11:11" x14ac:dyDescent="0.2">
      <c r="K1046" s="1177" t="str">
        <f t="shared" si="16"/>
        <v/>
      </c>
    </row>
    <row r="1047" spans="11:11" x14ac:dyDescent="0.2">
      <c r="K1047" s="1177" t="str">
        <f t="shared" si="16"/>
        <v/>
      </c>
    </row>
    <row r="1048" spans="11:11" x14ac:dyDescent="0.2">
      <c r="K1048" s="1177" t="str">
        <f t="shared" si="16"/>
        <v/>
      </c>
    </row>
    <row r="1049" spans="11:11" x14ac:dyDescent="0.2">
      <c r="K1049" s="1177" t="str">
        <f t="shared" si="16"/>
        <v/>
      </c>
    </row>
    <row r="1050" spans="11:11" x14ac:dyDescent="0.2">
      <c r="K1050" s="1177" t="str">
        <f t="shared" si="16"/>
        <v/>
      </c>
    </row>
    <row r="1051" spans="11:11" x14ac:dyDescent="0.2">
      <c r="K1051" s="1177" t="str">
        <f t="shared" si="16"/>
        <v/>
      </c>
    </row>
    <row r="1052" spans="11:11" x14ac:dyDescent="0.2">
      <c r="K1052" s="1177" t="str">
        <f t="shared" si="16"/>
        <v/>
      </c>
    </row>
    <row r="1053" spans="11:11" x14ac:dyDescent="0.2">
      <c r="K1053" s="1177" t="str">
        <f t="shared" si="16"/>
        <v/>
      </c>
    </row>
    <row r="1054" spans="11:11" x14ac:dyDescent="0.2">
      <c r="K1054" s="1177" t="str">
        <f t="shared" si="16"/>
        <v/>
      </c>
    </row>
    <row r="1055" spans="11:11" x14ac:dyDescent="0.2">
      <c r="K1055" s="1177" t="str">
        <f t="shared" si="16"/>
        <v/>
      </c>
    </row>
    <row r="1056" spans="11:11" x14ac:dyDescent="0.2">
      <c r="K1056" s="1177" t="str">
        <f t="shared" si="16"/>
        <v/>
      </c>
    </row>
    <row r="1057" spans="11:11" x14ac:dyDescent="0.2">
      <c r="K1057" s="1177" t="str">
        <f t="shared" si="16"/>
        <v/>
      </c>
    </row>
    <row r="1058" spans="11:11" x14ac:dyDescent="0.2">
      <c r="K1058" s="1177" t="str">
        <f t="shared" si="16"/>
        <v/>
      </c>
    </row>
    <row r="1059" spans="11:11" x14ac:dyDescent="0.2">
      <c r="K1059" s="1177" t="str">
        <f t="shared" si="16"/>
        <v/>
      </c>
    </row>
    <row r="1060" spans="11:11" x14ac:dyDescent="0.2">
      <c r="K1060" s="1177" t="str">
        <f t="shared" si="16"/>
        <v/>
      </c>
    </row>
    <row r="1061" spans="11:11" x14ac:dyDescent="0.2">
      <c r="K1061" s="1177" t="str">
        <f t="shared" si="16"/>
        <v/>
      </c>
    </row>
    <row r="1062" spans="11:11" x14ac:dyDescent="0.2">
      <c r="K1062" s="1177" t="str">
        <f t="shared" si="16"/>
        <v/>
      </c>
    </row>
    <row r="1063" spans="11:11" x14ac:dyDescent="0.2">
      <c r="K1063" s="1177" t="str">
        <f t="shared" si="16"/>
        <v/>
      </c>
    </row>
    <row r="1064" spans="11:11" x14ac:dyDescent="0.2">
      <c r="K1064" s="1177" t="str">
        <f t="shared" si="16"/>
        <v/>
      </c>
    </row>
    <row r="1065" spans="11:11" x14ac:dyDescent="0.2">
      <c r="K1065" s="1177" t="str">
        <f t="shared" si="16"/>
        <v/>
      </c>
    </row>
    <row r="1066" spans="11:11" x14ac:dyDescent="0.2">
      <c r="K1066" s="1177" t="str">
        <f t="shared" si="16"/>
        <v/>
      </c>
    </row>
    <row r="1067" spans="11:11" x14ac:dyDescent="0.2">
      <c r="K1067" s="1177" t="str">
        <f t="shared" si="16"/>
        <v/>
      </c>
    </row>
    <row r="1068" spans="11:11" x14ac:dyDescent="0.2">
      <c r="K1068" s="1177" t="str">
        <f t="shared" si="16"/>
        <v/>
      </c>
    </row>
    <row r="1069" spans="11:11" x14ac:dyDescent="0.2">
      <c r="K1069" s="1177" t="str">
        <f t="shared" si="16"/>
        <v/>
      </c>
    </row>
    <row r="1070" spans="11:11" x14ac:dyDescent="0.2">
      <c r="K1070" s="1177" t="str">
        <f t="shared" si="16"/>
        <v/>
      </c>
    </row>
    <row r="1071" spans="11:11" x14ac:dyDescent="0.2">
      <c r="K1071" s="1177" t="str">
        <f t="shared" si="16"/>
        <v/>
      </c>
    </row>
    <row r="1072" spans="11:11" x14ac:dyDescent="0.2">
      <c r="K1072" s="1177" t="str">
        <f t="shared" si="16"/>
        <v/>
      </c>
    </row>
    <row r="1073" spans="11:11" x14ac:dyDescent="0.2">
      <c r="K1073" s="1177" t="str">
        <f t="shared" si="16"/>
        <v/>
      </c>
    </row>
    <row r="1074" spans="11:11" x14ac:dyDescent="0.2">
      <c r="K1074" s="1177" t="str">
        <f t="shared" si="16"/>
        <v/>
      </c>
    </row>
    <row r="1075" spans="11:11" x14ac:dyDescent="0.2">
      <c r="K1075" s="1177" t="str">
        <f t="shared" si="16"/>
        <v/>
      </c>
    </row>
    <row r="1076" spans="11:11" x14ac:dyDescent="0.2">
      <c r="K1076" s="1177" t="str">
        <f t="shared" si="16"/>
        <v/>
      </c>
    </row>
    <row r="1077" spans="11:11" x14ac:dyDescent="0.2">
      <c r="K1077" s="1177" t="str">
        <f t="shared" si="16"/>
        <v/>
      </c>
    </row>
    <row r="1078" spans="11:11" x14ac:dyDescent="0.2">
      <c r="K1078" s="1177" t="str">
        <f t="shared" si="16"/>
        <v/>
      </c>
    </row>
    <row r="1079" spans="11:11" x14ac:dyDescent="0.2">
      <c r="K1079" s="1177" t="str">
        <f t="shared" si="16"/>
        <v/>
      </c>
    </row>
    <row r="1080" spans="11:11" x14ac:dyDescent="0.2">
      <c r="K1080" s="1177" t="str">
        <f t="shared" si="16"/>
        <v/>
      </c>
    </row>
    <row r="1081" spans="11:11" x14ac:dyDescent="0.2">
      <c r="K1081" s="1177" t="str">
        <f t="shared" si="16"/>
        <v/>
      </c>
    </row>
    <row r="1082" spans="11:11" x14ac:dyDescent="0.2">
      <c r="K1082" s="1177" t="str">
        <f t="shared" si="16"/>
        <v/>
      </c>
    </row>
    <row r="1083" spans="11:11" x14ac:dyDescent="0.2">
      <c r="K1083" s="1177" t="str">
        <f t="shared" si="16"/>
        <v/>
      </c>
    </row>
    <row r="1084" spans="11:11" x14ac:dyDescent="0.2">
      <c r="K1084" s="1177" t="str">
        <f t="shared" si="16"/>
        <v/>
      </c>
    </row>
    <row r="1085" spans="11:11" x14ac:dyDescent="0.2">
      <c r="K1085" s="1177" t="str">
        <f t="shared" si="16"/>
        <v/>
      </c>
    </row>
    <row r="1086" spans="11:11" x14ac:dyDescent="0.2">
      <c r="K1086" s="1177" t="str">
        <f t="shared" si="16"/>
        <v/>
      </c>
    </row>
    <row r="1087" spans="11:11" x14ac:dyDescent="0.2">
      <c r="K1087" s="1177" t="str">
        <f t="shared" si="16"/>
        <v/>
      </c>
    </row>
    <row r="1088" spans="11:11" x14ac:dyDescent="0.2">
      <c r="K1088" s="1177" t="str">
        <f t="shared" si="16"/>
        <v/>
      </c>
    </row>
    <row r="1089" spans="11:11" x14ac:dyDescent="0.2">
      <c r="K1089" s="1177" t="str">
        <f t="shared" si="16"/>
        <v/>
      </c>
    </row>
    <row r="1090" spans="11:11" x14ac:dyDescent="0.2">
      <c r="K1090" s="1177" t="str">
        <f t="shared" si="16"/>
        <v/>
      </c>
    </row>
    <row r="1091" spans="11:11" x14ac:dyDescent="0.2">
      <c r="K1091" s="1177" t="str">
        <f t="shared" si="16"/>
        <v/>
      </c>
    </row>
    <row r="1092" spans="11:11" x14ac:dyDescent="0.2">
      <c r="K1092" s="1177" t="str">
        <f t="shared" si="16"/>
        <v/>
      </c>
    </row>
    <row r="1093" spans="11:11" x14ac:dyDescent="0.2">
      <c r="K1093" s="1177" t="str">
        <f t="shared" si="16"/>
        <v/>
      </c>
    </row>
    <row r="1094" spans="11:11" x14ac:dyDescent="0.2">
      <c r="K1094" s="1177" t="str">
        <f t="shared" si="16"/>
        <v/>
      </c>
    </row>
    <row r="1095" spans="11:11" x14ac:dyDescent="0.2">
      <c r="K1095" s="1177" t="str">
        <f t="shared" si="16"/>
        <v/>
      </c>
    </row>
    <row r="1096" spans="11:11" x14ac:dyDescent="0.2">
      <c r="K1096" s="1177" t="str">
        <f t="shared" si="16"/>
        <v/>
      </c>
    </row>
    <row r="1097" spans="11:11" x14ac:dyDescent="0.2">
      <c r="K1097" s="1177" t="str">
        <f t="shared" ref="K1097:K1160" si="17">A1097&amp;C1097&amp;E1097&amp;G1097&amp;I1097</f>
        <v/>
      </c>
    </row>
    <row r="1098" spans="11:11" x14ac:dyDescent="0.2">
      <c r="K1098" s="1177" t="str">
        <f t="shared" si="17"/>
        <v/>
      </c>
    </row>
    <row r="1099" spans="11:11" x14ac:dyDescent="0.2">
      <c r="K1099" s="1177" t="str">
        <f t="shared" si="17"/>
        <v/>
      </c>
    </row>
    <row r="1100" spans="11:11" x14ac:dyDescent="0.2">
      <c r="K1100" s="1177" t="str">
        <f t="shared" si="17"/>
        <v/>
      </c>
    </row>
    <row r="1101" spans="11:11" x14ac:dyDescent="0.2">
      <c r="K1101" s="1177" t="str">
        <f t="shared" si="17"/>
        <v/>
      </c>
    </row>
    <row r="1102" spans="11:11" x14ac:dyDescent="0.2">
      <c r="K1102" s="1177" t="str">
        <f t="shared" si="17"/>
        <v/>
      </c>
    </row>
    <row r="1103" spans="11:11" x14ac:dyDescent="0.2">
      <c r="K1103" s="1177" t="str">
        <f t="shared" si="17"/>
        <v/>
      </c>
    </row>
    <row r="1104" spans="11:11" x14ac:dyDescent="0.2">
      <c r="K1104" s="1177" t="str">
        <f t="shared" si="17"/>
        <v/>
      </c>
    </row>
    <row r="1105" spans="11:11" x14ac:dyDescent="0.2">
      <c r="K1105" s="1177" t="str">
        <f t="shared" si="17"/>
        <v/>
      </c>
    </row>
    <row r="1106" spans="11:11" x14ac:dyDescent="0.2">
      <c r="K1106" s="1177" t="str">
        <f t="shared" si="17"/>
        <v/>
      </c>
    </row>
    <row r="1107" spans="11:11" x14ac:dyDescent="0.2">
      <c r="K1107" s="1177" t="str">
        <f t="shared" si="17"/>
        <v/>
      </c>
    </row>
    <row r="1108" spans="11:11" x14ac:dyDescent="0.2">
      <c r="K1108" s="1177" t="str">
        <f t="shared" si="17"/>
        <v/>
      </c>
    </row>
    <row r="1109" spans="11:11" x14ac:dyDescent="0.2">
      <c r="K1109" s="1177" t="str">
        <f t="shared" si="17"/>
        <v/>
      </c>
    </row>
    <row r="1110" spans="11:11" x14ac:dyDescent="0.2">
      <c r="K1110" s="1177" t="str">
        <f t="shared" si="17"/>
        <v/>
      </c>
    </row>
    <row r="1111" spans="11:11" x14ac:dyDescent="0.2">
      <c r="K1111" s="1177" t="str">
        <f t="shared" si="17"/>
        <v/>
      </c>
    </row>
    <row r="1112" spans="11:11" x14ac:dyDescent="0.2">
      <c r="K1112" s="1177" t="str">
        <f t="shared" si="17"/>
        <v/>
      </c>
    </row>
    <row r="1113" spans="11:11" x14ac:dyDescent="0.2">
      <c r="K1113" s="1177" t="str">
        <f t="shared" si="17"/>
        <v/>
      </c>
    </row>
    <row r="1114" spans="11:11" x14ac:dyDescent="0.2">
      <c r="K1114" s="1177" t="str">
        <f t="shared" si="17"/>
        <v/>
      </c>
    </row>
    <row r="1115" spans="11:11" x14ac:dyDescent="0.2">
      <c r="K1115" s="1177" t="str">
        <f t="shared" si="17"/>
        <v/>
      </c>
    </row>
    <row r="1116" spans="11:11" x14ac:dyDescent="0.2">
      <c r="K1116" s="1177" t="str">
        <f t="shared" si="17"/>
        <v/>
      </c>
    </row>
    <row r="1117" spans="11:11" x14ac:dyDescent="0.2">
      <c r="K1117" s="1177" t="str">
        <f t="shared" si="17"/>
        <v/>
      </c>
    </row>
    <row r="1118" spans="11:11" x14ac:dyDescent="0.2">
      <c r="K1118" s="1177" t="str">
        <f t="shared" si="17"/>
        <v/>
      </c>
    </row>
    <row r="1119" spans="11:11" x14ac:dyDescent="0.2">
      <c r="K1119" s="1177" t="str">
        <f t="shared" si="17"/>
        <v/>
      </c>
    </row>
    <row r="1120" spans="11:11" x14ac:dyDescent="0.2">
      <c r="K1120" s="1177" t="str">
        <f t="shared" si="17"/>
        <v/>
      </c>
    </row>
    <row r="1121" spans="11:11" x14ac:dyDescent="0.2">
      <c r="K1121" s="1177" t="str">
        <f t="shared" si="17"/>
        <v/>
      </c>
    </row>
    <row r="1122" spans="11:11" x14ac:dyDescent="0.2">
      <c r="K1122" s="1177" t="str">
        <f t="shared" si="17"/>
        <v/>
      </c>
    </row>
    <row r="1123" spans="11:11" x14ac:dyDescent="0.2">
      <c r="K1123" s="1177" t="str">
        <f t="shared" si="17"/>
        <v/>
      </c>
    </row>
    <row r="1124" spans="11:11" x14ac:dyDescent="0.2">
      <c r="K1124" s="1177" t="str">
        <f t="shared" si="17"/>
        <v/>
      </c>
    </row>
    <row r="1125" spans="11:11" x14ac:dyDescent="0.2">
      <c r="K1125" s="1177" t="str">
        <f t="shared" si="17"/>
        <v/>
      </c>
    </row>
    <row r="1126" spans="11:11" x14ac:dyDescent="0.2">
      <c r="K1126" s="1177" t="str">
        <f t="shared" si="17"/>
        <v/>
      </c>
    </row>
    <row r="1127" spans="11:11" x14ac:dyDescent="0.2">
      <c r="K1127" s="1177" t="str">
        <f t="shared" si="17"/>
        <v/>
      </c>
    </row>
    <row r="1128" spans="11:11" x14ac:dyDescent="0.2">
      <c r="K1128" s="1177" t="str">
        <f t="shared" si="17"/>
        <v/>
      </c>
    </row>
    <row r="1129" spans="11:11" x14ac:dyDescent="0.2">
      <c r="K1129" s="1177" t="str">
        <f t="shared" si="17"/>
        <v/>
      </c>
    </row>
    <row r="1130" spans="11:11" x14ac:dyDescent="0.2">
      <c r="K1130" s="1177" t="str">
        <f t="shared" si="17"/>
        <v/>
      </c>
    </row>
    <row r="1131" spans="11:11" x14ac:dyDescent="0.2">
      <c r="K1131" s="1177" t="str">
        <f t="shared" si="17"/>
        <v/>
      </c>
    </row>
    <row r="1132" spans="11:11" x14ac:dyDescent="0.2">
      <c r="K1132" s="1177" t="str">
        <f t="shared" si="17"/>
        <v/>
      </c>
    </row>
    <row r="1133" spans="11:11" x14ac:dyDescent="0.2">
      <c r="K1133" s="1177" t="str">
        <f t="shared" si="17"/>
        <v/>
      </c>
    </row>
    <row r="1134" spans="11:11" x14ac:dyDescent="0.2">
      <c r="K1134" s="1177" t="str">
        <f t="shared" si="17"/>
        <v/>
      </c>
    </row>
    <row r="1135" spans="11:11" x14ac:dyDescent="0.2">
      <c r="K1135" s="1177" t="str">
        <f t="shared" si="17"/>
        <v/>
      </c>
    </row>
    <row r="1136" spans="11:11" x14ac:dyDescent="0.2">
      <c r="K1136" s="1177" t="str">
        <f t="shared" si="17"/>
        <v/>
      </c>
    </row>
    <row r="1137" spans="11:11" x14ac:dyDescent="0.2">
      <c r="K1137" s="1177" t="str">
        <f t="shared" si="17"/>
        <v/>
      </c>
    </row>
    <row r="1138" spans="11:11" x14ac:dyDescent="0.2">
      <c r="K1138" s="1177" t="str">
        <f t="shared" si="17"/>
        <v/>
      </c>
    </row>
    <row r="1139" spans="11:11" x14ac:dyDescent="0.2">
      <c r="K1139" s="1177" t="str">
        <f t="shared" si="17"/>
        <v/>
      </c>
    </row>
    <row r="1140" spans="11:11" x14ac:dyDescent="0.2">
      <c r="K1140" s="1177" t="str">
        <f t="shared" si="17"/>
        <v/>
      </c>
    </row>
    <row r="1141" spans="11:11" x14ac:dyDescent="0.2">
      <c r="K1141" s="1177" t="str">
        <f t="shared" si="17"/>
        <v/>
      </c>
    </row>
    <row r="1142" spans="11:11" x14ac:dyDescent="0.2">
      <c r="K1142" s="1177" t="str">
        <f t="shared" si="17"/>
        <v/>
      </c>
    </row>
    <row r="1143" spans="11:11" x14ac:dyDescent="0.2">
      <c r="K1143" s="1177" t="str">
        <f t="shared" si="17"/>
        <v/>
      </c>
    </row>
    <row r="1144" spans="11:11" x14ac:dyDescent="0.2">
      <c r="K1144" s="1177" t="str">
        <f t="shared" si="17"/>
        <v/>
      </c>
    </row>
    <row r="1145" spans="11:11" x14ac:dyDescent="0.2">
      <c r="K1145" s="1177" t="str">
        <f t="shared" si="17"/>
        <v/>
      </c>
    </row>
    <row r="1146" spans="11:11" x14ac:dyDescent="0.2">
      <c r="K1146" s="1177" t="str">
        <f t="shared" si="17"/>
        <v/>
      </c>
    </row>
    <row r="1147" spans="11:11" x14ac:dyDescent="0.2">
      <c r="K1147" s="1177" t="str">
        <f t="shared" si="17"/>
        <v/>
      </c>
    </row>
    <row r="1148" spans="11:11" x14ac:dyDescent="0.2">
      <c r="K1148" s="1177" t="str">
        <f t="shared" si="17"/>
        <v/>
      </c>
    </row>
    <row r="1149" spans="11:11" x14ac:dyDescent="0.2">
      <c r="K1149" s="1177" t="str">
        <f t="shared" si="17"/>
        <v/>
      </c>
    </row>
    <row r="1150" spans="11:11" x14ac:dyDescent="0.2">
      <c r="K1150" s="1177" t="str">
        <f t="shared" si="17"/>
        <v/>
      </c>
    </row>
    <row r="1151" spans="11:11" x14ac:dyDescent="0.2">
      <c r="K1151" s="1177" t="str">
        <f t="shared" si="17"/>
        <v/>
      </c>
    </row>
    <row r="1152" spans="11:11" x14ac:dyDescent="0.2">
      <c r="K1152" s="1177" t="str">
        <f t="shared" si="17"/>
        <v/>
      </c>
    </row>
    <row r="1153" spans="11:11" x14ac:dyDescent="0.2">
      <c r="K1153" s="1177" t="str">
        <f t="shared" si="17"/>
        <v/>
      </c>
    </row>
    <row r="1154" spans="11:11" x14ac:dyDescent="0.2">
      <c r="K1154" s="1177" t="str">
        <f t="shared" si="17"/>
        <v/>
      </c>
    </row>
    <row r="1155" spans="11:11" x14ac:dyDescent="0.2">
      <c r="K1155" s="1177" t="str">
        <f t="shared" si="17"/>
        <v/>
      </c>
    </row>
    <row r="1156" spans="11:11" x14ac:dyDescent="0.2">
      <c r="K1156" s="1177" t="str">
        <f t="shared" si="17"/>
        <v/>
      </c>
    </row>
    <row r="1157" spans="11:11" x14ac:dyDescent="0.2">
      <c r="K1157" s="1177" t="str">
        <f t="shared" si="17"/>
        <v/>
      </c>
    </row>
    <row r="1158" spans="11:11" x14ac:dyDescent="0.2">
      <c r="K1158" s="1177" t="str">
        <f t="shared" si="17"/>
        <v/>
      </c>
    </row>
    <row r="1159" spans="11:11" x14ac:dyDescent="0.2">
      <c r="K1159" s="1177" t="str">
        <f t="shared" si="17"/>
        <v/>
      </c>
    </row>
    <row r="1160" spans="11:11" x14ac:dyDescent="0.2">
      <c r="K1160" s="1177" t="str">
        <f t="shared" si="17"/>
        <v/>
      </c>
    </row>
    <row r="1161" spans="11:11" x14ac:dyDescent="0.2">
      <c r="K1161" s="1177" t="str">
        <f t="shared" ref="K1161:K1225" si="18">A1161&amp;C1161&amp;E1161&amp;G1161&amp;I1161</f>
        <v/>
      </c>
    </row>
    <row r="1162" spans="11:11" x14ac:dyDescent="0.2">
      <c r="K1162" s="1177" t="str">
        <f t="shared" si="18"/>
        <v/>
      </c>
    </row>
    <row r="1163" spans="11:11" x14ac:dyDescent="0.2">
      <c r="K1163" s="1177" t="str">
        <f t="shared" si="18"/>
        <v/>
      </c>
    </row>
    <row r="1164" spans="11:11" x14ac:dyDescent="0.2">
      <c r="K1164" s="1177" t="str">
        <f t="shared" si="18"/>
        <v/>
      </c>
    </row>
    <row r="1165" spans="11:11" x14ac:dyDescent="0.2">
      <c r="K1165" s="1177" t="str">
        <f t="shared" si="18"/>
        <v/>
      </c>
    </row>
    <row r="1166" spans="11:11" x14ac:dyDescent="0.2">
      <c r="K1166" s="1177" t="str">
        <f t="shared" si="18"/>
        <v/>
      </c>
    </row>
    <row r="1167" spans="11:11" x14ac:dyDescent="0.2">
      <c r="K1167" s="1177" t="str">
        <f t="shared" si="18"/>
        <v/>
      </c>
    </row>
    <row r="1168" spans="11:11" x14ac:dyDescent="0.2">
      <c r="K1168" s="1177" t="str">
        <f t="shared" si="18"/>
        <v/>
      </c>
    </row>
    <row r="1169" spans="11:11" x14ac:dyDescent="0.2">
      <c r="K1169" s="1177" t="str">
        <f t="shared" si="18"/>
        <v/>
      </c>
    </row>
    <row r="1170" spans="11:11" x14ac:dyDescent="0.2">
      <c r="K1170" s="1177" t="str">
        <f t="shared" si="18"/>
        <v/>
      </c>
    </row>
    <row r="1171" spans="11:11" x14ac:dyDescent="0.2">
      <c r="K1171" s="1177" t="str">
        <f t="shared" si="18"/>
        <v/>
      </c>
    </row>
    <row r="1172" spans="11:11" x14ac:dyDescent="0.2">
      <c r="K1172" s="1177" t="str">
        <f t="shared" si="18"/>
        <v/>
      </c>
    </row>
    <row r="1173" spans="11:11" x14ac:dyDescent="0.2">
      <c r="K1173" s="1177" t="str">
        <f t="shared" si="18"/>
        <v/>
      </c>
    </row>
    <row r="1174" spans="11:11" x14ac:dyDescent="0.2">
      <c r="K1174" s="1177" t="str">
        <f t="shared" si="18"/>
        <v/>
      </c>
    </row>
    <row r="1175" spans="11:11" x14ac:dyDescent="0.2">
      <c r="K1175" s="1177" t="str">
        <f t="shared" si="18"/>
        <v/>
      </c>
    </row>
    <row r="1176" spans="11:11" x14ac:dyDescent="0.2">
      <c r="K1176" s="1177" t="str">
        <f t="shared" si="18"/>
        <v/>
      </c>
    </row>
    <row r="1177" spans="11:11" x14ac:dyDescent="0.2">
      <c r="K1177" s="1177" t="str">
        <f t="shared" si="18"/>
        <v/>
      </c>
    </row>
    <row r="1178" spans="11:11" x14ac:dyDescent="0.2">
      <c r="K1178" s="1177" t="str">
        <f t="shared" si="18"/>
        <v/>
      </c>
    </row>
    <row r="1179" spans="11:11" x14ac:dyDescent="0.2">
      <c r="K1179" s="1177" t="str">
        <f t="shared" si="18"/>
        <v/>
      </c>
    </row>
    <row r="1180" spans="11:11" x14ac:dyDescent="0.2">
      <c r="K1180" s="1177" t="str">
        <f t="shared" si="18"/>
        <v/>
      </c>
    </row>
    <row r="1181" spans="11:11" x14ac:dyDescent="0.2">
      <c r="K1181" s="1177" t="str">
        <f t="shared" si="18"/>
        <v/>
      </c>
    </row>
    <row r="1182" spans="11:11" x14ac:dyDescent="0.2">
      <c r="K1182" s="1177" t="str">
        <f t="shared" si="18"/>
        <v/>
      </c>
    </row>
    <row r="1183" spans="11:11" x14ac:dyDescent="0.2">
      <c r="K1183" s="1177" t="str">
        <f t="shared" si="18"/>
        <v/>
      </c>
    </row>
    <row r="1184" spans="11:11" x14ac:dyDescent="0.2">
      <c r="K1184" s="1177" t="str">
        <f t="shared" si="18"/>
        <v/>
      </c>
    </row>
    <row r="1185" spans="11:11" x14ac:dyDescent="0.2">
      <c r="K1185" s="1177" t="str">
        <f t="shared" si="18"/>
        <v/>
      </c>
    </row>
    <row r="1186" spans="11:11" x14ac:dyDescent="0.2">
      <c r="K1186" s="1177" t="str">
        <f t="shared" si="18"/>
        <v/>
      </c>
    </row>
    <row r="1187" spans="11:11" x14ac:dyDescent="0.2">
      <c r="K1187" s="1177" t="str">
        <f t="shared" si="18"/>
        <v/>
      </c>
    </row>
    <row r="1188" spans="11:11" x14ac:dyDescent="0.2">
      <c r="K1188" s="1177" t="str">
        <f t="shared" si="18"/>
        <v/>
      </c>
    </row>
    <row r="1189" spans="11:11" x14ac:dyDescent="0.2">
      <c r="K1189" s="1177" t="str">
        <f t="shared" si="18"/>
        <v/>
      </c>
    </row>
    <row r="1190" spans="11:11" x14ac:dyDescent="0.2">
      <c r="K1190" s="1177" t="str">
        <f t="shared" si="18"/>
        <v/>
      </c>
    </row>
    <row r="1191" spans="11:11" x14ac:dyDescent="0.2">
      <c r="K1191" s="1177" t="str">
        <f t="shared" si="18"/>
        <v/>
      </c>
    </row>
    <row r="1192" spans="11:11" x14ac:dyDescent="0.2">
      <c r="K1192" s="1177" t="str">
        <f t="shared" si="18"/>
        <v/>
      </c>
    </row>
    <row r="1193" spans="11:11" x14ac:dyDescent="0.2">
      <c r="K1193" s="1177" t="str">
        <f t="shared" si="18"/>
        <v/>
      </c>
    </row>
    <row r="1194" spans="11:11" x14ac:dyDescent="0.2">
      <c r="K1194" s="1177" t="str">
        <f t="shared" si="18"/>
        <v/>
      </c>
    </row>
    <row r="1195" spans="11:11" x14ac:dyDescent="0.2">
      <c r="K1195" s="1177" t="str">
        <f t="shared" si="18"/>
        <v/>
      </c>
    </row>
    <row r="1196" spans="11:11" x14ac:dyDescent="0.2">
      <c r="K1196" s="1177" t="str">
        <f t="shared" si="18"/>
        <v/>
      </c>
    </row>
    <row r="1197" spans="11:11" x14ac:dyDescent="0.2">
      <c r="K1197" s="1177" t="str">
        <f t="shared" si="18"/>
        <v/>
      </c>
    </row>
    <row r="1198" spans="11:11" x14ac:dyDescent="0.2">
      <c r="K1198" s="1177" t="str">
        <f t="shared" si="18"/>
        <v/>
      </c>
    </row>
    <row r="1199" spans="11:11" x14ac:dyDescent="0.2">
      <c r="K1199" s="1177" t="str">
        <f t="shared" si="18"/>
        <v/>
      </c>
    </row>
    <row r="1200" spans="11:11" x14ac:dyDescent="0.2">
      <c r="K1200" s="1177" t="str">
        <f t="shared" si="18"/>
        <v/>
      </c>
    </row>
    <row r="1201" spans="11:11" x14ac:dyDescent="0.2">
      <c r="K1201" s="1177" t="str">
        <f t="shared" si="18"/>
        <v/>
      </c>
    </row>
    <row r="1202" spans="11:11" x14ac:dyDescent="0.2">
      <c r="K1202" s="1177" t="str">
        <f t="shared" si="18"/>
        <v/>
      </c>
    </row>
    <row r="1203" spans="11:11" x14ac:dyDescent="0.2">
      <c r="K1203" s="1177" t="str">
        <f t="shared" si="18"/>
        <v/>
      </c>
    </row>
    <row r="1204" spans="11:11" x14ac:dyDescent="0.2">
      <c r="K1204" s="1177" t="str">
        <f t="shared" si="18"/>
        <v/>
      </c>
    </row>
    <row r="1205" spans="11:11" x14ac:dyDescent="0.2">
      <c r="K1205" s="1177" t="str">
        <f t="shared" si="18"/>
        <v/>
      </c>
    </row>
    <row r="1206" spans="11:11" x14ac:dyDescent="0.2">
      <c r="K1206" s="1177" t="str">
        <f t="shared" si="18"/>
        <v/>
      </c>
    </row>
    <row r="1207" spans="11:11" x14ac:dyDescent="0.2">
      <c r="K1207" s="1177" t="str">
        <f t="shared" si="18"/>
        <v/>
      </c>
    </row>
    <row r="1208" spans="11:11" x14ac:dyDescent="0.2">
      <c r="K1208" s="1177" t="str">
        <f t="shared" si="18"/>
        <v/>
      </c>
    </row>
    <row r="1209" spans="11:11" x14ac:dyDescent="0.2">
      <c r="K1209" s="1177" t="str">
        <f t="shared" si="18"/>
        <v/>
      </c>
    </row>
    <row r="1210" spans="11:11" x14ac:dyDescent="0.2">
      <c r="K1210" s="1177" t="str">
        <f t="shared" si="18"/>
        <v/>
      </c>
    </row>
    <row r="1211" spans="11:11" x14ac:dyDescent="0.2">
      <c r="K1211" s="1177" t="str">
        <f t="shared" si="18"/>
        <v/>
      </c>
    </row>
    <row r="1212" spans="11:11" x14ac:dyDescent="0.2">
      <c r="K1212" s="1177" t="str">
        <f t="shared" si="18"/>
        <v/>
      </c>
    </row>
    <row r="1213" spans="11:11" x14ac:dyDescent="0.2">
      <c r="K1213" s="1177" t="str">
        <f t="shared" si="18"/>
        <v/>
      </c>
    </row>
    <row r="1214" spans="11:11" x14ac:dyDescent="0.2">
      <c r="K1214" s="1177" t="str">
        <f t="shared" si="18"/>
        <v/>
      </c>
    </row>
    <row r="1215" spans="11:11" x14ac:dyDescent="0.2">
      <c r="K1215" s="1177" t="str">
        <f t="shared" si="18"/>
        <v/>
      </c>
    </row>
    <row r="1216" spans="11:11" x14ac:dyDescent="0.2">
      <c r="K1216" s="1177" t="str">
        <f t="shared" si="18"/>
        <v/>
      </c>
    </row>
    <row r="1217" spans="11:11" x14ac:dyDescent="0.2">
      <c r="K1217" s="1177" t="str">
        <f t="shared" si="18"/>
        <v/>
      </c>
    </row>
    <row r="1218" spans="11:11" x14ac:dyDescent="0.2">
      <c r="K1218" s="1177" t="str">
        <f t="shared" si="18"/>
        <v/>
      </c>
    </row>
    <row r="1219" spans="11:11" x14ac:dyDescent="0.2">
      <c r="K1219" s="1177" t="str">
        <f t="shared" si="18"/>
        <v/>
      </c>
    </row>
    <row r="1220" spans="11:11" x14ac:dyDescent="0.2">
      <c r="K1220" s="1177" t="str">
        <f t="shared" si="18"/>
        <v/>
      </c>
    </row>
    <row r="1221" spans="11:11" x14ac:dyDescent="0.2">
      <c r="K1221" s="1177" t="str">
        <f t="shared" si="18"/>
        <v/>
      </c>
    </row>
    <row r="1222" spans="11:11" x14ac:dyDescent="0.2">
      <c r="K1222" s="1177" t="str">
        <f t="shared" si="18"/>
        <v/>
      </c>
    </row>
    <row r="1223" spans="11:11" x14ac:dyDescent="0.2">
      <c r="K1223" s="1177" t="str">
        <f t="shared" si="18"/>
        <v/>
      </c>
    </row>
    <row r="1224" spans="11:11" x14ac:dyDescent="0.2">
      <c r="K1224" s="1177" t="str">
        <f t="shared" si="18"/>
        <v/>
      </c>
    </row>
    <row r="1225" spans="11:11" x14ac:dyDescent="0.2">
      <c r="K1225" s="1177" t="str">
        <f t="shared" si="18"/>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24"/>
    <col min="2" max="3" width="24" style="324" customWidth="1"/>
    <col min="4" max="16384" width="9.140625" style="324"/>
  </cols>
  <sheetData>
    <row r="1" spans="1:6" x14ac:dyDescent="0.2">
      <c r="B1" s="324" t="s">
        <v>525</v>
      </c>
    </row>
    <row r="2" spans="1:6" x14ac:dyDescent="0.2">
      <c r="B2" s="324" t="s">
        <v>527</v>
      </c>
    </row>
    <row r="3" spans="1:6" x14ac:dyDescent="0.2">
      <c r="B3" s="324" t="s">
        <v>519</v>
      </c>
    </row>
    <row r="4" spans="1:6" ht="15" x14ac:dyDescent="0.25">
      <c r="B4" s="324" t="s">
        <v>528</v>
      </c>
      <c r="F4" s="964" t="s">
        <v>1406</v>
      </c>
    </row>
    <row r="6" spans="1:6" x14ac:dyDescent="0.2">
      <c r="B6" s="324" t="s">
        <v>67</v>
      </c>
      <c r="C6" s="324" t="s">
        <v>68</v>
      </c>
    </row>
    <row r="10" spans="1:6" x14ac:dyDescent="0.2">
      <c r="A10" s="324" t="s">
        <v>589</v>
      </c>
    </row>
    <row r="11" spans="1:6" x14ac:dyDescent="0.2">
      <c r="A11" s="324" t="s">
        <v>588</v>
      </c>
    </row>
    <row r="12" spans="1:6" x14ac:dyDescent="0.2">
      <c r="A12" s="324" t="s">
        <v>1027</v>
      </c>
    </row>
    <row r="13" spans="1:6" x14ac:dyDescent="0.2">
      <c r="A13" s="324" t="s">
        <v>526</v>
      </c>
    </row>
    <row r="14" spans="1:6" x14ac:dyDescent="0.2">
      <c r="A14" s="324" t="s">
        <v>1313</v>
      </c>
    </row>
    <row r="15" spans="1:6" x14ac:dyDescent="0.2">
      <c r="A15" s="324" t="s">
        <v>1314</v>
      </c>
    </row>
    <row r="16" spans="1:6" x14ac:dyDescent="0.2">
      <c r="A16" s="324" t="s">
        <v>1315</v>
      </c>
    </row>
    <row r="17" spans="1:1" x14ac:dyDescent="0.2">
      <c r="A17" s="324" t="s">
        <v>1316</v>
      </c>
    </row>
    <row r="18" spans="1:1" x14ac:dyDescent="0.2">
      <c r="A18" s="324" t="s">
        <v>1317</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4" customWidth="1"/>
    <col min="2" max="16384" width="9.140625" style="324"/>
  </cols>
  <sheetData>
    <row r="1" spans="1:1" s="679" customFormat="1" x14ac:dyDescent="0.2">
      <c r="A1" s="678" t="s">
        <v>1407</v>
      </c>
    </row>
    <row r="2" spans="1:1" x14ac:dyDescent="0.2">
      <c r="A2" s="678" t="s">
        <v>533</v>
      </c>
    </row>
    <row r="3" spans="1:1" x14ac:dyDescent="0.2">
      <c r="A3" s="678" t="s">
        <v>940</v>
      </c>
    </row>
    <row r="5" spans="1:1" x14ac:dyDescent="0.2">
      <c r="A5" s="1069" t="s">
        <v>1883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26" customWidth="1"/>
    <col min="3" max="3" width="16.7109375" style="323" customWidth="1"/>
    <col min="4" max="4" width="17.28515625" style="326" customWidth="1"/>
    <col min="5" max="5" width="28.42578125" style="324" customWidth="1"/>
    <col min="6" max="6" width="29.5703125" style="324" customWidth="1"/>
    <col min="7" max="7" width="18.7109375" style="324" customWidth="1"/>
    <col min="8" max="8" width="21.7109375" style="324" customWidth="1"/>
    <col min="9" max="9" width="20.42578125" style="326" customWidth="1"/>
    <col min="10" max="10" width="22.28515625" style="326" customWidth="1"/>
    <col min="11" max="16384" width="9.140625" style="324"/>
  </cols>
  <sheetData>
    <row r="1" spans="1:14" s="350" customFormat="1" ht="18.75" x14ac:dyDescent="0.3">
      <c r="A1" s="680" t="s">
        <v>454</v>
      </c>
      <c r="B1" s="680"/>
      <c r="C1" s="68"/>
      <c r="D1" s="686"/>
      <c r="E1" s="65"/>
      <c r="F1" s="65"/>
      <c r="G1" s="65"/>
      <c r="H1" s="65"/>
      <c r="I1" s="688"/>
      <c r="J1" s="689"/>
    </row>
    <row r="2" spans="1:14" s="350" customFormat="1" ht="40.5" customHeight="1" x14ac:dyDescent="0.25">
      <c r="A2" s="681"/>
      <c r="B2" s="681"/>
      <c r="C2" s="63"/>
      <c r="D2" s="624"/>
      <c r="E2" s="61"/>
      <c r="F2" s="373" t="s">
        <v>521</v>
      </c>
      <c r="G2" s="67"/>
      <c r="H2" s="67"/>
      <c r="I2" s="66" t="s">
        <v>455</v>
      </c>
      <c r="J2" s="690"/>
    </row>
    <row r="3" spans="1:14" s="350" customFormat="1" ht="15" x14ac:dyDescent="0.25">
      <c r="A3" s="681"/>
      <c r="B3" s="681"/>
      <c r="C3" s="64"/>
      <c r="D3" s="70"/>
      <c r="E3" s="1196" t="s">
        <v>520</v>
      </c>
      <c r="F3" s="1196"/>
      <c r="G3" s="60"/>
      <c r="H3" s="60"/>
      <c r="I3" s="25"/>
      <c r="J3" s="690"/>
    </row>
    <row r="4" spans="1:14" s="350" customFormat="1" ht="15" x14ac:dyDescent="0.25">
      <c r="A4" s="681"/>
      <c r="B4" s="681"/>
      <c r="C4" s="64"/>
      <c r="D4" s="70"/>
      <c r="E4" s="60"/>
      <c r="F4" s="60"/>
      <c r="G4" s="60"/>
      <c r="H4" s="60"/>
      <c r="I4" s="25"/>
      <c r="J4" s="690"/>
    </row>
    <row r="5" spans="1:14" s="350" customFormat="1" ht="15.75" x14ac:dyDescent="0.25">
      <c r="A5" s="682" t="s">
        <v>163</v>
      </c>
      <c r="B5" s="683"/>
      <c r="C5" s="685"/>
      <c r="D5" s="687"/>
      <c r="E5" s="375"/>
      <c r="F5" s="375"/>
      <c r="G5" s="375"/>
      <c r="H5" s="375"/>
      <c r="I5" s="687"/>
      <c r="J5" s="691"/>
    </row>
    <row r="6" spans="1:14" s="350" customFormat="1" ht="15" x14ac:dyDescent="0.25">
      <c r="A6" s="681"/>
      <c r="B6" s="681"/>
      <c r="C6" s="255" t="s">
        <v>116</v>
      </c>
      <c r="D6" s="25"/>
      <c r="E6" s="309"/>
      <c r="F6" s="309"/>
      <c r="G6" s="372"/>
      <c r="H6" s="372"/>
      <c r="I6" s="681"/>
      <c r="J6" s="690"/>
    </row>
    <row r="7" spans="1:14" s="350" customFormat="1" ht="15" x14ac:dyDescent="0.25">
      <c r="A7" s="681"/>
      <c r="B7" s="681"/>
      <c r="C7" s="64"/>
      <c r="D7" s="26"/>
      <c r="E7" s="1194" t="s">
        <v>187</v>
      </c>
      <c r="F7" s="1195"/>
      <c r="G7" s="1194" t="s">
        <v>45</v>
      </c>
      <c r="H7" s="1195"/>
      <c r="I7" s="25"/>
      <c r="J7" s="690"/>
    </row>
    <row r="8" spans="1:14" s="350" customFormat="1" ht="24" customHeight="1" thickBot="1" x14ac:dyDescent="0.3">
      <c r="A8" s="7" t="s">
        <v>1431</v>
      </c>
      <c r="B8" s="684" t="s">
        <v>1436</v>
      </c>
      <c r="C8" s="20" t="s">
        <v>35</v>
      </c>
      <c r="D8" s="22" t="s">
        <v>1470</v>
      </c>
      <c r="E8" s="39" t="s">
        <v>1471</v>
      </c>
      <c r="F8" s="39" t="s">
        <v>1472</v>
      </c>
      <c r="G8" s="39" t="s">
        <v>1473</v>
      </c>
      <c r="H8" s="39" t="s">
        <v>1474</v>
      </c>
      <c r="I8" s="620" t="s">
        <v>1475</v>
      </c>
      <c r="J8" s="930" t="s">
        <v>1476</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26" customWidth="1"/>
    <col min="3" max="3" width="14.42578125" style="323" customWidth="1"/>
    <col min="4" max="4" width="15.7109375" style="326" customWidth="1"/>
    <col min="5" max="6" width="8.28515625" style="324" customWidth="1"/>
    <col min="7" max="7" width="10.42578125" style="324" customWidth="1"/>
    <col min="8" max="8" width="22.28515625" style="324" customWidth="1"/>
    <col min="9" max="9" width="8.28515625" style="324" customWidth="1"/>
    <col min="10" max="10" width="10.5703125" style="324" customWidth="1"/>
    <col min="11" max="11" width="12.5703125" style="324" customWidth="1"/>
    <col min="12" max="12" width="17.85546875" style="324" customWidth="1"/>
    <col min="13" max="13" width="18.42578125" style="324" customWidth="1"/>
    <col min="14" max="14" width="15.7109375" style="324" customWidth="1"/>
    <col min="15" max="15" width="13.85546875" style="324" customWidth="1"/>
    <col min="16" max="16" width="18.42578125" style="324" customWidth="1"/>
    <col min="17" max="17" width="21.85546875" style="324" customWidth="1"/>
    <col min="18" max="18" width="24.85546875" style="324" customWidth="1"/>
    <col min="19" max="19" width="23.42578125" style="324" customWidth="1"/>
    <col min="20" max="20" width="15.5703125" style="324" customWidth="1"/>
    <col min="21" max="30" width="8.85546875" style="324" customWidth="1"/>
    <col min="31" max="16384" width="8.85546875" style="324"/>
  </cols>
  <sheetData>
    <row r="1" spans="1:21" s="381" customFormat="1" ht="18.75" x14ac:dyDescent="0.3">
      <c r="A1" s="680" t="s">
        <v>456</v>
      </c>
      <c r="B1" s="680"/>
      <c r="C1" s="68"/>
      <c r="D1" s="686"/>
      <c r="E1" s="65"/>
      <c r="F1" s="65"/>
      <c r="G1" s="65"/>
      <c r="H1" s="65"/>
      <c r="I1" s="379"/>
      <c r="J1" s="65"/>
      <c r="K1" s="65"/>
      <c r="L1" s="65"/>
      <c r="M1" s="65"/>
      <c r="N1" s="65"/>
      <c r="O1" s="65"/>
      <c r="P1" s="65"/>
      <c r="Q1" s="65"/>
      <c r="R1" s="65"/>
      <c r="S1" s="65"/>
      <c r="T1" s="65"/>
      <c r="U1" s="380"/>
    </row>
    <row r="2" spans="1:21" s="381" customFormat="1" ht="15" x14ac:dyDescent="0.25">
      <c r="A2" s="624"/>
      <c r="B2" s="624"/>
      <c r="C2" s="63"/>
      <c r="D2" s="624"/>
      <c r="E2" s="382"/>
      <c r="F2" s="382"/>
      <c r="G2" s="382"/>
      <c r="H2" s="1207" t="s">
        <v>457</v>
      </c>
      <c r="I2" s="382"/>
      <c r="J2" s="382"/>
      <c r="K2" s="382"/>
      <c r="L2" s="382"/>
      <c r="M2" s="382"/>
      <c r="N2" s="382"/>
      <c r="O2" s="382"/>
      <c r="P2" s="382"/>
      <c r="Q2" s="382"/>
      <c r="R2" s="382"/>
      <c r="S2" s="382"/>
      <c r="T2" s="382"/>
      <c r="U2" s="383"/>
    </row>
    <row r="3" spans="1:21" s="381" customFormat="1" ht="15" x14ac:dyDescent="0.25">
      <c r="A3" s="692"/>
      <c r="B3" s="692"/>
      <c r="C3" s="35"/>
      <c r="D3" s="692"/>
      <c r="E3" s="382"/>
      <c r="F3" s="382"/>
      <c r="G3" s="382"/>
      <c r="H3" s="1207"/>
      <c r="I3" s="382"/>
      <c r="J3" s="384"/>
      <c r="K3" s="382"/>
      <c r="L3" s="382"/>
      <c r="M3" s="382"/>
      <c r="N3" s="1201"/>
      <c r="O3" s="1202"/>
      <c r="P3" s="1203"/>
      <c r="Q3" s="1203"/>
      <c r="R3" s="354"/>
      <c r="S3" s="1199"/>
      <c r="T3" s="1199"/>
      <c r="U3" s="383"/>
    </row>
    <row r="4" spans="1:21" s="381" customFormat="1" ht="10.5" customHeight="1" x14ac:dyDescent="0.25">
      <c r="A4" s="692"/>
      <c r="B4" s="692"/>
      <c r="C4" s="35"/>
      <c r="D4" s="692"/>
      <c r="E4" s="382"/>
      <c r="F4" s="382"/>
      <c r="G4" s="382"/>
      <c r="H4" s="1208"/>
      <c r="I4" s="382"/>
      <c r="J4" s="382"/>
      <c r="K4" s="382"/>
      <c r="L4" s="382"/>
      <c r="M4" s="382"/>
      <c r="N4" s="382"/>
      <c r="O4" s="382"/>
      <c r="P4" s="382"/>
      <c r="Q4" s="382"/>
      <c r="R4" s="382"/>
      <c r="S4" s="382"/>
      <c r="T4" s="382"/>
      <c r="U4" s="383"/>
    </row>
    <row r="5" spans="1:21" s="387" customFormat="1" ht="15.75" x14ac:dyDescent="0.25">
      <c r="A5" s="693" t="s">
        <v>524</v>
      </c>
      <c r="B5" s="694"/>
      <c r="C5" s="256"/>
      <c r="D5" s="693"/>
      <c r="E5" s="385"/>
      <c r="F5" s="385"/>
      <c r="G5" s="385"/>
      <c r="H5" s="386"/>
      <c r="I5" s="1204"/>
      <c r="J5" s="1205"/>
      <c r="K5" s="1205"/>
      <c r="L5" s="1205"/>
      <c r="M5" s="1205"/>
      <c r="N5" s="1205"/>
      <c r="O5" s="1204"/>
      <c r="P5" s="1204"/>
      <c r="Q5" s="1204"/>
      <c r="R5" s="1204"/>
      <c r="S5" s="1204"/>
      <c r="T5" s="1204"/>
      <c r="U5" s="1206"/>
    </row>
    <row r="6" spans="1:21" s="392" customFormat="1" ht="13.5" customHeight="1" x14ac:dyDescent="0.25">
      <c r="A6" s="25"/>
      <c r="B6" s="25"/>
      <c r="C6" s="23" t="s">
        <v>116</v>
      </c>
      <c r="D6" s="25"/>
      <c r="E6" s="1197" t="s">
        <v>100</v>
      </c>
      <c r="F6" s="1197"/>
      <c r="G6" s="388" t="s">
        <v>115</v>
      </c>
      <c r="H6" s="389"/>
      <c r="I6" s="388" t="s">
        <v>40</v>
      </c>
      <c r="J6" s="388" t="s">
        <v>100</v>
      </c>
      <c r="K6" s="388" t="s">
        <v>42</v>
      </c>
      <c r="L6" s="1197" t="s">
        <v>113</v>
      </c>
      <c r="M6" s="1198"/>
      <c r="N6" s="1197" t="s">
        <v>1621</v>
      </c>
      <c r="O6" s="1197"/>
      <c r="P6" s="390" t="s">
        <v>105</v>
      </c>
      <c r="Q6" s="1194" t="s">
        <v>115</v>
      </c>
      <c r="R6" s="1194"/>
      <c r="S6" s="313" t="s">
        <v>114</v>
      </c>
      <c r="T6" s="313" t="s">
        <v>113</v>
      </c>
      <c r="U6" s="391" t="s">
        <v>115</v>
      </c>
    </row>
    <row r="7" spans="1:21" s="381" customFormat="1" ht="14.25" customHeight="1" x14ac:dyDescent="0.25">
      <c r="A7" s="695"/>
      <c r="B7" s="695"/>
      <c r="C7" s="36"/>
      <c r="D7" s="695"/>
      <c r="E7" s="1200" t="s">
        <v>38</v>
      </c>
      <c r="F7" s="1200"/>
      <c r="G7" s="349" t="s">
        <v>39</v>
      </c>
      <c r="H7" s="394"/>
      <c r="I7" s="393"/>
      <c r="J7" s="393"/>
      <c r="K7" s="393"/>
      <c r="L7" s="395"/>
      <c r="M7" s="395"/>
      <c r="N7" s="395"/>
      <c r="O7" s="395"/>
      <c r="P7" s="393"/>
      <c r="Q7" s="395"/>
      <c r="R7" s="395"/>
      <c r="S7" s="395"/>
      <c r="T7" s="395"/>
      <c r="U7" s="396"/>
    </row>
    <row r="8" spans="1:21" s="399" customFormat="1" ht="27" customHeight="1" thickBot="1" x14ac:dyDescent="0.25">
      <c r="A8" s="7" t="s">
        <v>1431</v>
      </c>
      <c r="B8" s="684" t="s">
        <v>1436</v>
      </c>
      <c r="C8" s="20" t="s">
        <v>1477</v>
      </c>
      <c r="D8" s="7" t="s">
        <v>1470</v>
      </c>
      <c r="E8" s="6" t="s">
        <v>1478</v>
      </c>
      <c r="F8" s="6" t="s">
        <v>1479</v>
      </c>
      <c r="G8" s="6" t="s">
        <v>1480</v>
      </c>
      <c r="H8" s="397" t="s">
        <v>1481</v>
      </c>
      <c r="I8" s="6" t="s">
        <v>1482</v>
      </c>
      <c r="J8" s="6" t="s">
        <v>1483</v>
      </c>
      <c r="K8" s="6" t="s">
        <v>1484</v>
      </c>
      <c r="L8" s="6" t="s">
        <v>1485</v>
      </c>
      <c r="M8" s="6" t="s">
        <v>1486</v>
      </c>
      <c r="N8" s="6" t="s">
        <v>1487</v>
      </c>
      <c r="O8" s="6" t="s">
        <v>1488</v>
      </c>
      <c r="P8" s="6" t="s">
        <v>1489</v>
      </c>
      <c r="Q8" s="6" t="s">
        <v>1490</v>
      </c>
      <c r="R8" s="6" t="s">
        <v>1491</v>
      </c>
      <c r="S8" s="6" t="s">
        <v>1492</v>
      </c>
      <c r="T8" s="6" t="s">
        <v>1493</v>
      </c>
      <c r="U8" s="398" t="s">
        <v>1494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18.5703125" style="326" customWidth="1"/>
    <col min="3" max="3" width="13.85546875" style="323" customWidth="1"/>
    <col min="4" max="4" width="14.28515625" style="326" customWidth="1"/>
    <col min="5" max="5" width="12.42578125" style="326" customWidth="1"/>
    <col min="6" max="6" width="20.7109375" style="326" customWidth="1"/>
    <col min="7" max="7" width="20.7109375" style="324" customWidth="1"/>
    <col min="8" max="8" width="20.85546875" style="326" customWidth="1"/>
    <col min="9" max="9" width="20.85546875" style="324" customWidth="1"/>
    <col min="10" max="10" width="17.7109375" style="324" customWidth="1"/>
    <col min="11" max="12" width="16.7109375" style="324" customWidth="1"/>
    <col min="13" max="13" width="15.42578125" style="324" customWidth="1"/>
    <col min="14" max="14" width="17.7109375" style="326" customWidth="1"/>
    <col min="15" max="16" width="18.85546875" style="326" customWidth="1"/>
    <col min="17" max="17" width="18.7109375" style="324" customWidth="1"/>
    <col min="18" max="18" width="17.42578125" style="326" customWidth="1"/>
    <col min="19" max="19" width="15.5703125" style="324" customWidth="1"/>
    <col min="20" max="20" width="9.140625" style="324"/>
    <col min="21" max="21" width="21.85546875" style="324" customWidth="1"/>
    <col min="22" max="22" width="20.7109375" style="324" customWidth="1"/>
    <col min="23" max="23" width="12.28515625" style="324" customWidth="1"/>
    <col min="24" max="24" width="12.85546875" style="324" customWidth="1"/>
    <col min="25" max="25" width="21.85546875" style="324" customWidth="1"/>
    <col min="26" max="26" width="28.7109375" style="324" customWidth="1"/>
    <col min="27" max="27" width="24.42578125" style="324" customWidth="1"/>
    <col min="28" max="28" width="10.7109375" style="324" customWidth="1"/>
    <col min="29" max="16384" width="9.140625" style="324"/>
  </cols>
  <sheetData>
    <row r="1" spans="1:35" s="334" customFormat="1" ht="18.75" x14ac:dyDescent="0.3">
      <c r="A1" s="400" t="s">
        <v>458</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25">
      <c r="A2" s="60"/>
      <c r="B2" s="70"/>
      <c r="C2" s="64"/>
      <c r="D2" s="674"/>
      <c r="E2" s="674"/>
      <c r="F2" s="70"/>
      <c r="G2" s="60"/>
      <c r="H2" s="70"/>
      <c r="I2" s="314" t="s">
        <v>1372</v>
      </c>
      <c r="J2" s="314" t="s">
        <v>459</v>
      </c>
      <c r="K2" s="314" t="s">
        <v>460</v>
      </c>
      <c r="L2" s="314" t="s">
        <v>461</v>
      </c>
      <c r="M2" s="314"/>
      <c r="N2" s="1215" t="s">
        <v>703</v>
      </c>
      <c r="O2" s="707" t="s">
        <v>702</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25">
      <c r="A3" s="408"/>
      <c r="B3" s="70"/>
      <c r="C3" s="64"/>
      <c r="D3" s="674"/>
      <c r="E3" s="674"/>
      <c r="F3" s="70"/>
      <c r="G3" s="60"/>
      <c r="H3" s="70"/>
      <c r="I3" s="60"/>
      <c r="J3" s="60"/>
      <c r="K3" s="60"/>
      <c r="L3" s="60"/>
      <c r="M3" s="60"/>
      <c r="N3" s="1215"/>
      <c r="O3" s="1215"/>
      <c r="P3" s="708"/>
      <c r="Q3" s="406"/>
      <c r="R3" s="716"/>
      <c r="S3" s="407"/>
      <c r="T3" s="404"/>
      <c r="U3" s="405"/>
      <c r="V3" s="405"/>
      <c r="W3" s="364"/>
      <c r="X3" s="364"/>
      <c r="Y3" s="364"/>
      <c r="Z3" s="364"/>
      <c r="AA3" s="364"/>
      <c r="AB3" s="364"/>
      <c r="AC3" s="364"/>
      <c r="AD3" s="332"/>
      <c r="AE3" s="364"/>
      <c r="AF3" s="405"/>
      <c r="AG3" s="405"/>
    </row>
    <row r="4" spans="1:35" s="334" customFormat="1" ht="15" x14ac:dyDescent="0.25">
      <c r="A4" s="60"/>
      <c r="B4" s="70"/>
      <c r="C4" s="64"/>
      <c r="D4" s="674"/>
      <c r="E4" s="674"/>
      <c r="F4" s="70"/>
      <c r="G4" s="60"/>
      <c r="H4" s="70"/>
      <c r="I4" s="60"/>
      <c r="J4" s="60"/>
      <c r="K4" s="60"/>
      <c r="L4" s="60"/>
      <c r="M4" s="60"/>
      <c r="N4" s="1216"/>
      <c r="O4" s="1216"/>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25">
      <c r="A5" s="409" t="s">
        <v>343</v>
      </c>
      <c r="B5" s="697"/>
      <c r="C5" s="258"/>
      <c r="D5" s="697"/>
      <c r="E5" s="697"/>
      <c r="F5" s="701" t="s">
        <v>469</v>
      </c>
      <c r="G5" s="411"/>
      <c r="H5" s="701"/>
      <c r="I5" s="410"/>
      <c r="J5" s="410"/>
      <c r="K5" s="412" t="s">
        <v>592</v>
      </c>
      <c r="L5" s="413" t="s">
        <v>593</v>
      </c>
      <c r="M5" s="414" t="s">
        <v>700</v>
      </c>
      <c r="N5" s="709"/>
      <c r="O5" s="710"/>
      <c r="P5" s="711"/>
      <c r="Q5" s="415" t="s">
        <v>121</v>
      </c>
      <c r="R5" s="872"/>
      <c r="S5" s="416"/>
      <c r="T5" s="417"/>
      <c r="U5" s="405"/>
      <c r="V5" s="1212"/>
      <c r="W5" s="1212"/>
      <c r="X5" s="1212"/>
      <c r="Y5" s="1212"/>
      <c r="Z5" s="1212"/>
      <c r="AA5" s="1212"/>
      <c r="AB5" s="1212"/>
      <c r="AC5" s="1212"/>
      <c r="AD5" s="1212"/>
      <c r="AE5" s="405"/>
      <c r="AF5" s="405"/>
    </row>
    <row r="6" spans="1:35" s="341" customFormat="1" ht="37.5" customHeight="1" x14ac:dyDescent="0.2">
      <c r="A6" s="1209" t="s">
        <v>1297</v>
      </c>
      <c r="B6" s="698"/>
      <c r="C6" s="255" t="s">
        <v>116</v>
      </c>
      <c r="D6" s="25"/>
      <c r="E6" s="702"/>
      <c r="F6" s="25"/>
      <c r="G6" s="418" t="s">
        <v>46</v>
      </c>
      <c r="H6" s="704"/>
      <c r="I6" s="419" t="s">
        <v>275</v>
      </c>
      <c r="J6" s="420" t="s">
        <v>91</v>
      </c>
      <c r="K6" s="62" t="s">
        <v>185</v>
      </c>
      <c r="L6" s="421" t="s">
        <v>186</v>
      </c>
      <c r="M6" s="1213" t="s">
        <v>701</v>
      </c>
      <c r="N6" s="927"/>
      <c r="O6" s="925" t="s">
        <v>864</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25">
      <c r="A7" s="1210"/>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590</v>
      </c>
      <c r="L7" s="427" t="s">
        <v>591</v>
      </c>
      <c r="M7" s="1214"/>
      <c r="N7" s="926" t="str">
        <f>HYPERLINK("#DropDownLists!B8","Add to this list")</f>
        <v>Add to this list</v>
      </c>
      <c r="O7" s="900" t="s">
        <v>865</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
      <c r="A8" s="1211"/>
      <c r="B8" s="18" t="s">
        <v>1495</v>
      </c>
      <c r="C8" s="20" t="s">
        <v>35</v>
      </c>
      <c r="D8" s="7" t="s">
        <v>1456</v>
      </c>
      <c r="E8" s="7" t="s">
        <v>77</v>
      </c>
      <c r="F8" s="7" t="s">
        <v>1496</v>
      </c>
      <c r="G8" s="432" t="s">
        <v>1500</v>
      </c>
      <c r="H8" s="7" t="s">
        <v>1497</v>
      </c>
      <c r="I8" s="433" t="s">
        <v>1498</v>
      </c>
      <c r="J8" s="6" t="s">
        <v>1499</v>
      </c>
      <c r="K8" s="6" t="s">
        <v>1501</v>
      </c>
      <c r="L8" s="113" t="s">
        <v>1502</v>
      </c>
      <c r="M8" s="434" t="s">
        <v>1503</v>
      </c>
      <c r="N8" s="714" t="s">
        <v>1504</v>
      </c>
      <c r="O8" s="714" t="s">
        <v>1505</v>
      </c>
      <c r="P8" s="715" t="s">
        <v>1506</v>
      </c>
      <c r="Q8" s="113" t="s">
        <v>1507</v>
      </c>
      <c r="R8" s="7" t="s">
        <v>1508</v>
      </c>
      <c r="S8" s="398" t="s">
        <v>1509</v>
      </c>
      <c r="T8" s="343"/>
      <c r="U8" s="435"/>
      <c r="V8" s="436"/>
      <c r="W8" s="436"/>
      <c r="X8" s="343"/>
      <c r="Y8" s="437"/>
      <c r="Z8" s="343"/>
      <c r="AA8" s="343"/>
      <c r="AB8" s="343"/>
      <c r="AC8" s="343"/>
      <c r="AD8" s="343"/>
      <c r="AE8" s="343"/>
      <c r="AF8" s="438"/>
      <c r="AG8" s="436"/>
      <c r="AH8" s="436"/>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4.28515625" style="326" customWidth="1"/>
    <col min="3" max="3" width="12.42578125" style="323" customWidth="1"/>
    <col min="4" max="4" width="14.7109375" style="326" customWidth="1"/>
    <col min="5" max="5" width="13.85546875" style="326" customWidth="1"/>
    <col min="6" max="6" width="13.28515625" style="326" customWidth="1"/>
    <col min="7" max="7" width="14.5703125" style="324" customWidth="1"/>
    <col min="8" max="8" width="16.7109375" style="324" customWidth="1"/>
    <col min="9" max="9" width="17" style="326" customWidth="1"/>
    <col min="10" max="10" width="13.42578125" style="324" customWidth="1"/>
    <col min="11" max="11" width="12.7109375" style="324" customWidth="1"/>
    <col min="12" max="12" width="7.5703125" style="324" customWidth="1"/>
    <col min="13" max="16384" width="9.140625" style="324"/>
  </cols>
  <sheetData>
    <row r="1" spans="1:12" s="350" customFormat="1" ht="18.75" x14ac:dyDescent="0.3">
      <c r="A1" s="400" t="s">
        <v>462</v>
      </c>
      <c r="B1" s="306"/>
      <c r="C1" s="717"/>
      <c r="D1" s="69"/>
      <c r="E1" s="69"/>
      <c r="F1" s="69"/>
      <c r="G1" s="440"/>
      <c r="H1" s="440"/>
      <c r="I1" s="69"/>
      <c r="J1" s="441"/>
      <c r="K1" s="442"/>
      <c r="L1" s="443"/>
    </row>
    <row r="2" spans="1:12" s="350" customFormat="1" ht="15" x14ac:dyDescent="0.25">
      <c r="A2" s="444"/>
      <c r="B2" s="307"/>
      <c r="C2" s="718"/>
      <c r="D2" s="16"/>
      <c r="E2" s="16"/>
      <c r="F2" s="16"/>
      <c r="G2" s="444"/>
      <c r="H2" s="444"/>
      <c r="I2" s="16"/>
      <c r="J2" s="372"/>
      <c r="K2" s="374"/>
      <c r="L2" s="443"/>
    </row>
    <row r="3" spans="1:12" s="350" customFormat="1" ht="15" x14ac:dyDescent="0.25">
      <c r="A3" s="444"/>
      <c r="B3" s="307"/>
      <c r="C3" s="718"/>
      <c r="D3" s="16"/>
      <c r="E3" s="16"/>
      <c r="F3" s="16"/>
      <c r="G3" s="444"/>
      <c r="H3" s="444"/>
      <c r="I3" s="16"/>
      <c r="J3" s="372"/>
      <c r="K3" s="374"/>
      <c r="L3" s="443"/>
    </row>
    <row r="4" spans="1:12" s="350" customFormat="1" ht="15" x14ac:dyDescent="0.25">
      <c r="A4" s="444"/>
      <c r="B4" s="307"/>
      <c r="C4" s="718"/>
      <c r="D4" s="16"/>
      <c r="E4" s="16"/>
      <c r="F4" s="16"/>
      <c r="G4" s="444"/>
      <c r="H4" s="444"/>
      <c r="I4" s="16"/>
      <c r="J4" s="372"/>
      <c r="K4" s="374"/>
      <c r="L4" s="443"/>
    </row>
    <row r="5" spans="1:12" s="350" customFormat="1" ht="15.75" x14ac:dyDescent="0.25">
      <c r="A5" s="409" t="s">
        <v>343</v>
      </c>
      <c r="B5" s="308"/>
      <c r="C5" s="719"/>
      <c r="D5" s="41"/>
      <c r="E5" s="41"/>
      <c r="F5" s="50"/>
      <c r="G5" s="445"/>
      <c r="H5" s="445"/>
      <c r="I5" s="50"/>
      <c r="J5" s="1217"/>
      <c r="K5" s="1218"/>
      <c r="L5" s="417"/>
    </row>
    <row r="6" spans="1:12" s="350" customFormat="1" ht="48" customHeight="1" x14ac:dyDescent="0.25">
      <c r="A6" s="1209" t="s">
        <v>1297</v>
      </c>
      <c r="B6" s="16"/>
      <c r="C6" s="255" t="s">
        <v>116</v>
      </c>
      <c r="D6" s="16"/>
      <c r="E6" s="16"/>
      <c r="F6" s="16"/>
      <c r="G6" s="446" t="s">
        <v>489</v>
      </c>
      <c r="H6" s="446" t="s">
        <v>275</v>
      </c>
      <c r="I6" s="720"/>
      <c r="J6" s="418" t="s">
        <v>46</v>
      </c>
      <c r="K6" s="447" t="s">
        <v>46</v>
      </c>
      <c r="L6" s="448"/>
    </row>
    <row r="7" spans="1:12" s="350" customFormat="1" ht="15" x14ac:dyDescent="0.25">
      <c r="A7" s="1210"/>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 thickBot="1" x14ac:dyDescent="0.3">
      <c r="A8" s="1211"/>
      <c r="B8" s="18" t="s">
        <v>1495</v>
      </c>
      <c r="C8" s="20" t="s">
        <v>35</v>
      </c>
      <c r="D8" s="7" t="s">
        <v>1456</v>
      </c>
      <c r="E8" s="18" t="s">
        <v>77</v>
      </c>
      <c r="F8" s="19" t="s">
        <v>151</v>
      </c>
      <c r="G8" s="449" t="s">
        <v>1514</v>
      </c>
      <c r="H8" s="449" t="s">
        <v>1513</v>
      </c>
      <c r="I8" s="19" t="s">
        <v>1510</v>
      </c>
      <c r="J8" s="449" t="s">
        <v>1512</v>
      </c>
      <c r="K8" s="450" t="s">
        <v>1511</v>
      </c>
      <c r="L8" s="451"/>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5703125" style="326" customWidth="1"/>
    <col min="3" max="3" width="11" style="323" customWidth="1"/>
    <col min="4" max="4" width="20.28515625" style="326" customWidth="1"/>
    <col min="5" max="5" width="11.5703125" style="326" customWidth="1"/>
    <col min="6" max="6" width="25.5703125" style="326" customWidth="1"/>
    <col min="7" max="7" width="22" style="324" customWidth="1"/>
    <col min="8" max="8" width="31.5703125" style="326" customWidth="1"/>
    <col min="9" max="9" width="7.42578125" style="324" customWidth="1"/>
    <col min="10" max="10" width="26" style="324" customWidth="1"/>
    <col min="11" max="16384" width="9.140625" style="324"/>
  </cols>
  <sheetData>
    <row r="1" spans="1:10" s="350" customFormat="1" ht="18.75" x14ac:dyDescent="0.3">
      <c r="A1" s="400" t="s">
        <v>463</v>
      </c>
      <c r="B1" s="721"/>
      <c r="C1" s="259"/>
      <c r="D1" s="721"/>
      <c r="E1" s="69"/>
      <c r="F1" s="724"/>
      <c r="G1" s="452"/>
      <c r="H1" s="729"/>
      <c r="I1" s="453"/>
    </row>
    <row r="2" spans="1:10" s="350" customFormat="1" ht="29.25" customHeight="1" x14ac:dyDescent="0.25">
      <c r="A2" s="454"/>
      <c r="B2" s="722"/>
      <c r="C2" s="260"/>
      <c r="D2" s="722"/>
      <c r="E2" s="16"/>
      <c r="F2" s="725" t="s">
        <v>465</v>
      </c>
      <c r="G2" s="455"/>
      <c r="H2" s="730"/>
      <c r="I2" s="453"/>
    </row>
    <row r="3" spans="1:10" s="350" customFormat="1" ht="15" x14ac:dyDescent="0.25">
      <c r="B3" s="722"/>
      <c r="C3" s="260"/>
      <c r="D3" s="722"/>
      <c r="E3" s="16"/>
      <c r="F3" s="726"/>
      <c r="G3" s="455"/>
      <c r="H3" s="730"/>
      <c r="I3" s="453"/>
    </row>
    <row r="4" spans="1:10" s="350" customFormat="1" ht="15" x14ac:dyDescent="0.25">
      <c r="A4" s="454"/>
      <c r="B4" s="722"/>
      <c r="C4" s="260"/>
      <c r="D4" s="722"/>
      <c r="E4" s="16"/>
      <c r="F4" s="726"/>
      <c r="G4" s="455"/>
      <c r="H4" s="730"/>
      <c r="I4" s="453"/>
    </row>
    <row r="5" spans="1:10" s="350" customFormat="1" ht="15.75" x14ac:dyDescent="0.25">
      <c r="A5" s="457" t="s">
        <v>132</v>
      </c>
      <c r="B5" s="723"/>
      <c r="C5" s="261"/>
      <c r="D5" s="723"/>
      <c r="E5" s="727"/>
      <c r="F5" s="728"/>
      <c r="G5" s="375"/>
      <c r="H5" s="731"/>
      <c r="I5" s="453"/>
    </row>
    <row r="6" spans="1:10" s="350" customFormat="1" ht="47.25" customHeight="1" x14ac:dyDescent="0.25">
      <c r="A6" s="1209" t="s">
        <v>1297</v>
      </c>
      <c r="B6" s="722"/>
      <c r="C6" s="255" t="s">
        <v>116</v>
      </c>
      <c r="D6" s="722"/>
      <c r="E6" s="722"/>
      <c r="F6" s="681"/>
      <c r="G6" s="418" t="s">
        <v>46</v>
      </c>
      <c r="H6" s="732"/>
      <c r="I6" s="453"/>
    </row>
    <row r="7" spans="1:10" s="881" customFormat="1" ht="21" customHeight="1" x14ac:dyDescent="0.2">
      <c r="A7" s="1210"/>
      <c r="B7" s="878"/>
      <c r="C7" s="875"/>
      <c r="D7" s="878"/>
      <c r="E7" s="877" t="str">
        <f>HYPERLINK("#DropDownLists!K6","Add to this list")</f>
        <v>Add to this list</v>
      </c>
      <c r="F7" s="871" t="str">
        <f>HYPERLINK("#DropDownLists!AD6","Add to this list")</f>
        <v>Add to this list</v>
      </c>
      <c r="G7" s="876"/>
      <c r="H7" s="879"/>
      <c r="I7" s="880"/>
    </row>
    <row r="8" spans="1:10" s="428" customFormat="1" ht="15.75" thickBot="1" x14ac:dyDescent="0.3">
      <c r="A8" s="1211"/>
      <c r="B8" s="18" t="s">
        <v>1495</v>
      </c>
      <c r="C8" s="20" t="s">
        <v>35</v>
      </c>
      <c r="D8" s="7" t="s">
        <v>1456</v>
      </c>
      <c r="E8" s="18" t="s">
        <v>77</v>
      </c>
      <c r="F8" s="18" t="s">
        <v>1515</v>
      </c>
      <c r="G8" s="449" t="s">
        <v>1517</v>
      </c>
      <c r="H8" s="19" t="s">
        <v>1516</v>
      </c>
      <c r="I8" s="458"/>
      <c r="J8" s="459"/>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85546875" style="326" customWidth="1"/>
    <col min="3" max="3" width="12.7109375" style="323" customWidth="1"/>
    <col min="4" max="4" width="18.7109375" style="326" customWidth="1"/>
    <col min="5" max="5" width="20.85546875" style="326" customWidth="1"/>
    <col min="6" max="6" width="17" style="326" customWidth="1"/>
    <col min="7" max="7" width="14.7109375" style="324" customWidth="1"/>
    <col min="8" max="16384" width="9.140625" style="324"/>
  </cols>
  <sheetData>
    <row r="1" spans="1:7" s="350" customFormat="1" ht="18.75" x14ac:dyDescent="0.3">
      <c r="A1" s="400" t="s">
        <v>543</v>
      </c>
      <c r="B1" s="721"/>
      <c r="C1" s="259"/>
      <c r="D1" s="721"/>
      <c r="E1" s="721"/>
      <c r="F1" s="721"/>
      <c r="G1" s="363"/>
    </row>
    <row r="2" spans="1:7" s="350" customFormat="1" ht="15" x14ac:dyDescent="0.25">
      <c r="A2" s="60"/>
      <c r="B2" s="70"/>
      <c r="C2" s="64"/>
      <c r="D2" s="70"/>
      <c r="E2" s="70"/>
      <c r="F2" s="70"/>
      <c r="G2" s="363"/>
    </row>
    <row r="3" spans="1:7" s="350" customFormat="1" ht="15" x14ac:dyDescent="0.25">
      <c r="A3" s="61"/>
      <c r="B3" s="624"/>
      <c r="C3" s="63"/>
      <c r="D3" s="624"/>
      <c r="E3" s="624"/>
      <c r="F3" s="624"/>
      <c r="G3" s="460"/>
    </row>
    <row r="4" spans="1:7" s="350" customFormat="1" ht="15" x14ac:dyDescent="0.25">
      <c r="A4" s="60"/>
      <c r="B4" s="70"/>
      <c r="C4" s="64"/>
      <c r="D4" s="70"/>
      <c r="E4" s="70"/>
      <c r="F4" s="70"/>
      <c r="G4" s="363"/>
    </row>
    <row r="5" spans="1:7" s="350" customFormat="1" ht="15.75" x14ac:dyDescent="0.25">
      <c r="A5" s="461" t="s">
        <v>343</v>
      </c>
      <c r="B5" s="733"/>
      <c r="C5" s="735"/>
      <c r="D5" s="736"/>
      <c r="E5" s="736"/>
      <c r="F5" s="737"/>
      <c r="G5" s="462"/>
    </row>
    <row r="6" spans="1:7" s="350" customFormat="1" ht="48.75" customHeight="1" x14ac:dyDescent="0.25">
      <c r="A6" s="1209" t="s">
        <v>1297</v>
      </c>
      <c r="B6" s="734"/>
      <c r="C6" s="255" t="s">
        <v>116</v>
      </c>
      <c r="D6" s="25"/>
      <c r="E6" s="734"/>
      <c r="F6" s="734"/>
      <c r="G6" s="463"/>
    </row>
    <row r="7" spans="1:7" s="350" customFormat="1" ht="15" x14ac:dyDescent="0.25">
      <c r="A7" s="1210"/>
      <c r="B7" s="26"/>
      <c r="C7" s="64"/>
      <c r="D7" s="26"/>
      <c r="E7" s="882" t="str">
        <f>HYPERLINK("#DropDownLists!K6","Add to this list")</f>
        <v>Add to this list</v>
      </c>
      <c r="F7" s="882" t="str">
        <f>HYPERLINK("#DropDownLists!O6","Add to this list")</f>
        <v>Add to this list</v>
      </c>
      <c r="G7" s="464"/>
    </row>
    <row r="8" spans="1:7" s="350" customFormat="1" ht="15.75" thickBot="1" x14ac:dyDescent="0.3">
      <c r="A8" s="1211"/>
      <c r="B8" s="18" t="s">
        <v>1495</v>
      </c>
      <c r="C8" s="20" t="s">
        <v>35</v>
      </c>
      <c r="D8" s="7" t="s">
        <v>1456</v>
      </c>
      <c r="E8" s="12" t="s">
        <v>77</v>
      </c>
      <c r="F8" s="7" t="s">
        <v>1518</v>
      </c>
      <c r="G8" s="465"/>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29" style="326" customWidth="1"/>
    <col min="3" max="3" width="12.42578125" style="323" customWidth="1"/>
    <col min="4" max="4" width="14.5703125" style="326" customWidth="1"/>
    <col min="5" max="5" width="13.42578125" style="326" customWidth="1"/>
    <col min="6" max="7" width="20.7109375" style="326" customWidth="1"/>
    <col min="8" max="9" width="20.7109375" style="324" customWidth="1"/>
    <col min="10" max="10" width="20.7109375" style="326" customWidth="1"/>
    <col min="11" max="16384" width="9.140625" style="324"/>
  </cols>
  <sheetData>
    <row r="1" spans="1:10" s="350" customFormat="1" ht="18.75" x14ac:dyDescent="0.3">
      <c r="A1" s="400" t="s">
        <v>379</v>
      </c>
      <c r="B1" s="738"/>
      <c r="C1" s="262"/>
      <c r="D1" s="740"/>
      <c r="E1" s="740"/>
      <c r="F1" s="741"/>
      <c r="G1" s="742"/>
      <c r="H1" s="467"/>
      <c r="I1" s="467"/>
      <c r="J1" s="752"/>
    </row>
    <row r="2" spans="1:10" s="350" customFormat="1" ht="15" customHeight="1" x14ac:dyDescent="0.25">
      <c r="A2" s="468"/>
      <c r="B2" s="739"/>
      <c r="C2" s="263"/>
      <c r="D2" s="743"/>
      <c r="E2" s="743"/>
      <c r="F2" s="744"/>
      <c r="G2" s="1219" t="s">
        <v>470</v>
      </c>
      <c r="H2" s="469"/>
      <c r="I2" s="469"/>
      <c r="J2" s="753"/>
    </row>
    <row r="3" spans="1:10" s="350" customFormat="1" ht="15" x14ac:dyDescent="0.25">
      <c r="B3" s="722"/>
      <c r="C3" s="260"/>
      <c r="D3" s="16"/>
      <c r="E3" s="16"/>
      <c r="F3" s="726"/>
      <c r="G3" s="1219"/>
      <c r="H3" s="456"/>
      <c r="I3" s="456"/>
      <c r="J3" s="754"/>
    </row>
    <row r="4" spans="1:10" s="350" customFormat="1" ht="15" customHeight="1" x14ac:dyDescent="0.25">
      <c r="A4" s="454"/>
      <c r="B4" s="722"/>
      <c r="C4" s="260"/>
      <c r="D4" s="16"/>
      <c r="E4" s="16"/>
      <c r="F4" s="726"/>
      <c r="G4" s="1220"/>
      <c r="H4" s="456"/>
      <c r="I4" s="456"/>
      <c r="J4" s="754"/>
    </row>
    <row r="5" spans="1:10" s="350" customFormat="1" ht="15.75" x14ac:dyDescent="0.25">
      <c r="A5" s="461" t="s">
        <v>343</v>
      </c>
      <c r="B5" s="733"/>
      <c r="C5" s="735"/>
      <c r="D5" s="745"/>
      <c r="E5" s="745"/>
      <c r="F5" s="746" t="s">
        <v>380</v>
      </c>
      <c r="G5" s="747"/>
      <c r="H5" s="470"/>
      <c r="I5" s="470"/>
      <c r="J5" s="755"/>
    </row>
    <row r="6" spans="1:10" s="350" customFormat="1" ht="36.75" customHeight="1" x14ac:dyDescent="0.25">
      <c r="A6" s="1209" t="s">
        <v>1297</v>
      </c>
      <c r="B6" s="722"/>
      <c r="C6" s="255" t="s">
        <v>116</v>
      </c>
      <c r="D6" s="722"/>
      <c r="E6" s="748"/>
      <c r="F6" s="681"/>
      <c r="G6" s="749"/>
      <c r="H6" s="418" t="s">
        <v>40</v>
      </c>
      <c r="I6" s="418" t="s">
        <v>381</v>
      </c>
      <c r="J6" s="756"/>
    </row>
    <row r="7" spans="1:10" s="350" customFormat="1" ht="15" x14ac:dyDescent="0.25">
      <c r="A7" s="1210"/>
      <c r="B7" s="722"/>
      <c r="C7" s="64"/>
      <c r="D7" s="722"/>
      <c r="E7" s="890" t="str">
        <f>HYPERLINK("#DropDownLists!K6","Add to this list")</f>
        <v>Add to this list</v>
      </c>
      <c r="F7" s="681"/>
      <c r="G7" s="750"/>
      <c r="H7" s="345"/>
      <c r="I7" s="345"/>
      <c r="J7" s="890" t="str">
        <f>HYPERLINK("#DropDownLists!O6","Add to this list")</f>
        <v>Add to this list</v>
      </c>
    </row>
    <row r="8" spans="1:10" s="350" customFormat="1" ht="27" thickBot="1" x14ac:dyDescent="0.3">
      <c r="A8" s="1211"/>
      <c r="B8" s="18" t="s">
        <v>1495</v>
      </c>
      <c r="C8" s="20" t="s">
        <v>35</v>
      </c>
      <c r="D8" s="7" t="s">
        <v>1456</v>
      </c>
      <c r="E8" s="751" t="s">
        <v>77</v>
      </c>
      <c r="F8" s="19" t="s">
        <v>1521</v>
      </c>
      <c r="G8" s="19" t="s">
        <v>1522</v>
      </c>
      <c r="H8" s="449" t="s">
        <v>1519</v>
      </c>
      <c r="I8" s="449" t="s">
        <v>1523</v>
      </c>
      <c r="J8" s="757" t="s">
        <v>1520</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4" customWidth="1"/>
    <col min="2" max="2" width="21.7109375" style="326" customWidth="1"/>
    <col min="3" max="3" width="21.7109375" style="323" customWidth="1"/>
    <col min="4" max="4" width="12.28515625" style="323" customWidth="1"/>
    <col min="5" max="5" width="19" style="326" customWidth="1"/>
    <col min="6" max="6" width="16.5703125" style="324" customWidth="1"/>
    <col min="7" max="7" width="15.42578125" style="326" customWidth="1"/>
    <col min="8" max="8" width="16.42578125" style="326" customWidth="1"/>
    <col min="9" max="9" width="15.42578125" style="326" customWidth="1"/>
    <col min="10" max="10" width="16.7109375" style="324" customWidth="1"/>
    <col min="11" max="11" width="15.7109375" style="326" customWidth="1"/>
    <col min="12" max="12" width="8.28515625" style="324" customWidth="1"/>
    <col min="13" max="13" width="17.5703125" style="324" customWidth="1"/>
    <col min="14" max="19" width="8.85546875" style="324" customWidth="1"/>
    <col min="20" max="16384" width="8.85546875" style="324"/>
  </cols>
  <sheetData>
    <row r="1" spans="1:19" s="472" customFormat="1" ht="18.75" x14ac:dyDescent="0.3">
      <c r="A1" s="400" t="s">
        <v>544</v>
      </c>
      <c r="B1" s="738"/>
      <c r="C1" s="262"/>
      <c r="D1" s="262"/>
      <c r="E1" s="740"/>
      <c r="F1" s="466"/>
      <c r="G1" s="741"/>
      <c r="H1" s="741"/>
      <c r="I1" s="741"/>
      <c r="J1" s="466"/>
      <c r="K1" s="741"/>
      <c r="L1" s="471"/>
      <c r="M1" s="471"/>
      <c r="N1" s="426"/>
      <c r="O1" s="426"/>
      <c r="P1" s="426"/>
      <c r="Q1" s="426"/>
      <c r="R1" s="426"/>
      <c r="S1" s="426"/>
    </row>
    <row r="2" spans="1:19" s="472" customFormat="1" ht="15" x14ac:dyDescent="0.25">
      <c r="A2" s="60"/>
      <c r="B2" s="70"/>
      <c r="C2" s="64"/>
      <c r="D2" s="64"/>
      <c r="E2" s="70"/>
      <c r="F2" s="60"/>
      <c r="G2" s="70"/>
      <c r="H2" s="70"/>
      <c r="I2" s="70"/>
      <c r="J2" s="60"/>
      <c r="K2" s="177"/>
      <c r="L2" s="471"/>
      <c r="M2" s="471"/>
      <c r="N2" s="426"/>
      <c r="O2" s="426"/>
      <c r="P2" s="426"/>
      <c r="Q2" s="426"/>
      <c r="R2" s="426"/>
      <c r="S2" s="426"/>
    </row>
    <row r="3" spans="1:19" s="472" customFormat="1" ht="15.75" x14ac:dyDescent="0.25">
      <c r="A3" s="61"/>
      <c r="B3" s="624"/>
      <c r="C3" s="63"/>
      <c r="D3" s="760"/>
      <c r="E3" s="763"/>
      <c r="F3" s="60"/>
      <c r="G3" s="765"/>
      <c r="H3" s="765"/>
      <c r="I3" s="70"/>
      <c r="J3" s="60"/>
      <c r="K3" s="177"/>
      <c r="L3" s="471"/>
      <c r="M3" s="471"/>
      <c r="N3" s="426"/>
      <c r="O3" s="426"/>
      <c r="P3" s="426"/>
      <c r="Q3" s="426"/>
      <c r="R3" s="426"/>
      <c r="S3" s="426"/>
    </row>
    <row r="4" spans="1:19" s="472" customFormat="1" ht="15" x14ac:dyDescent="0.25">
      <c r="A4" s="60"/>
      <c r="B4" s="70"/>
      <c r="C4" s="64"/>
      <c r="D4" s="64"/>
      <c r="E4" s="70"/>
      <c r="F4" s="60"/>
      <c r="G4" s="70"/>
      <c r="H4" s="70"/>
      <c r="I4" s="70"/>
      <c r="J4" s="60"/>
      <c r="K4" s="177"/>
      <c r="L4" s="471"/>
      <c r="M4" s="471"/>
      <c r="N4" s="426"/>
      <c r="O4" s="426"/>
      <c r="P4" s="426"/>
      <c r="Q4" s="426"/>
      <c r="R4" s="426"/>
      <c r="S4" s="426"/>
    </row>
    <row r="5" spans="1:19" s="472" customFormat="1" ht="16.5" thickBot="1" x14ac:dyDescent="0.3">
      <c r="A5" s="409" t="s">
        <v>343</v>
      </c>
      <c r="B5" s="758"/>
      <c r="C5" s="264"/>
      <c r="D5" s="761"/>
      <c r="E5" s="764"/>
      <c r="F5" s="1221" t="s">
        <v>82</v>
      </c>
      <c r="G5" s="1222"/>
      <c r="H5" s="1222"/>
      <c r="I5" s="1222"/>
      <c r="J5" s="475"/>
      <c r="K5" s="769"/>
      <c r="L5" s="91"/>
      <c r="M5" s="471"/>
      <c r="N5" s="426"/>
      <c r="O5" s="426"/>
      <c r="P5" s="426"/>
      <c r="Q5" s="426"/>
      <c r="R5" s="426"/>
    </row>
    <row r="6" spans="1:19" s="476" customFormat="1" ht="37.5" customHeight="1" x14ac:dyDescent="0.25">
      <c r="A6" s="1209" t="s">
        <v>1298</v>
      </c>
      <c r="B6" s="759"/>
      <c r="C6" s="1223" t="s">
        <v>116</v>
      </c>
      <c r="D6" s="1223"/>
      <c r="E6" s="25"/>
      <c r="F6" s="62" t="s">
        <v>136</v>
      </c>
      <c r="G6" s="766"/>
      <c r="H6" s="767"/>
      <c r="I6" s="703"/>
      <c r="J6" s="62" t="s">
        <v>177</v>
      </c>
      <c r="K6" s="770"/>
      <c r="L6" s="477"/>
      <c r="M6" s="351"/>
      <c r="N6" s="478"/>
      <c r="O6" s="478"/>
      <c r="P6" s="478"/>
      <c r="Q6" s="478"/>
      <c r="R6" s="478"/>
      <c r="S6" s="478"/>
    </row>
    <row r="7" spans="1:19" s="472" customFormat="1" ht="15" customHeight="1" x14ac:dyDescent="0.25">
      <c r="A7" s="1210"/>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39.75" thickBot="1" x14ac:dyDescent="0.3">
      <c r="A8" s="1211"/>
      <c r="B8" s="18" t="s">
        <v>1495</v>
      </c>
      <c r="C8" s="17" t="s">
        <v>1434</v>
      </c>
      <c r="D8" s="762" t="s">
        <v>1435</v>
      </c>
      <c r="E8" s="7" t="s">
        <v>1456</v>
      </c>
      <c r="F8" s="6" t="s">
        <v>1528</v>
      </c>
      <c r="G8" s="12" t="s">
        <v>1529</v>
      </c>
      <c r="H8" s="12" t="s">
        <v>1524</v>
      </c>
      <c r="I8" s="12" t="s">
        <v>1525</v>
      </c>
      <c r="J8" s="6" t="s">
        <v>1527</v>
      </c>
      <c r="K8" s="771" t="s">
        <v>1526</v>
      </c>
      <c r="L8" s="430"/>
      <c r="M8" s="426"/>
      <c r="N8" s="426"/>
      <c r="O8" s="426"/>
      <c r="P8" s="426"/>
      <c r="Q8" s="426"/>
      <c r="R8" s="426"/>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26" customWidth="1"/>
    <col min="2" max="2" width="12.28515625" style="323" customWidth="1"/>
    <col min="3" max="3" width="20.7109375" style="326" customWidth="1"/>
    <col min="4" max="4" width="9.7109375" style="324" customWidth="1"/>
    <col min="5" max="5" width="13.42578125" style="324" customWidth="1"/>
    <col min="6" max="6" width="12.7109375" style="324" customWidth="1"/>
    <col min="7" max="9" width="8.42578125" style="324" customWidth="1"/>
    <col min="10" max="10" width="8.7109375" style="324" customWidth="1"/>
    <col min="11" max="11" width="9" style="324" customWidth="1"/>
    <col min="12" max="12" width="11.5703125" style="324" customWidth="1"/>
    <col min="13" max="13" width="12" style="326" customWidth="1"/>
    <col min="14" max="14" width="9.140625" style="324"/>
    <col min="15" max="15" width="11.7109375" style="324" customWidth="1"/>
    <col min="16" max="16" width="12.28515625" style="324" customWidth="1"/>
    <col min="17" max="17" width="11.28515625" style="324" customWidth="1"/>
    <col min="18" max="19" width="10.7109375" style="324" customWidth="1"/>
    <col min="20" max="20" width="9" style="324" customWidth="1"/>
    <col min="21" max="21" width="11.5703125" style="324" customWidth="1"/>
    <col min="22" max="22" width="10.85546875" style="324" customWidth="1"/>
    <col min="23" max="23" width="16.7109375" style="324" customWidth="1"/>
    <col min="24" max="24" width="13.28515625" style="324" customWidth="1"/>
    <col min="25" max="25" width="13.85546875" style="324" customWidth="1"/>
    <col min="26" max="16384" width="9.140625" style="324"/>
  </cols>
  <sheetData>
    <row r="1" spans="1:25" s="334" customFormat="1" ht="18.75" x14ac:dyDescent="0.3">
      <c r="A1" s="772" t="s">
        <v>545</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5" x14ac:dyDescent="0.25">
      <c r="A2" s="980" t="s">
        <v>615</v>
      </c>
      <c r="B2" s="64"/>
      <c r="C2" s="70"/>
      <c r="D2" s="60"/>
      <c r="E2" s="60"/>
      <c r="F2" s="112"/>
      <c r="G2" s="60"/>
      <c r="H2" s="60"/>
      <c r="I2" s="60"/>
      <c r="J2" s="60"/>
      <c r="K2" s="60"/>
      <c r="L2" s="60"/>
      <c r="M2" s="1224"/>
      <c r="N2" s="483"/>
      <c r="O2" s="483"/>
      <c r="P2" s="59"/>
      <c r="Q2" s="194"/>
      <c r="R2" s="981" t="s">
        <v>534</v>
      </c>
      <c r="S2" s="981" t="s">
        <v>534</v>
      </c>
      <c r="T2" s="981" t="s">
        <v>534</v>
      </c>
      <c r="U2" s="981" t="s">
        <v>534</v>
      </c>
      <c r="V2" s="981" t="s">
        <v>534</v>
      </c>
      <c r="W2" s="981" t="s">
        <v>534</v>
      </c>
      <c r="X2" s="981" t="s">
        <v>534</v>
      </c>
      <c r="Y2" s="981" t="s">
        <v>534</v>
      </c>
    </row>
    <row r="3" spans="1:25" s="489" customFormat="1" ht="12.75" customHeight="1" x14ac:dyDescent="0.2">
      <c r="A3" s="288"/>
      <c r="B3" s="64"/>
      <c r="C3" s="70"/>
      <c r="D3" s="60"/>
      <c r="E3" s="61"/>
      <c r="F3" s="484"/>
      <c r="G3" s="485"/>
      <c r="H3" s="485"/>
      <c r="I3" s="485"/>
      <c r="J3" s="61"/>
      <c r="K3" s="485"/>
      <c r="L3" s="485"/>
      <c r="M3" s="1224"/>
      <c r="N3" s="483"/>
      <c r="O3" s="483"/>
      <c r="P3" s="67"/>
      <c r="Q3" s="486"/>
      <c r="R3" s="61"/>
      <c r="S3" s="61"/>
      <c r="T3" s="485"/>
      <c r="U3" s="485"/>
      <c r="V3" s="483"/>
      <c r="W3" s="487"/>
      <c r="X3" s="67"/>
      <c r="Y3" s="488"/>
    </row>
    <row r="4" spans="1:25" s="334" customFormat="1" ht="15" x14ac:dyDescent="0.25">
      <c r="A4" s="288"/>
      <c r="B4" s="64"/>
      <c r="C4" s="70"/>
      <c r="D4" s="60"/>
      <c r="E4" s="30"/>
      <c r="F4" s="40"/>
      <c r="G4" s="60"/>
      <c r="H4" s="60"/>
      <c r="I4" s="60"/>
      <c r="J4" s="60"/>
      <c r="K4" s="408"/>
      <c r="L4" s="408"/>
      <c r="M4" s="1224"/>
      <c r="N4" s="67"/>
      <c r="O4" s="67"/>
      <c r="P4" s="79"/>
      <c r="Q4" s="195"/>
      <c r="R4" s="60"/>
      <c r="S4" s="60"/>
      <c r="T4" s="408"/>
      <c r="U4" s="408"/>
      <c r="V4" s="67"/>
      <c r="W4" s="83"/>
      <c r="X4" s="79"/>
      <c r="Y4" s="84"/>
    </row>
    <row r="5" spans="1:25" s="334" customFormat="1" ht="15.75" x14ac:dyDescent="0.25">
      <c r="A5" s="773" t="s">
        <v>343</v>
      </c>
      <c r="B5" s="774"/>
      <c r="C5" s="776"/>
      <c r="D5" s="60"/>
      <c r="E5" s="30"/>
      <c r="F5" s="40"/>
      <c r="G5" s="60"/>
      <c r="H5" s="60"/>
      <c r="I5" s="311"/>
      <c r="J5" s="60"/>
      <c r="K5" s="408"/>
      <c r="L5" s="408"/>
      <c r="M5" s="1225"/>
      <c r="N5" s="60"/>
      <c r="O5" s="311"/>
      <c r="P5" s="60"/>
      <c r="Q5" s="490"/>
      <c r="R5" s="60"/>
      <c r="S5" s="60"/>
      <c r="T5" s="408"/>
      <c r="U5" s="408"/>
      <c r="V5" s="60"/>
      <c r="W5" s="60"/>
      <c r="X5" s="60"/>
      <c r="Y5" s="491"/>
    </row>
    <row r="6" spans="1:25" s="341" customFormat="1" ht="15" x14ac:dyDescent="0.25">
      <c r="A6" s="290"/>
      <c r="B6" s="255" t="s">
        <v>116</v>
      </c>
      <c r="C6" s="25"/>
      <c r="D6" s="1229" t="s">
        <v>46</v>
      </c>
      <c r="E6" s="1229"/>
      <c r="F6" s="1226" t="s">
        <v>40</v>
      </c>
      <c r="G6" s="1226"/>
      <c r="H6" s="1226"/>
      <c r="I6" s="492" t="s">
        <v>117</v>
      </c>
      <c r="J6" s="1226" t="s">
        <v>1392</v>
      </c>
      <c r="K6" s="1227"/>
      <c r="L6" s="493" t="s">
        <v>44</v>
      </c>
      <c r="M6" s="977" t="s">
        <v>478</v>
      </c>
      <c r="N6" s="494" t="s">
        <v>106</v>
      </c>
      <c r="O6" s="98" t="s">
        <v>40</v>
      </c>
      <c r="P6" s="929" t="s">
        <v>40</v>
      </c>
      <c r="Q6" s="928" t="s">
        <v>1028</v>
      </c>
      <c r="R6" s="492" t="s">
        <v>117</v>
      </c>
      <c r="S6" s="1226" t="s">
        <v>43</v>
      </c>
      <c r="T6" s="1227"/>
      <c r="U6" s="493" t="s">
        <v>44</v>
      </c>
      <c r="V6" s="494" t="s">
        <v>106</v>
      </c>
      <c r="W6" s="165" t="s">
        <v>40</v>
      </c>
      <c r="X6" s="929" t="s">
        <v>40</v>
      </c>
      <c r="Y6" s="928" t="s">
        <v>1028</v>
      </c>
    </row>
    <row r="7" spans="1:25" s="334" customFormat="1" ht="12.75" customHeight="1" x14ac:dyDescent="0.25">
      <c r="A7" s="291"/>
      <c r="B7" s="64"/>
      <c r="C7" s="26"/>
      <c r="D7" s="1230" t="s">
        <v>71</v>
      </c>
      <c r="E7" s="1230"/>
      <c r="F7" s="1200" t="s">
        <v>101</v>
      </c>
      <c r="G7" s="1200"/>
      <c r="H7" s="1200"/>
      <c r="I7" s="11"/>
      <c r="J7" s="1228"/>
      <c r="K7" s="1228"/>
      <c r="L7" s="1228"/>
      <c r="M7" s="777"/>
      <c r="N7" s="495"/>
      <c r="O7" s="158"/>
      <c r="P7" s="496"/>
      <c r="Q7" s="497"/>
      <c r="R7" s="60"/>
      <c r="S7" s="1228"/>
      <c r="T7" s="1228"/>
      <c r="U7" s="1228"/>
      <c r="V7" s="495"/>
      <c r="W7" s="158"/>
      <c r="X7" s="496"/>
      <c r="Y7" s="498"/>
    </row>
    <row r="8" spans="1:25" s="334" customFormat="1" ht="57.6" customHeight="1" thickBot="1" x14ac:dyDescent="0.3">
      <c r="A8" s="18" t="s">
        <v>1495</v>
      </c>
      <c r="B8" s="20" t="s">
        <v>35</v>
      </c>
      <c r="C8" s="7" t="s">
        <v>1456</v>
      </c>
      <c r="D8" s="6" t="s">
        <v>1530</v>
      </c>
      <c r="E8" s="6" t="s">
        <v>1531</v>
      </c>
      <c r="F8" s="39" t="s">
        <v>1532</v>
      </c>
      <c r="G8" s="39" t="s">
        <v>1533</v>
      </c>
      <c r="H8" s="39" t="s">
        <v>1534</v>
      </c>
      <c r="I8" s="6" t="s">
        <v>1535</v>
      </c>
      <c r="J8" s="208" t="s">
        <v>1536</v>
      </c>
      <c r="K8" s="208" t="s">
        <v>1537</v>
      </c>
      <c r="L8" s="208" t="s">
        <v>1538</v>
      </c>
      <c r="M8" s="1044" t="s">
        <v>1539</v>
      </c>
      <c r="N8" s="6" t="s">
        <v>1540</v>
      </c>
      <c r="O8" s="159" t="s">
        <v>1872</v>
      </c>
      <c r="P8" s="113" t="s">
        <v>1541</v>
      </c>
      <c r="Q8" s="499" t="s">
        <v>1549</v>
      </c>
      <c r="R8" s="6" t="s">
        <v>1544</v>
      </c>
      <c r="S8" s="208" t="s">
        <v>1542</v>
      </c>
      <c r="T8" s="208" t="s">
        <v>1543</v>
      </c>
      <c r="U8" s="208" t="s">
        <v>1545</v>
      </c>
      <c r="V8" s="6" t="s">
        <v>1546</v>
      </c>
      <c r="W8" s="159" t="s">
        <v>1547</v>
      </c>
      <c r="X8" s="6" t="s">
        <v>1548</v>
      </c>
      <c r="Y8" s="500" t="s">
        <v>1550</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26" customWidth="1"/>
    <col min="2" max="2" width="17.42578125" style="323" customWidth="1"/>
    <col min="3" max="3" width="19.7109375" style="326" customWidth="1"/>
    <col min="4" max="6" width="10.7109375" style="324" customWidth="1"/>
    <col min="7" max="7" width="12.28515625" style="324" customWidth="1"/>
    <col min="8" max="8" width="11.28515625" style="324" customWidth="1"/>
    <col min="9" max="10" width="13.5703125" style="324" customWidth="1"/>
    <col min="11" max="12" width="11.42578125" style="324" customWidth="1"/>
    <col min="13" max="13" width="13.28515625" style="324" customWidth="1"/>
    <col min="14" max="14" width="11.42578125" style="324" customWidth="1"/>
    <col min="15" max="15" width="16.5703125" style="324" customWidth="1"/>
    <col min="16" max="16" width="13.28515625" style="324" customWidth="1"/>
    <col min="17" max="17" width="15.7109375" style="324" customWidth="1"/>
    <col min="18" max="25" width="14.7109375" style="324" customWidth="1"/>
    <col min="26" max="26" width="14.85546875" style="324" customWidth="1"/>
    <col min="27" max="27" width="10.7109375" style="324" customWidth="1"/>
    <col min="28" max="28" width="15" style="324" customWidth="1"/>
    <col min="29" max="29" width="15.85546875" style="324" customWidth="1"/>
    <col min="30" max="31" width="13.5703125" style="324" customWidth="1"/>
    <col min="32" max="35" width="11.42578125" style="324" customWidth="1"/>
    <col min="36" max="36" width="16.5703125" style="324" customWidth="1"/>
    <col min="37" max="37" width="13.28515625" style="324" customWidth="1"/>
    <col min="38" max="38" width="15.7109375" style="324" customWidth="1"/>
    <col min="39" max="44" width="14.7109375" style="324" customWidth="1"/>
    <col min="45" max="45" width="13.42578125" style="324" customWidth="1"/>
    <col min="46" max="47" width="14.7109375" style="324" customWidth="1"/>
    <col min="48" max="16384" width="9.140625" style="324"/>
  </cols>
  <sheetData>
    <row r="1" spans="1:61" s="502" customFormat="1" ht="18.75" x14ac:dyDescent="0.3">
      <c r="A1" s="778" t="s">
        <v>546</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5" x14ac:dyDescent="0.25">
      <c r="A2" s="980" t="s">
        <v>615</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534</v>
      </c>
      <c r="AB2" s="982" t="s">
        <v>534</v>
      </c>
      <c r="AC2" s="982" t="s">
        <v>534</v>
      </c>
      <c r="AD2" s="982" t="s">
        <v>534</v>
      </c>
      <c r="AE2" s="982" t="s">
        <v>534</v>
      </c>
      <c r="AF2" s="982" t="s">
        <v>534</v>
      </c>
      <c r="AG2" s="982" t="s">
        <v>534</v>
      </c>
      <c r="AH2" s="982" t="s">
        <v>534</v>
      </c>
      <c r="AI2" s="982" t="s">
        <v>534</v>
      </c>
      <c r="AJ2" s="982" t="s">
        <v>534</v>
      </c>
      <c r="AK2" s="982" t="s">
        <v>534</v>
      </c>
      <c r="AL2" s="982" t="s">
        <v>534</v>
      </c>
      <c r="AM2" s="982" t="s">
        <v>534</v>
      </c>
      <c r="AN2" s="982" t="s">
        <v>534</v>
      </c>
      <c r="AO2" s="982" t="s">
        <v>534</v>
      </c>
      <c r="AP2" s="982" t="s">
        <v>534</v>
      </c>
      <c r="AQ2" s="982" t="s">
        <v>534</v>
      </c>
      <c r="AR2" s="982" t="s">
        <v>534</v>
      </c>
      <c r="AS2" s="982" t="s">
        <v>534</v>
      </c>
      <c r="AT2" s="982" t="s">
        <v>534</v>
      </c>
      <c r="AU2" s="982" t="s">
        <v>534</v>
      </c>
      <c r="AV2" s="405"/>
      <c r="AW2" s="405"/>
      <c r="AX2" s="405"/>
      <c r="AY2" s="405"/>
      <c r="AZ2" s="405"/>
      <c r="BA2" s="405"/>
      <c r="BB2" s="405"/>
      <c r="BC2" s="405"/>
      <c r="BD2" s="405"/>
      <c r="BE2" s="405"/>
      <c r="BF2" s="405"/>
      <c r="BG2" s="405"/>
      <c r="BH2" s="405"/>
      <c r="BI2" s="405"/>
    </row>
    <row r="3" spans="1:61" s="334" customFormat="1" ht="15" x14ac:dyDescent="0.25">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75" x14ac:dyDescent="0.25">
      <c r="A4" s="779"/>
      <c r="B4" s="268"/>
      <c r="C4" s="779"/>
      <c r="D4" s="110"/>
      <c r="E4" s="110"/>
      <c r="F4" s="1240" t="s">
        <v>1413</v>
      </c>
      <c r="G4" s="1240"/>
      <c r="H4" s="1240"/>
      <c r="I4" s="1240"/>
      <c r="J4" s="1240"/>
      <c r="K4" s="1240"/>
      <c r="L4" s="1240"/>
      <c r="M4" s="1240"/>
      <c r="N4" s="1240"/>
      <c r="O4" s="1240"/>
      <c r="P4" s="1240"/>
      <c r="Q4" s="1240"/>
      <c r="R4" s="1240"/>
      <c r="S4" s="1240"/>
      <c r="T4" s="1240"/>
      <c r="U4" s="1240"/>
      <c r="V4" s="1240"/>
      <c r="W4" s="1240"/>
      <c r="X4" s="1240"/>
      <c r="Y4" s="1240"/>
      <c r="Z4" s="1241"/>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25">
      <c r="A5" s="1235" t="s">
        <v>343</v>
      </c>
      <c r="B5" s="1236"/>
      <c r="C5" s="1237"/>
      <c r="D5" s="206"/>
      <c r="E5" s="207"/>
      <c r="F5" s="225"/>
      <c r="G5" s="207"/>
      <c r="H5" s="207"/>
      <c r="I5" s="231"/>
      <c r="J5" s="231"/>
      <c r="K5" s="231"/>
      <c r="L5" s="231"/>
      <c r="M5" s="231"/>
      <c r="N5" s="231"/>
      <c r="O5" s="231"/>
      <c r="P5" s="231"/>
      <c r="Q5" s="231"/>
      <c r="R5" s="231"/>
      <c r="S5" s="232"/>
      <c r="T5" s="233"/>
      <c r="U5" s="234"/>
      <c r="V5" s="234"/>
      <c r="W5" s="234"/>
      <c r="X5" s="234"/>
      <c r="Y5" s="233"/>
      <c r="Z5" s="235"/>
      <c r="AA5" s="236"/>
      <c r="AB5" s="1239"/>
      <c r="AC5" s="1239"/>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5" x14ac:dyDescent="0.25">
      <c r="A6" s="702"/>
      <c r="B6" s="255" t="s">
        <v>116</v>
      </c>
      <c r="C6" s="702"/>
      <c r="D6" s="1238" t="s">
        <v>46</v>
      </c>
      <c r="E6" s="1238"/>
      <c r="F6" s="318"/>
      <c r="G6" s="319" t="s">
        <v>1028</v>
      </c>
      <c r="H6" s="319" t="s">
        <v>1029</v>
      </c>
      <c r="I6" s="1231" t="s">
        <v>1028</v>
      </c>
      <c r="J6" s="1231"/>
      <c r="K6" s="1231"/>
      <c r="L6" s="238" t="s">
        <v>47</v>
      </c>
      <c r="M6" s="239" t="s">
        <v>1030</v>
      </c>
      <c r="N6" s="319" t="s">
        <v>1031</v>
      </c>
      <c r="O6" s="1231" t="s">
        <v>1032</v>
      </c>
      <c r="P6" s="1231"/>
      <c r="Q6" s="240" t="s">
        <v>1033</v>
      </c>
      <c r="R6" s="240" t="s">
        <v>1034</v>
      </c>
      <c r="S6" s="166" t="s">
        <v>473</v>
      </c>
      <c r="T6" s="166" t="s">
        <v>474</v>
      </c>
      <c r="U6" s="166" t="s">
        <v>475</v>
      </c>
      <c r="V6" s="166" t="s">
        <v>1563</v>
      </c>
      <c r="W6" s="166" t="s">
        <v>1564</v>
      </c>
      <c r="X6" s="166" t="s">
        <v>1565</v>
      </c>
      <c r="Y6" s="1062" t="s">
        <v>1840</v>
      </c>
      <c r="Z6" s="197" t="s">
        <v>1873</v>
      </c>
      <c r="AA6" s="319"/>
      <c r="AB6" s="319" t="s">
        <v>1028</v>
      </c>
      <c r="AC6" s="319" t="s">
        <v>1029</v>
      </c>
      <c r="AD6" s="1231" t="s">
        <v>1028</v>
      </c>
      <c r="AE6" s="1231"/>
      <c r="AF6" s="240"/>
      <c r="AG6" s="238" t="s">
        <v>47</v>
      </c>
      <c r="AH6" s="239" t="s">
        <v>1030</v>
      </c>
      <c r="AI6" s="319" t="s">
        <v>1031</v>
      </c>
      <c r="AJ6" s="1231" t="s">
        <v>1032</v>
      </c>
      <c r="AK6" s="1231"/>
      <c r="AL6" s="240" t="s">
        <v>1033</v>
      </c>
      <c r="AM6" s="240" t="s">
        <v>1034</v>
      </c>
      <c r="AN6" s="166" t="s">
        <v>473</v>
      </c>
      <c r="AO6" s="166" t="s">
        <v>474</v>
      </c>
      <c r="AP6" s="166" t="s">
        <v>475</v>
      </c>
      <c r="AQ6" s="166" t="s">
        <v>1585</v>
      </c>
      <c r="AR6" s="166" t="s">
        <v>1564</v>
      </c>
      <c r="AS6" s="166" t="s">
        <v>1565</v>
      </c>
      <c r="AT6" s="167" t="s">
        <v>387</v>
      </c>
      <c r="AU6" s="168" t="s">
        <v>399</v>
      </c>
    </row>
    <row r="7" spans="1:61" s="334" customFormat="1" ht="14.25" customHeight="1" x14ac:dyDescent="0.25">
      <c r="A7" s="780"/>
      <c r="B7" s="64"/>
      <c r="C7" s="780"/>
      <c r="D7" s="1242" t="s">
        <v>71</v>
      </c>
      <c r="E7" s="1242"/>
      <c r="F7" s="241"/>
      <c r="G7" s="1243" t="s">
        <v>178</v>
      </c>
      <c r="H7" s="1244"/>
      <c r="I7" s="1243" t="s">
        <v>179</v>
      </c>
      <c r="J7" s="1232"/>
      <c r="K7" s="1232"/>
      <c r="L7" s="242"/>
      <c r="M7" s="243"/>
      <c r="N7" s="317"/>
      <c r="O7" s="1245" t="s">
        <v>97</v>
      </c>
      <c r="P7" s="1234"/>
      <c r="Q7" s="1234"/>
      <c r="R7" s="1234"/>
      <c r="S7" s="1234"/>
      <c r="T7" s="1234"/>
      <c r="U7" s="1234"/>
      <c r="V7" s="1234"/>
      <c r="W7" s="1234"/>
      <c r="X7" s="1234"/>
      <c r="Y7" s="169"/>
      <c r="Z7" s="198"/>
      <c r="AA7" s="236"/>
      <c r="AB7" s="1232" t="s">
        <v>522</v>
      </c>
      <c r="AC7" s="1233"/>
      <c r="AD7" s="1232" t="s">
        <v>179</v>
      </c>
      <c r="AE7" s="1232"/>
      <c r="AF7" s="315"/>
      <c r="AG7" s="242"/>
      <c r="AH7" s="243"/>
      <c r="AI7" s="244"/>
      <c r="AJ7" s="1234" t="s">
        <v>97</v>
      </c>
      <c r="AK7" s="1234"/>
      <c r="AL7" s="1234"/>
      <c r="AM7" s="1234"/>
      <c r="AN7" s="1234"/>
      <c r="AO7" s="1234"/>
      <c r="AP7" s="1234"/>
      <c r="AQ7" s="1234"/>
      <c r="AR7" s="1234"/>
      <c r="AS7" s="1234"/>
      <c r="AT7" s="169" t="s">
        <v>595</v>
      </c>
      <c r="AU7" s="170"/>
    </row>
    <row r="8" spans="1:61" s="334" customFormat="1" ht="39" customHeight="1" thickBot="1" x14ac:dyDescent="0.3">
      <c r="A8" s="18" t="s">
        <v>1495</v>
      </c>
      <c r="B8" s="20" t="s">
        <v>35</v>
      </c>
      <c r="C8" s="7" t="s">
        <v>1456</v>
      </c>
      <c r="D8" s="208" t="s">
        <v>1530</v>
      </c>
      <c r="E8" s="208" t="s">
        <v>1531</v>
      </c>
      <c r="F8" s="245" t="s">
        <v>37</v>
      </c>
      <c r="G8" s="245" t="s">
        <v>1551</v>
      </c>
      <c r="H8" s="245" t="s">
        <v>1552</v>
      </c>
      <c r="I8" s="247" t="s">
        <v>1553</v>
      </c>
      <c r="J8" s="247" t="s">
        <v>1763</v>
      </c>
      <c r="K8" s="208" t="s">
        <v>1554</v>
      </c>
      <c r="L8" s="208" t="s">
        <v>1555</v>
      </c>
      <c r="M8" s="246" t="s">
        <v>1556</v>
      </c>
      <c r="N8" s="246" t="s">
        <v>1557</v>
      </c>
      <c r="O8" s="208" t="s">
        <v>1843</v>
      </c>
      <c r="P8" s="208" t="s">
        <v>1766</v>
      </c>
      <c r="Q8" s="208" t="s">
        <v>1558</v>
      </c>
      <c r="R8" s="208" t="s">
        <v>1559</v>
      </c>
      <c r="S8" s="171" t="s">
        <v>1560</v>
      </c>
      <c r="T8" s="171" t="s">
        <v>1561</v>
      </c>
      <c r="U8" s="171" t="s">
        <v>1562</v>
      </c>
      <c r="V8" s="171" t="s">
        <v>1567</v>
      </c>
      <c r="W8" s="171" t="s">
        <v>1566</v>
      </c>
      <c r="X8" s="171" t="s">
        <v>1568</v>
      </c>
      <c r="Y8" s="159" t="s">
        <v>1569</v>
      </c>
      <c r="Z8" s="199" t="s">
        <v>1570</v>
      </c>
      <c r="AA8" s="245" t="s">
        <v>1571</v>
      </c>
      <c r="AB8" s="245" t="s">
        <v>1572</v>
      </c>
      <c r="AC8" s="245" t="s">
        <v>1573</v>
      </c>
      <c r="AD8" s="247" t="s">
        <v>1574</v>
      </c>
      <c r="AE8" s="247" t="s">
        <v>1575</v>
      </c>
      <c r="AF8" s="208" t="s">
        <v>1576</v>
      </c>
      <c r="AG8" s="208" t="s">
        <v>1577</v>
      </c>
      <c r="AH8" s="208" t="s">
        <v>1578</v>
      </c>
      <c r="AI8" s="208" t="s">
        <v>1579</v>
      </c>
      <c r="AJ8" s="208" t="s">
        <v>1779</v>
      </c>
      <c r="AK8" s="208" t="s">
        <v>1780</v>
      </c>
      <c r="AL8" s="208" t="s">
        <v>1580</v>
      </c>
      <c r="AM8" s="208" t="s">
        <v>1581</v>
      </c>
      <c r="AN8" s="171" t="s">
        <v>1582</v>
      </c>
      <c r="AO8" s="171" t="s">
        <v>1583</v>
      </c>
      <c r="AP8" s="171" t="s">
        <v>1584</v>
      </c>
      <c r="AQ8" s="171" t="s">
        <v>1586</v>
      </c>
      <c r="AR8" s="171" t="s">
        <v>1587</v>
      </c>
      <c r="AS8" s="171" t="s">
        <v>1588</v>
      </c>
      <c r="AT8" s="159" t="s">
        <v>1589</v>
      </c>
      <c r="AU8" s="199" t="s">
        <v>1590</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26" customWidth="1"/>
    <col min="2" max="2" width="16.7109375" style="323" customWidth="1"/>
    <col min="3" max="3" width="16.7109375" style="326" customWidth="1"/>
    <col min="4" max="5" width="11.7109375" style="324" customWidth="1"/>
    <col min="6" max="9" width="12.7109375" style="324" customWidth="1"/>
    <col min="10" max="10" width="14.85546875" style="324" customWidth="1"/>
    <col min="11" max="11" width="12.7109375" style="324" customWidth="1"/>
    <col min="12" max="14" width="12" style="967" customWidth="1"/>
    <col min="15" max="18" width="10.7109375" style="324" customWidth="1"/>
    <col min="19" max="19" width="13.28515625" style="324" customWidth="1"/>
    <col min="20" max="21" width="12.7109375" style="324" customWidth="1"/>
    <col min="22" max="22" width="10.85546875" style="324" customWidth="1"/>
    <col min="23" max="24" width="13.5703125" style="324" customWidth="1"/>
    <col min="25" max="25" width="10" style="324" customWidth="1"/>
    <col min="26" max="27" width="10.7109375" style="324" customWidth="1"/>
    <col min="28" max="28" width="10.85546875" style="324" customWidth="1"/>
    <col min="29" max="16384" width="9.140625" style="324"/>
  </cols>
  <sheetData>
    <row r="1" spans="1:28" s="350" customFormat="1" ht="18.75" x14ac:dyDescent="0.3">
      <c r="A1" s="778" t="s">
        <v>547</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25">
      <c r="A2" s="980" t="s">
        <v>615</v>
      </c>
      <c r="B2" s="266"/>
      <c r="C2" s="779"/>
      <c r="D2" s="108"/>
      <c r="E2" s="108"/>
      <c r="F2" s="1255"/>
      <c r="G2" s="1255"/>
      <c r="H2" s="1255"/>
      <c r="I2" s="1255"/>
      <c r="J2" s="1255"/>
      <c r="K2" s="1256"/>
      <c r="M2" s="1021"/>
      <c r="N2" s="1022"/>
      <c r="O2" s="108"/>
      <c r="P2" s="108"/>
      <c r="Q2" s="78"/>
      <c r="R2" s="194"/>
      <c r="S2" s="982" t="s">
        <v>534</v>
      </c>
      <c r="T2" s="982" t="s">
        <v>534</v>
      </c>
      <c r="U2" s="982" t="s">
        <v>534</v>
      </c>
      <c r="V2" s="982" t="s">
        <v>534</v>
      </c>
      <c r="W2" s="982" t="s">
        <v>534</v>
      </c>
      <c r="X2" s="982"/>
      <c r="Y2" s="982" t="s">
        <v>534</v>
      </c>
      <c r="Z2" s="982" t="s">
        <v>534</v>
      </c>
      <c r="AA2" s="1016" t="s">
        <v>534</v>
      </c>
      <c r="AB2" s="1018" t="s">
        <v>534</v>
      </c>
    </row>
    <row r="3" spans="1:28" s="350" customFormat="1" ht="15" customHeight="1" x14ac:dyDescent="0.25">
      <c r="A3" s="779"/>
      <c r="B3" s="267"/>
      <c r="C3" s="779"/>
      <c r="D3" s="108"/>
      <c r="E3" s="108"/>
      <c r="F3" s="108"/>
      <c r="G3" s="108"/>
      <c r="H3" s="108"/>
      <c r="I3" s="108"/>
      <c r="J3" s="108"/>
      <c r="K3" s="108"/>
      <c r="L3" s="1260" t="s">
        <v>1418</v>
      </c>
      <c r="M3" s="1261"/>
      <c r="N3" s="1262"/>
      <c r="O3" s="108"/>
      <c r="P3" s="108"/>
      <c r="Q3" s="505"/>
      <c r="R3" s="506"/>
      <c r="S3" s="108"/>
      <c r="T3" s="108"/>
      <c r="U3" s="108"/>
      <c r="V3" s="108"/>
      <c r="W3" s="108"/>
      <c r="X3" s="108"/>
      <c r="Y3" s="108"/>
      <c r="Z3" s="108"/>
      <c r="AA3" s="505"/>
      <c r="AB3" s="507"/>
    </row>
    <row r="4" spans="1:28" s="350" customFormat="1" ht="15" x14ac:dyDescent="0.25">
      <c r="A4" s="779"/>
      <c r="B4" s="268"/>
      <c r="C4" s="779"/>
      <c r="D4" s="110"/>
      <c r="E4" s="110"/>
      <c r="F4" s="108"/>
      <c r="G4" s="108"/>
      <c r="H4" s="108"/>
      <c r="I4" s="108"/>
      <c r="J4" s="108"/>
      <c r="K4" s="108"/>
      <c r="L4" s="1260"/>
      <c r="M4" s="1261"/>
      <c r="N4" s="1262"/>
      <c r="O4" s="108"/>
      <c r="P4" s="108"/>
      <c r="Q4" s="79"/>
      <c r="R4" s="195"/>
      <c r="S4" s="108"/>
      <c r="T4" s="108"/>
      <c r="U4" s="108"/>
      <c r="V4" s="108"/>
      <c r="W4" s="108"/>
      <c r="X4" s="108"/>
      <c r="Y4" s="108"/>
      <c r="Z4" s="108"/>
      <c r="AA4" s="79"/>
      <c r="AB4" s="174"/>
    </row>
    <row r="5" spans="1:28" s="350" customFormat="1" ht="15.75" x14ac:dyDescent="0.25">
      <c r="A5" s="782" t="s">
        <v>343</v>
      </c>
      <c r="B5" s="270"/>
      <c r="C5" s="783"/>
      <c r="D5" s="108"/>
      <c r="E5" s="108"/>
      <c r="F5" s="108"/>
      <c r="G5" s="108"/>
      <c r="H5" s="1017" t="s">
        <v>476</v>
      </c>
      <c r="I5" s="1017" t="s">
        <v>477</v>
      </c>
      <c r="J5" s="108"/>
      <c r="K5" s="108"/>
      <c r="L5" s="1263"/>
      <c r="M5" s="1264"/>
      <c r="N5" s="1265"/>
      <c r="O5" s="108"/>
      <c r="P5" s="108"/>
      <c r="Q5" s="79"/>
      <c r="R5" s="195"/>
      <c r="S5" s="108"/>
      <c r="T5" s="108"/>
      <c r="U5" s="108"/>
      <c r="V5" s="108"/>
      <c r="W5" s="108"/>
      <c r="X5" s="108"/>
      <c r="Y5" s="108"/>
      <c r="Z5" s="108"/>
      <c r="AA5" s="79"/>
      <c r="AB5" s="174"/>
    </row>
    <row r="6" spans="1:28" s="350" customFormat="1" ht="27.75" x14ac:dyDescent="0.25">
      <c r="A6" s="702"/>
      <c r="B6" s="255" t="s">
        <v>116</v>
      </c>
      <c r="C6" s="702"/>
      <c r="D6" s="1229" t="s">
        <v>46</v>
      </c>
      <c r="E6" s="1229"/>
      <c r="F6" s="1252" t="s">
        <v>1416</v>
      </c>
      <c r="G6" s="1252"/>
      <c r="H6" s="1252"/>
      <c r="I6" s="1252"/>
      <c r="J6" s="1023" t="s">
        <v>1415</v>
      </c>
      <c r="K6" s="1023" t="s">
        <v>387</v>
      </c>
      <c r="L6" s="1257" t="s">
        <v>478</v>
      </c>
      <c r="M6" s="1258"/>
      <c r="N6" s="1259"/>
      <c r="O6" s="1246" t="s">
        <v>1028</v>
      </c>
      <c r="P6" s="1246"/>
      <c r="Q6" s="1024" t="s">
        <v>1031</v>
      </c>
      <c r="R6" s="928" t="s">
        <v>1032</v>
      </c>
      <c r="S6" s="1252" t="s">
        <v>1416</v>
      </c>
      <c r="T6" s="1252"/>
      <c r="U6" s="1252"/>
      <c r="V6" s="1252"/>
      <c r="W6" s="1023" t="s">
        <v>1415</v>
      </c>
      <c r="X6" s="1023" t="s">
        <v>387</v>
      </c>
      <c r="Y6" s="1246" t="s">
        <v>1028</v>
      </c>
      <c r="Z6" s="1246"/>
      <c r="AA6" s="1024" t="s">
        <v>1031</v>
      </c>
      <c r="AB6" s="1025" t="s">
        <v>1032</v>
      </c>
    </row>
    <row r="7" spans="1:28" s="350" customFormat="1" ht="15" x14ac:dyDescent="0.25">
      <c r="A7" s="780"/>
      <c r="B7" s="64"/>
      <c r="C7" s="780"/>
      <c r="D7" s="1230" t="s">
        <v>71</v>
      </c>
      <c r="E7" s="1230"/>
      <c r="F7" s="78"/>
      <c r="G7" s="78"/>
      <c r="H7" s="78"/>
      <c r="I7" s="78"/>
      <c r="J7" s="105"/>
      <c r="K7" s="105"/>
      <c r="L7" s="1247" t="s">
        <v>479</v>
      </c>
      <c r="M7" s="1248"/>
      <c r="N7" s="1249"/>
      <c r="O7" s="309"/>
      <c r="P7" s="309"/>
      <c r="Q7" s="1253" t="s">
        <v>73</v>
      </c>
      <c r="R7" s="1254"/>
      <c r="S7" s="78"/>
      <c r="T7" s="78"/>
      <c r="U7" s="78"/>
      <c r="V7" s="78"/>
      <c r="W7" s="105"/>
      <c r="X7" s="105"/>
      <c r="Y7" s="309"/>
      <c r="Z7" s="309"/>
      <c r="AA7" s="1250" t="s">
        <v>73</v>
      </c>
      <c r="AB7" s="1251"/>
    </row>
    <row r="8" spans="1:28" s="350" customFormat="1" ht="52.5" thickBot="1" x14ac:dyDescent="0.3">
      <c r="A8" s="18" t="s">
        <v>1495</v>
      </c>
      <c r="B8" s="20" t="s">
        <v>35</v>
      </c>
      <c r="C8" s="7" t="s">
        <v>1456</v>
      </c>
      <c r="D8" s="6" t="s">
        <v>1530</v>
      </c>
      <c r="E8" s="6" t="s">
        <v>1531</v>
      </c>
      <c r="F8" s="1045" t="s">
        <v>1591</v>
      </c>
      <c r="G8" s="101" t="s">
        <v>1592</v>
      </c>
      <c r="H8" s="101" t="s">
        <v>1603</v>
      </c>
      <c r="I8" s="101" t="s">
        <v>1593</v>
      </c>
      <c r="J8" s="101" t="s">
        <v>1594</v>
      </c>
      <c r="K8" s="101" t="s">
        <v>1595</v>
      </c>
      <c r="L8" s="784" t="s">
        <v>480</v>
      </c>
      <c r="M8" s="785" t="s">
        <v>795</v>
      </c>
      <c r="N8" s="786" t="s">
        <v>481</v>
      </c>
      <c r="O8" s="6" t="s">
        <v>1596</v>
      </c>
      <c r="P8" s="39" t="s">
        <v>1597</v>
      </c>
      <c r="Q8" s="6" t="s">
        <v>1598</v>
      </c>
      <c r="R8" s="499" t="s">
        <v>1599</v>
      </c>
      <c r="S8" s="1045" t="s">
        <v>1600</v>
      </c>
      <c r="T8" s="101" t="s">
        <v>1601</v>
      </c>
      <c r="U8" s="101" t="s">
        <v>1602</v>
      </c>
      <c r="V8" s="101" t="s">
        <v>1604</v>
      </c>
      <c r="W8" s="101" t="s">
        <v>1605</v>
      </c>
      <c r="X8" s="101" t="s">
        <v>1606</v>
      </c>
      <c r="Y8" s="6" t="s">
        <v>1607</v>
      </c>
      <c r="Z8" s="6" t="s">
        <v>1608</v>
      </c>
      <c r="AA8" s="6" t="s">
        <v>1609</v>
      </c>
      <c r="AB8" s="499" t="s">
        <v>1610</v>
      </c>
    </row>
    <row r="30" spans="11:11" x14ac:dyDescent="0.2">
      <c r="K30" s="965"/>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26" customWidth="1"/>
    <col min="2" max="2" width="29.42578125" style="323" customWidth="1"/>
    <col min="3" max="3" width="29.42578125" style="326" customWidth="1"/>
    <col min="4" max="4" width="19.85546875" style="326" customWidth="1"/>
    <col min="5" max="5" width="16.5703125" style="326" customWidth="1"/>
    <col min="6" max="6" width="26.7109375" style="324" customWidth="1"/>
    <col min="7" max="16384" width="9.140625" style="324"/>
  </cols>
  <sheetData>
    <row r="1" spans="1:6" s="350" customFormat="1" ht="19.5" thickBot="1" x14ac:dyDescent="0.35">
      <c r="A1" s="787" t="s">
        <v>548</v>
      </c>
      <c r="B1" s="271"/>
      <c r="C1" s="788"/>
      <c r="D1" s="789"/>
      <c r="E1" s="790"/>
      <c r="F1" s="508"/>
    </row>
    <row r="2" spans="1:6" s="350" customFormat="1" ht="15.75" x14ac:dyDescent="0.25">
      <c r="A2" s="979" t="s">
        <v>615</v>
      </c>
      <c r="B2" s="272"/>
      <c r="C2" s="791"/>
      <c r="D2" s="792"/>
      <c r="E2" s="793"/>
      <c r="F2" s="175"/>
    </row>
    <row r="3" spans="1:6" s="350" customFormat="1" ht="15" x14ac:dyDescent="0.25">
      <c r="A3" s="663"/>
      <c r="B3" s="273"/>
      <c r="C3" s="663"/>
      <c r="D3" s="663"/>
      <c r="E3" s="793"/>
      <c r="F3" s="509"/>
    </row>
    <row r="4" spans="1:6" s="350" customFormat="1" ht="15" x14ac:dyDescent="0.25">
      <c r="A4" s="663"/>
      <c r="B4" s="87"/>
      <c r="C4" s="663"/>
      <c r="D4" s="663"/>
      <c r="E4" s="793"/>
      <c r="F4" s="509"/>
    </row>
    <row r="5" spans="1:6" s="350" customFormat="1" ht="15.75" x14ac:dyDescent="0.25">
      <c r="A5" s="1235" t="s">
        <v>343</v>
      </c>
      <c r="B5" s="1236"/>
      <c r="C5" s="1237"/>
      <c r="D5" s="663"/>
      <c r="E5" s="793"/>
      <c r="F5" s="510"/>
    </row>
    <row r="6" spans="1:6" s="350" customFormat="1" ht="15" x14ac:dyDescent="0.25">
      <c r="A6" s="663"/>
      <c r="B6" s="255" t="s">
        <v>116</v>
      </c>
      <c r="C6" s="663"/>
      <c r="D6" s="663"/>
      <c r="E6" s="793"/>
      <c r="F6" s="1046" t="s">
        <v>40</v>
      </c>
    </row>
    <row r="7" spans="1:6" s="350" customFormat="1" ht="15" x14ac:dyDescent="0.25">
      <c r="A7" s="663"/>
      <c r="B7" s="64"/>
      <c r="C7" s="663"/>
      <c r="D7" s="893" t="str">
        <f>HYPERLINK("#DropDownLists!AE6","Add to this list")</f>
        <v>Add to this list</v>
      </c>
      <c r="E7" s="894" t="str">
        <f>HYPERLINK("#DropDownLists!K6","Add to this list")</f>
        <v>Add to this list</v>
      </c>
      <c r="F7" s="511"/>
    </row>
    <row r="8" spans="1:6" s="350" customFormat="1" ht="15.75" thickBot="1" x14ac:dyDescent="0.3">
      <c r="A8" s="18" t="s">
        <v>1495</v>
      </c>
      <c r="B8" s="20" t="s">
        <v>35</v>
      </c>
      <c r="C8" s="7" t="s">
        <v>1456</v>
      </c>
      <c r="D8" s="7" t="s">
        <v>1611</v>
      </c>
      <c r="E8" s="794" t="s">
        <v>77</v>
      </c>
      <c r="F8" s="512" t="s">
        <v>1612</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5" x14ac:dyDescent="0.25"/>
  <cols>
    <col min="1" max="1" width="15.7109375" customWidth="1"/>
    <col min="2" max="2" width="15.7109375" style="1178" customWidth="1"/>
    <col min="3" max="3" width="15.7109375" customWidth="1"/>
    <col min="8" max="8" width="12" customWidth="1"/>
    <col min="9" max="11" width="15.5703125" customWidth="1"/>
  </cols>
  <sheetData>
    <row r="1" spans="1:11" s="106" customFormat="1" ht="18.75" x14ac:dyDescent="0.3">
      <c r="A1" s="772" t="s">
        <v>2246</v>
      </c>
      <c r="B1" s="80"/>
      <c r="C1" s="775"/>
      <c r="D1" s="775"/>
      <c r="E1" s="775"/>
      <c r="F1" s="81"/>
      <c r="G1" s="81"/>
      <c r="H1" s="81"/>
      <c r="I1" s="81"/>
      <c r="J1" s="81"/>
      <c r="K1" s="1128"/>
    </row>
    <row r="2" spans="1:11" s="106" customFormat="1" x14ac:dyDescent="0.25">
      <c r="A2" s="288"/>
      <c r="B2" s="64"/>
      <c r="C2" s="70"/>
      <c r="D2" s="70"/>
      <c r="E2" s="70"/>
      <c r="F2" s="60"/>
      <c r="G2" s="60"/>
      <c r="H2" s="70"/>
      <c r="I2" s="70"/>
      <c r="J2" s="70"/>
      <c r="K2" s="1129"/>
    </row>
    <row r="3" spans="1:11" s="106" customFormat="1" x14ac:dyDescent="0.25">
      <c r="A3" s="288"/>
      <c r="B3" s="64"/>
      <c r="C3" s="70"/>
      <c r="D3" s="70"/>
      <c r="E3" s="70"/>
      <c r="F3" s="60"/>
      <c r="G3" s="60"/>
      <c r="H3" s="70"/>
      <c r="I3" s="70" t="s">
        <v>2247</v>
      </c>
      <c r="J3" s="70"/>
      <c r="K3" s="1129"/>
    </row>
    <row r="4" spans="1:11" s="106" customFormat="1" x14ac:dyDescent="0.25">
      <c r="A4" s="288"/>
      <c r="B4" s="64"/>
      <c r="C4" s="70"/>
      <c r="D4" s="70"/>
      <c r="E4" s="70"/>
      <c r="F4" s="60"/>
      <c r="G4" s="60"/>
      <c r="H4" s="70"/>
      <c r="I4" s="70" t="s">
        <v>2248</v>
      </c>
      <c r="J4" s="70"/>
      <c r="K4" s="1129"/>
    </row>
    <row r="5" spans="1:11" s="106" customFormat="1" ht="15.75" x14ac:dyDescent="0.25">
      <c r="A5" s="1118" t="s">
        <v>343</v>
      </c>
      <c r="B5" s="1119"/>
      <c r="C5" s="1120"/>
      <c r="D5" s="1121"/>
      <c r="E5" s="1121"/>
      <c r="F5" s="1133" t="s">
        <v>46</v>
      </c>
      <c r="G5" s="1133"/>
      <c r="H5" s="1122" t="s">
        <v>2249</v>
      </c>
      <c r="I5" s="1127"/>
      <c r="J5" s="1123"/>
      <c r="K5" s="1130"/>
    </row>
    <row r="6" spans="1:11" s="106" customFormat="1" x14ac:dyDescent="0.25">
      <c r="A6" s="290"/>
      <c r="B6" s="255" t="s">
        <v>116</v>
      </c>
      <c r="C6" s="25"/>
      <c r="D6" s="25"/>
      <c r="E6" s="25"/>
      <c r="F6" s="1266" t="s">
        <v>71</v>
      </c>
      <c r="G6" s="1266"/>
      <c r="H6" s="70"/>
      <c r="I6" s="70" t="s">
        <v>2250</v>
      </c>
      <c r="J6" s="70" t="s">
        <v>2251</v>
      </c>
      <c r="K6" s="1129"/>
    </row>
    <row r="7" spans="1:11" s="106" customFormat="1" x14ac:dyDescent="0.25">
      <c r="A7" s="291"/>
      <c r="B7" s="64"/>
      <c r="C7" s="26"/>
      <c r="D7" s="882" t="str">
        <f>HYPERLINK("#DropDownLists!AG6","Add to this list")</f>
        <v>Add to this list</v>
      </c>
      <c r="E7" s="26"/>
      <c r="F7" s="1266"/>
      <c r="G7" s="1266"/>
      <c r="H7" s="882" t="str">
        <f>HYPERLINK("#DropDownLists!AH6","Add to this list")</f>
        <v>Add to this list</v>
      </c>
      <c r="I7" s="1134"/>
      <c r="J7" s="1124"/>
      <c r="K7" s="882" t="str">
        <f>HYPERLINK("#DropDownLists!AI6","Add to this list")</f>
        <v>Add to this list</v>
      </c>
    </row>
    <row r="8" spans="1:11" s="106" customFormat="1" ht="39.6" customHeight="1" thickBot="1" x14ac:dyDescent="0.3">
      <c r="A8" s="1125" t="s">
        <v>154</v>
      </c>
      <c r="B8" s="901" t="s">
        <v>35</v>
      </c>
      <c r="C8" s="684" t="s">
        <v>152</v>
      </c>
      <c r="D8" s="684" t="s">
        <v>2252</v>
      </c>
      <c r="E8" s="1144" t="s">
        <v>2253</v>
      </c>
      <c r="F8" s="1126" t="s">
        <v>1985</v>
      </c>
      <c r="G8" s="113" t="s">
        <v>1986</v>
      </c>
      <c r="H8" s="684" t="s">
        <v>2254</v>
      </c>
      <c r="I8" s="714" t="s">
        <v>2255</v>
      </c>
      <c r="J8" s="684" t="s">
        <v>2256</v>
      </c>
      <c r="K8" s="1131" t="s">
        <v>200</v>
      </c>
    </row>
    <row r="9" spans="1:11" ht="14.65" customHeight="1" x14ac:dyDescent="0.25"/>
  </sheetData>
  <mergeCells count="2">
    <mergeCell ref="F6:G6"/>
    <mergeCell ref="F7:G7"/>
  </mergeCells>
  <dataValidations xWindow="75" yWindow="430"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Zero_One</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6" customWidth="1"/>
    <col min="2" max="2" width="14.28515625" style="323" customWidth="1"/>
    <col min="3" max="3" width="14.28515625" style="1043" customWidth="1"/>
    <col min="4" max="4" width="11.28515625" style="326" customWidth="1"/>
    <col min="5" max="5" width="15.7109375" style="326" customWidth="1"/>
    <col min="6" max="6" width="20.28515625" style="326" customWidth="1"/>
    <col min="7" max="7" width="15.5703125" style="324" customWidth="1"/>
    <col min="8" max="8" width="13.7109375" style="324" customWidth="1"/>
    <col min="9" max="12" width="13.5703125" style="324" customWidth="1"/>
    <col min="13" max="13" width="11.5703125" style="324" customWidth="1"/>
    <col min="14" max="14" width="12.42578125" style="324" customWidth="1"/>
    <col min="15" max="15" width="27.28515625" style="324" customWidth="1"/>
    <col min="16" max="16" width="11.7109375" style="324" customWidth="1"/>
    <col min="17" max="17" width="12.28515625" style="324" customWidth="1"/>
    <col min="18" max="18" width="14" style="324" customWidth="1"/>
    <col min="19" max="19" width="13.5703125" style="324" customWidth="1"/>
    <col min="20" max="20" width="16.85546875" style="324" customWidth="1"/>
    <col min="21" max="21" width="16.5703125" style="324" customWidth="1"/>
    <col min="22" max="22" width="26.28515625" style="324" customWidth="1"/>
    <col min="23" max="16384" width="8.85546875" style="324"/>
  </cols>
  <sheetData>
    <row r="1" spans="1:23" s="472" customFormat="1" ht="18.75" x14ac:dyDescent="0.3">
      <c r="A1" s="778" t="s">
        <v>549</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25">
      <c r="A2" s="978" t="s">
        <v>615</v>
      </c>
      <c r="B2" s="64"/>
      <c r="C2" s="1038"/>
      <c r="D2" s="674"/>
      <c r="E2" s="971"/>
      <c r="F2" s="971"/>
      <c r="G2" s="971"/>
      <c r="H2" s="1269" t="s">
        <v>1417</v>
      </c>
      <c r="I2" s="60"/>
      <c r="J2" s="1269" t="s">
        <v>1417</v>
      </c>
      <c r="K2" s="60"/>
      <c r="L2" s="1272" t="s">
        <v>1417</v>
      </c>
      <c r="M2" s="60"/>
      <c r="N2" s="60"/>
      <c r="O2" s="60"/>
      <c r="P2" s="513"/>
      <c r="Q2" s="982" t="s">
        <v>534</v>
      </c>
      <c r="R2" s="982" t="s">
        <v>534</v>
      </c>
      <c r="S2" s="982" t="s">
        <v>534</v>
      </c>
      <c r="T2" s="982" t="s">
        <v>534</v>
      </c>
      <c r="U2" s="982" t="s">
        <v>534</v>
      </c>
      <c r="V2" s="1018" t="s">
        <v>534</v>
      </c>
    </row>
    <row r="3" spans="1:23" s="472" customFormat="1" ht="12.75" customHeight="1" x14ac:dyDescent="0.25">
      <c r="A3" s="624"/>
      <c r="B3" s="274"/>
      <c r="C3" s="1039"/>
      <c r="D3" s="674"/>
      <c r="E3" s="972"/>
      <c r="F3" s="972"/>
      <c r="G3" s="972"/>
      <c r="H3" s="1269"/>
      <c r="I3" s="60"/>
      <c r="J3" s="1269"/>
      <c r="K3" s="60"/>
      <c r="L3" s="1269"/>
      <c r="M3" s="60"/>
      <c r="N3" s="60"/>
      <c r="O3" s="60"/>
      <c r="P3" s="513"/>
      <c r="Q3" s="60"/>
      <c r="R3" s="60"/>
      <c r="S3" s="60"/>
      <c r="T3" s="60"/>
      <c r="U3" s="60"/>
      <c r="V3" s="335"/>
    </row>
    <row r="4" spans="1:23" s="472" customFormat="1" ht="15" customHeight="1" x14ac:dyDescent="0.25">
      <c r="A4" s="70"/>
      <c r="B4" s="64"/>
      <c r="C4" s="1038"/>
      <c r="D4" s="70"/>
      <c r="E4" s="70"/>
      <c r="F4" s="70"/>
      <c r="G4" s="60"/>
      <c r="H4" s="1269"/>
      <c r="I4" s="60"/>
      <c r="J4" s="1269"/>
      <c r="K4" s="60"/>
      <c r="L4" s="1269"/>
      <c r="M4" s="60"/>
      <c r="N4" s="60"/>
      <c r="O4" s="60"/>
      <c r="P4" s="514"/>
      <c r="Q4" s="60"/>
      <c r="R4" s="60"/>
      <c r="S4" s="60"/>
      <c r="T4" s="60"/>
      <c r="U4" s="60"/>
      <c r="V4" s="335"/>
    </row>
    <row r="5" spans="1:23" s="472" customFormat="1" ht="16.5" customHeight="1" x14ac:dyDescent="0.25">
      <c r="A5" s="1267" t="s">
        <v>343</v>
      </c>
      <c r="B5" s="1268"/>
      <c r="C5" s="1268"/>
      <c r="D5" s="1268"/>
      <c r="E5" s="795" t="s">
        <v>464</v>
      </c>
      <c r="F5" s="796"/>
      <c r="G5" s="1019"/>
      <c r="H5" s="1269"/>
      <c r="I5" s="515"/>
      <c r="J5" s="1269"/>
      <c r="K5" s="515"/>
      <c r="L5" s="1269"/>
      <c r="M5" s="516"/>
      <c r="N5" s="516"/>
      <c r="O5" s="516"/>
      <c r="P5" s="517"/>
      <c r="Q5" s="515"/>
      <c r="R5" s="515"/>
      <c r="S5" s="515"/>
      <c r="T5" s="516"/>
      <c r="U5" s="516"/>
      <c r="V5" s="518"/>
    </row>
    <row r="6" spans="1:23" s="521" customFormat="1" ht="14.25" customHeight="1" x14ac:dyDescent="0.25">
      <c r="A6" s="25"/>
      <c r="B6" s="255" t="s">
        <v>116</v>
      </c>
      <c r="C6" s="1040"/>
      <c r="D6" s="25"/>
      <c r="E6" s="797"/>
      <c r="F6" s="797"/>
      <c r="G6" s="519"/>
      <c r="H6" s="1269"/>
      <c r="I6" s="519"/>
      <c r="J6" s="1269"/>
      <c r="K6" s="519"/>
      <c r="L6" s="1269"/>
      <c r="M6" s="520"/>
      <c r="N6" s="520"/>
      <c r="P6" s="522"/>
      <c r="Q6" s="519"/>
      <c r="R6" s="519"/>
      <c r="S6" s="519"/>
      <c r="T6" s="520"/>
      <c r="U6" s="520"/>
      <c r="V6" s="523"/>
    </row>
    <row r="7" spans="1:23" s="472" customFormat="1" ht="18.75" customHeight="1" x14ac:dyDescent="0.25">
      <c r="A7" s="702"/>
      <c r="B7" s="64"/>
      <c r="C7" s="1041"/>
      <c r="D7" s="702"/>
      <c r="E7" s="882" t="str">
        <f>HYPERLINK("#DropDownLists!K6","Add to this list")</f>
        <v>Add to this list</v>
      </c>
      <c r="F7" s="882" t="str">
        <f>HYPERLINK("#DropDownLists!I6","Add to this list")</f>
        <v>Add to this list</v>
      </c>
      <c r="G7" s="62" t="s">
        <v>98</v>
      </c>
      <c r="H7" s="1269"/>
      <c r="I7" s="62" t="s">
        <v>99</v>
      </c>
      <c r="J7" s="1269"/>
      <c r="K7" s="62" t="s">
        <v>99</v>
      </c>
      <c r="L7" s="1269"/>
      <c r="M7" s="1273" t="s">
        <v>100</v>
      </c>
      <c r="N7" s="1274"/>
      <c r="O7" s="524" t="s">
        <v>181</v>
      </c>
      <c r="P7" s="525" t="s">
        <v>46</v>
      </c>
      <c r="Q7" s="526" t="s">
        <v>98</v>
      </c>
      <c r="R7" s="62" t="s">
        <v>99</v>
      </c>
      <c r="S7" s="62" t="s">
        <v>99</v>
      </c>
      <c r="T7" s="1270" t="s">
        <v>1622</v>
      </c>
      <c r="U7" s="1271"/>
      <c r="V7" s="527" t="s">
        <v>181</v>
      </c>
    </row>
    <row r="8" spans="1:23" s="472" customFormat="1" ht="39.75" customHeight="1" thickBot="1" x14ac:dyDescent="0.3">
      <c r="A8" s="18" t="s">
        <v>1495</v>
      </c>
      <c r="B8" s="20" t="s">
        <v>35</v>
      </c>
      <c r="C8" s="1042" t="s">
        <v>198</v>
      </c>
      <c r="D8" s="7" t="s">
        <v>1456</v>
      </c>
      <c r="E8" s="7" t="s">
        <v>77</v>
      </c>
      <c r="F8" s="7" t="s">
        <v>1613</v>
      </c>
      <c r="G8" s="39" t="s">
        <v>1790</v>
      </c>
      <c r="H8" s="6" t="s">
        <v>2237</v>
      </c>
      <c r="I8" s="6" t="s">
        <v>1792</v>
      </c>
      <c r="J8" s="6" t="s">
        <v>1844</v>
      </c>
      <c r="K8" s="6" t="s">
        <v>1794</v>
      </c>
      <c r="L8" s="6" t="s">
        <v>1845</v>
      </c>
      <c r="M8" s="6" t="s">
        <v>1614</v>
      </c>
      <c r="N8" s="6" t="s">
        <v>1615</v>
      </c>
      <c r="O8" s="6" t="s">
        <v>1616</v>
      </c>
      <c r="P8" s="499" t="s">
        <v>1617</v>
      </c>
      <c r="Q8" s="6" t="s">
        <v>1796</v>
      </c>
      <c r="R8" s="6" t="s">
        <v>1846</v>
      </c>
      <c r="S8" s="6" t="s">
        <v>1847</v>
      </c>
      <c r="T8" s="6" t="s">
        <v>1618</v>
      </c>
      <c r="U8" s="6" t="s">
        <v>1619</v>
      </c>
      <c r="V8" s="6" t="s">
        <v>1620</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6" customWidth="1"/>
    <col min="2" max="2" width="13" style="323" customWidth="1"/>
    <col min="3" max="3" width="26.5703125" style="326" customWidth="1"/>
    <col min="4" max="4" width="14.28515625" style="326" customWidth="1"/>
    <col min="5" max="5" width="20.42578125" style="326" customWidth="1"/>
    <col min="6" max="6" width="27" style="326" customWidth="1"/>
    <col min="7" max="7" width="10.85546875" style="324" customWidth="1"/>
    <col min="8" max="8" width="16.28515625" style="324" customWidth="1"/>
    <col min="9" max="9" width="18" style="324" customWidth="1"/>
    <col min="10" max="11" width="15.5703125" style="324" customWidth="1"/>
    <col min="12" max="12" width="19.7109375" style="324" customWidth="1"/>
    <col min="13" max="13" width="16.28515625" style="324" customWidth="1"/>
    <col min="14" max="14" width="17.85546875" style="324" customWidth="1"/>
    <col min="15" max="15" width="19" style="324" customWidth="1"/>
    <col min="16" max="16" width="21.28515625" style="324" customWidth="1"/>
    <col min="17" max="17" width="20.7109375" style="324" customWidth="1"/>
    <col min="18" max="21" width="18.7109375" style="324" customWidth="1"/>
    <col min="22" max="22" width="16.85546875" style="324" customWidth="1"/>
    <col min="23" max="23" width="15.7109375" style="324" customWidth="1"/>
    <col min="24" max="24" width="17" style="324" customWidth="1"/>
    <col min="25" max="25" width="12.42578125" style="324" customWidth="1"/>
    <col min="26" max="26" width="14.42578125" style="324" customWidth="1"/>
    <col min="27" max="27" width="23.7109375" style="324" customWidth="1"/>
    <col min="28" max="28" width="18" style="324" customWidth="1"/>
    <col min="29" max="29" width="19" style="324" customWidth="1"/>
    <col min="30" max="30" width="15.5703125" style="324" customWidth="1"/>
    <col min="31" max="31" width="16.7109375" style="324" customWidth="1"/>
    <col min="32" max="32" width="14" style="324" customWidth="1"/>
    <col min="33" max="33" width="19.7109375" style="324" customWidth="1"/>
    <col min="34" max="34" width="19" style="324" customWidth="1"/>
    <col min="35" max="35" width="18.28515625" style="324" customWidth="1"/>
    <col min="36" max="37" width="18.7109375" style="324" customWidth="1"/>
    <col min="38" max="38" width="19.5703125" style="324" customWidth="1"/>
    <col min="39" max="39" width="21.28515625" style="324" customWidth="1"/>
    <col min="40" max="40" width="21.85546875" style="324" customWidth="1"/>
    <col min="41" max="41" width="15.85546875" style="324" customWidth="1"/>
    <col min="42" max="42" width="15.7109375" style="324" customWidth="1"/>
    <col min="43" max="43" width="13" style="324" customWidth="1"/>
    <col min="44" max="44" width="13.42578125" style="324" customWidth="1"/>
    <col min="45" max="16384" width="8.85546875" style="324"/>
  </cols>
  <sheetData>
    <row r="1" spans="1:45" s="472" customFormat="1" ht="18.75" x14ac:dyDescent="0.25">
      <c r="A1" s="798" t="s">
        <v>2233</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25">
      <c r="A2" s="978" t="s">
        <v>615</v>
      </c>
      <c r="B2" s="973"/>
      <c r="C2" s="973"/>
      <c r="D2" s="973"/>
      <c r="E2" s="973"/>
      <c r="F2" s="70"/>
      <c r="G2" s="60"/>
      <c r="H2" s="1269" t="s">
        <v>1292</v>
      </c>
      <c r="I2" s="112"/>
      <c r="J2" s="60"/>
      <c r="K2" s="60"/>
      <c r="L2" s="60"/>
      <c r="M2" s="60"/>
      <c r="N2" s="532"/>
      <c r="O2" s="60"/>
      <c r="P2" s="60"/>
      <c r="Q2" s="60"/>
      <c r="R2" s="532"/>
      <c r="S2" s="60"/>
      <c r="T2" s="60"/>
      <c r="U2" s="60"/>
      <c r="V2" s="532"/>
      <c r="W2" s="60"/>
      <c r="X2" s="60"/>
      <c r="Y2" s="490"/>
      <c r="Z2" s="982" t="s">
        <v>534</v>
      </c>
      <c r="AA2" s="982" t="s">
        <v>534</v>
      </c>
      <c r="AB2" s="982" t="s">
        <v>534</v>
      </c>
      <c r="AC2" s="982" t="s">
        <v>534</v>
      </c>
      <c r="AD2" s="982" t="s">
        <v>534</v>
      </c>
      <c r="AE2" s="982" t="s">
        <v>534</v>
      </c>
      <c r="AF2" s="982" t="s">
        <v>534</v>
      </c>
      <c r="AG2" s="982" t="s">
        <v>534</v>
      </c>
      <c r="AH2" s="982" t="s">
        <v>534</v>
      </c>
      <c r="AI2" s="982" t="s">
        <v>534</v>
      </c>
      <c r="AJ2" s="982" t="s">
        <v>534</v>
      </c>
      <c r="AK2" s="1016" t="s">
        <v>534</v>
      </c>
      <c r="AL2" s="1016" t="s">
        <v>534</v>
      </c>
      <c r="AM2" s="1016" t="s">
        <v>534</v>
      </c>
      <c r="AN2" s="1016" t="s">
        <v>534</v>
      </c>
      <c r="AO2" s="1016" t="s">
        <v>534</v>
      </c>
      <c r="AP2" s="1016" t="s">
        <v>534</v>
      </c>
      <c r="AQ2" s="1016" t="s">
        <v>534</v>
      </c>
      <c r="AR2" s="1015" t="s">
        <v>534</v>
      </c>
    </row>
    <row r="3" spans="1:45" s="472" customFormat="1" ht="48" customHeight="1" x14ac:dyDescent="0.25">
      <c r="A3" s="1295" t="s">
        <v>392</v>
      </c>
      <c r="B3" s="1295"/>
      <c r="C3" s="1295"/>
      <c r="D3" s="1295"/>
      <c r="E3" s="1295"/>
      <c r="F3" s="1297" t="s">
        <v>1291</v>
      </c>
      <c r="G3" s="534"/>
      <c r="H3" s="1269"/>
      <c r="I3" s="350"/>
      <c r="J3" s="1269" t="s">
        <v>1384</v>
      </c>
      <c r="K3" s="1269" t="s">
        <v>1383</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25">
      <c r="A4" s="1296" t="s">
        <v>395</v>
      </c>
      <c r="B4" s="1296"/>
      <c r="C4" s="1296"/>
      <c r="D4" s="1296"/>
      <c r="E4" s="1296"/>
      <c r="F4" s="1297"/>
      <c r="G4" s="60"/>
      <c r="H4" s="1269"/>
      <c r="I4" s="60"/>
      <c r="J4" s="1269"/>
      <c r="K4" s="1269"/>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25">
      <c r="A5" s="799" t="s">
        <v>343</v>
      </c>
      <c r="B5" s="276"/>
      <c r="C5" s="801"/>
      <c r="D5" s="802" t="s">
        <v>396</v>
      </c>
      <c r="E5" s="697"/>
      <c r="F5" s="1298"/>
      <c r="G5" s="541"/>
      <c r="H5" s="1290"/>
      <c r="I5" s="542"/>
      <c r="J5" s="1290"/>
      <c r="K5" s="1290"/>
      <c r="L5" s="427"/>
      <c r="M5" s="427"/>
      <c r="N5" s="543" t="s">
        <v>1854</v>
      </c>
      <c r="O5" s="427"/>
      <c r="P5" s="427"/>
      <c r="Q5" s="427"/>
      <c r="R5" s="543" t="s">
        <v>393</v>
      </c>
      <c r="S5" s="544"/>
      <c r="T5" s="544"/>
      <c r="U5" s="544"/>
      <c r="V5" s="543" t="s">
        <v>394</v>
      </c>
      <c r="W5" s="544"/>
      <c r="X5" s="544"/>
      <c r="Y5" s="545"/>
      <c r="Z5" s="427"/>
      <c r="AA5" s="546"/>
      <c r="AB5" s="427"/>
      <c r="AC5" s="427"/>
      <c r="AD5" s="427"/>
      <c r="AE5" s="427"/>
      <c r="AF5" s="427"/>
      <c r="AG5" s="427"/>
      <c r="AH5" s="427"/>
      <c r="AI5" s="427"/>
      <c r="AJ5" s="427"/>
      <c r="AK5" s="1278"/>
      <c r="AL5" s="1278"/>
      <c r="AM5" s="1278"/>
      <c r="AN5" s="1278"/>
      <c r="AO5" s="1278"/>
      <c r="AP5" s="1278"/>
      <c r="AQ5" s="1278"/>
      <c r="AR5" s="1279"/>
    </row>
    <row r="6" spans="1:45" s="521" customFormat="1" ht="15.75" x14ac:dyDescent="0.2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1414</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1414</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5" x14ac:dyDescent="0.25">
      <c r="A7" s="1291" t="s">
        <v>389</v>
      </c>
      <c r="B7" s="1291"/>
      <c r="C7" s="1291"/>
      <c r="D7" s="1291"/>
      <c r="E7" s="1291"/>
      <c r="F7" s="1291"/>
      <c r="G7" s="395"/>
      <c r="H7" s="562"/>
      <c r="I7" s="1292" t="s">
        <v>182</v>
      </c>
      <c r="J7" s="1293"/>
      <c r="K7" s="1293"/>
      <c r="L7" s="1293"/>
      <c r="M7" s="1294"/>
      <c r="N7" s="1250" t="s">
        <v>78</v>
      </c>
      <c r="O7" s="1280"/>
      <c r="P7" s="1280"/>
      <c r="Q7" s="1281"/>
      <c r="R7" s="1282" t="s">
        <v>180</v>
      </c>
      <c r="S7" s="1283"/>
      <c r="T7" s="1283"/>
      <c r="U7" s="1284"/>
      <c r="V7" s="1250" t="s">
        <v>471</v>
      </c>
      <c r="W7" s="1285"/>
      <c r="X7" s="1285"/>
      <c r="Y7" s="1286"/>
      <c r="Z7" s="316"/>
      <c r="AA7" s="320" t="s">
        <v>397</v>
      </c>
      <c r="AB7" s="1243" t="s">
        <v>182</v>
      </c>
      <c r="AC7" s="1232"/>
      <c r="AD7" s="1232"/>
      <c r="AE7" s="1232"/>
      <c r="AF7" s="1233"/>
      <c r="AG7" s="1243" t="s">
        <v>78</v>
      </c>
      <c r="AH7" s="1232"/>
      <c r="AI7" s="1232"/>
      <c r="AJ7" s="1233"/>
      <c r="AK7" s="1287" t="s">
        <v>180</v>
      </c>
      <c r="AL7" s="1288"/>
      <c r="AM7" s="1288"/>
      <c r="AN7" s="1289"/>
      <c r="AO7" s="1275" t="s">
        <v>471</v>
      </c>
      <c r="AP7" s="1276"/>
      <c r="AQ7" s="1276"/>
      <c r="AR7" s="1277"/>
    </row>
    <row r="8" spans="1:45" s="472" customFormat="1" ht="28.5" customHeight="1" thickBot="1" x14ac:dyDescent="0.3">
      <c r="A8" s="18" t="s">
        <v>1495</v>
      </c>
      <c r="B8" s="17" t="s">
        <v>35</v>
      </c>
      <c r="C8" s="7" t="s">
        <v>1456</v>
      </c>
      <c r="D8" s="7" t="s">
        <v>1518</v>
      </c>
      <c r="E8" s="12" t="s">
        <v>77</v>
      </c>
      <c r="F8" s="658" t="s">
        <v>1624</v>
      </c>
      <c r="G8" s="6" t="s">
        <v>1623</v>
      </c>
      <c r="H8" s="6" t="s">
        <v>1625</v>
      </c>
      <c r="I8" s="6" t="s">
        <v>1626</v>
      </c>
      <c r="J8" s="6" t="s">
        <v>1627</v>
      </c>
      <c r="K8" s="6" t="s">
        <v>1628</v>
      </c>
      <c r="L8" s="6" t="s">
        <v>1629</v>
      </c>
      <c r="M8" s="6" t="s">
        <v>1630</v>
      </c>
      <c r="N8" s="563" t="s">
        <v>1856</v>
      </c>
      <c r="O8" s="6" t="s">
        <v>1631</v>
      </c>
      <c r="P8" s="6" t="s">
        <v>1632</v>
      </c>
      <c r="Q8" s="6" t="s">
        <v>1633</v>
      </c>
      <c r="R8" s="563" t="s">
        <v>1857</v>
      </c>
      <c r="S8" s="6" t="s">
        <v>1863</v>
      </c>
      <c r="T8" s="6" t="s">
        <v>1864</v>
      </c>
      <c r="U8" s="6" t="s">
        <v>1862</v>
      </c>
      <c r="V8" s="563" t="s">
        <v>1634</v>
      </c>
      <c r="W8" s="6" t="s">
        <v>1635</v>
      </c>
      <c r="X8" s="6" t="s">
        <v>1636</v>
      </c>
      <c r="Y8" s="499" t="s">
        <v>1637</v>
      </c>
      <c r="Z8" s="6" t="s">
        <v>1638</v>
      </c>
      <c r="AA8" s="6" t="s">
        <v>1639</v>
      </c>
      <c r="AB8" s="6" t="s">
        <v>1640</v>
      </c>
      <c r="AC8" s="6" t="s">
        <v>1641</v>
      </c>
      <c r="AD8" s="6" t="s">
        <v>1642</v>
      </c>
      <c r="AE8" s="6" t="s">
        <v>1643</v>
      </c>
      <c r="AF8" s="6" t="s">
        <v>1644</v>
      </c>
      <c r="AG8" s="563" t="s">
        <v>1855</v>
      </c>
      <c r="AH8" s="6" t="s">
        <v>1645</v>
      </c>
      <c r="AI8" s="6" t="s">
        <v>1646</v>
      </c>
      <c r="AJ8" s="6" t="s">
        <v>1647</v>
      </c>
      <c r="AK8" s="563" t="s">
        <v>1858</v>
      </c>
      <c r="AL8" s="6" t="s">
        <v>1859</v>
      </c>
      <c r="AM8" s="6" t="s">
        <v>1860</v>
      </c>
      <c r="AN8" s="6" t="s">
        <v>1861</v>
      </c>
      <c r="AO8" s="563" t="s">
        <v>1648</v>
      </c>
      <c r="AP8" s="6" t="s">
        <v>1649</v>
      </c>
      <c r="AQ8" s="6" t="s">
        <v>1650</v>
      </c>
      <c r="AR8" s="113" t="s">
        <v>1651</v>
      </c>
      <c r="AS8" s="1052"/>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26" customWidth="1"/>
    <col min="2" max="2" width="18.7109375" style="323" customWidth="1"/>
    <col min="3" max="4" width="18.7109375" style="326" customWidth="1"/>
    <col min="5" max="5" width="13.42578125" style="326" customWidth="1"/>
    <col min="6" max="6" width="14.5703125" style="326" customWidth="1"/>
    <col min="7" max="11" width="17.7109375" style="324" customWidth="1"/>
    <col min="12" max="12" width="15.7109375" style="324" customWidth="1"/>
    <col min="13" max="15" width="10.7109375" style="324" customWidth="1"/>
    <col min="16" max="16" width="16.42578125" style="324" customWidth="1"/>
    <col min="17" max="16384" width="9.140625" style="324"/>
  </cols>
  <sheetData>
    <row r="1" spans="1:17" s="350" customFormat="1" ht="18.75" x14ac:dyDescent="0.3">
      <c r="A1" s="983" t="s">
        <v>2234</v>
      </c>
      <c r="B1" s="278"/>
      <c r="C1" s="806"/>
      <c r="D1" s="806"/>
      <c r="E1" s="806"/>
      <c r="F1" s="806"/>
      <c r="G1" s="985"/>
      <c r="H1" s="564"/>
      <c r="I1" s="564"/>
      <c r="J1" s="564"/>
      <c r="K1" s="565"/>
      <c r="L1" s="564"/>
      <c r="M1" s="564"/>
      <c r="N1" s="564"/>
      <c r="O1" s="564"/>
      <c r="P1" s="566"/>
    </row>
    <row r="2" spans="1:17" s="350" customFormat="1" ht="15" customHeight="1" x14ac:dyDescent="0.25">
      <c r="A2" s="978" t="s">
        <v>615</v>
      </c>
      <c r="B2" s="974"/>
      <c r="C2" s="974"/>
      <c r="D2" s="974"/>
      <c r="E2" s="974"/>
      <c r="F2" s="974"/>
      <c r="G2" s="112"/>
      <c r="H2" s="984"/>
      <c r="I2" s="60"/>
      <c r="J2" s="60"/>
      <c r="K2" s="490"/>
      <c r="L2" s="981" t="s">
        <v>534</v>
      </c>
      <c r="M2" s="981" t="s">
        <v>534</v>
      </c>
      <c r="N2" s="981" t="s">
        <v>534</v>
      </c>
      <c r="O2" s="981" t="s">
        <v>534</v>
      </c>
      <c r="P2" s="1010" t="s">
        <v>534</v>
      </c>
    </row>
    <row r="3" spans="1:17" s="350" customFormat="1" ht="42.75" customHeight="1" x14ac:dyDescent="0.25">
      <c r="A3" s="1295" t="s">
        <v>391</v>
      </c>
      <c r="B3" s="1295"/>
      <c r="C3" s="1295"/>
      <c r="D3" s="1295"/>
      <c r="E3" s="1295"/>
      <c r="F3" s="1295"/>
      <c r="G3" s="60"/>
      <c r="H3" s="474"/>
      <c r="I3" s="473"/>
      <c r="J3" s="60"/>
      <c r="K3" s="490"/>
      <c r="L3" s="474"/>
      <c r="M3" s="474"/>
      <c r="N3" s="60"/>
      <c r="O3" s="60"/>
      <c r="P3" s="335"/>
    </row>
    <row r="4" spans="1:17" s="350" customFormat="1" ht="54.75" customHeight="1" x14ac:dyDescent="0.25">
      <c r="A4" s="1295" t="s">
        <v>1290</v>
      </c>
      <c r="B4" s="1295"/>
      <c r="C4" s="1295"/>
      <c r="D4" s="1295"/>
      <c r="E4" s="1295"/>
      <c r="F4" s="1295"/>
      <c r="G4" s="60"/>
      <c r="H4" s="60"/>
      <c r="I4" s="60"/>
      <c r="J4" s="60"/>
      <c r="K4" s="490"/>
      <c r="L4" s="60"/>
      <c r="M4" s="60"/>
      <c r="N4" s="60"/>
      <c r="O4" s="60"/>
      <c r="P4" s="335"/>
    </row>
    <row r="5" spans="1:17" s="350" customFormat="1" ht="15.75" x14ac:dyDescent="0.25">
      <c r="A5" s="804" t="s">
        <v>343</v>
      </c>
      <c r="B5" s="279"/>
      <c r="C5" s="807"/>
      <c r="D5" s="808"/>
      <c r="E5" s="697"/>
      <c r="F5" s="809"/>
      <c r="G5" s="567" t="s">
        <v>390</v>
      </c>
      <c r="H5" s="568"/>
      <c r="I5" s="568"/>
      <c r="J5" s="568"/>
      <c r="K5" s="569"/>
      <c r="L5" s="1299"/>
      <c r="M5" s="1299"/>
      <c r="N5" s="1299"/>
      <c r="O5" s="1300"/>
      <c r="P5" s="570"/>
    </row>
    <row r="6" spans="1:17" s="350" customFormat="1" ht="15.75" x14ac:dyDescent="0.2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1414</v>
      </c>
      <c r="L6" s="571" t="s">
        <v>118</v>
      </c>
      <c r="M6" s="572" t="s">
        <v>40</v>
      </c>
      <c r="N6" s="419" t="s">
        <v>119</v>
      </c>
      <c r="O6" s="573" t="s">
        <v>91</v>
      </c>
      <c r="P6" s="575" t="s">
        <v>1414</v>
      </c>
    </row>
    <row r="7" spans="1:17" s="350" customFormat="1" ht="15" x14ac:dyDescent="0.25">
      <c r="A7" s="805" t="s">
        <v>389</v>
      </c>
      <c r="B7" s="280"/>
      <c r="C7" s="805"/>
      <c r="D7" s="805"/>
      <c r="E7" s="805"/>
      <c r="F7" s="805"/>
      <c r="G7" s="395"/>
      <c r="H7" s="395"/>
      <c r="I7" s="395"/>
      <c r="J7" s="395"/>
      <c r="K7" s="576" t="s">
        <v>388</v>
      </c>
      <c r="L7" s="395"/>
      <c r="M7" s="395"/>
      <c r="N7" s="395"/>
      <c r="O7" s="395"/>
      <c r="P7" s="577" t="s">
        <v>388</v>
      </c>
    </row>
    <row r="8" spans="1:17" s="350" customFormat="1" ht="27" thickBot="1" x14ac:dyDescent="0.3">
      <c r="A8" s="18" t="s">
        <v>1495</v>
      </c>
      <c r="B8" s="17" t="s">
        <v>1652</v>
      </c>
      <c r="C8" s="7" t="s">
        <v>1456</v>
      </c>
      <c r="D8" s="7" t="s">
        <v>1518</v>
      </c>
      <c r="E8" s="12" t="s">
        <v>77</v>
      </c>
      <c r="F8" s="810" t="s">
        <v>1653</v>
      </c>
      <c r="G8" s="6" t="s">
        <v>1654</v>
      </c>
      <c r="H8" s="6" t="s">
        <v>1655</v>
      </c>
      <c r="I8" s="6" t="s">
        <v>1656</v>
      </c>
      <c r="J8" s="6" t="s">
        <v>1657</v>
      </c>
      <c r="K8" s="499" t="s">
        <v>1663</v>
      </c>
      <c r="L8" s="6" t="s">
        <v>1658</v>
      </c>
      <c r="M8" s="6" t="s">
        <v>1659</v>
      </c>
      <c r="N8" s="6" t="s">
        <v>1660</v>
      </c>
      <c r="O8" s="6" t="s">
        <v>1661</v>
      </c>
      <c r="P8" s="1051" t="s">
        <v>1662</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6" customWidth="1"/>
    <col min="2" max="2" width="14.85546875" style="323" customWidth="1"/>
    <col min="3" max="3" width="17.28515625" style="326" customWidth="1"/>
    <col min="4" max="4" width="17.5703125" style="326" customWidth="1"/>
    <col min="5" max="5" width="15.5703125" style="326" customWidth="1"/>
    <col min="6" max="6" width="14.42578125" style="326" customWidth="1"/>
    <col min="7" max="7" width="10.7109375" style="324" customWidth="1"/>
    <col min="8" max="8" width="9.5703125" style="324" customWidth="1"/>
    <col min="9" max="14" width="10.7109375" style="324" customWidth="1"/>
    <col min="15" max="15" width="10.140625" style="324" customWidth="1"/>
    <col min="16" max="19" width="10.7109375" style="324" customWidth="1"/>
    <col min="20" max="20" width="9.140625" style="324" customWidth="1"/>
    <col min="21" max="21" width="7.85546875" style="324" customWidth="1"/>
    <col min="22" max="23" width="10.7109375" style="324" customWidth="1"/>
    <col min="24" max="24" width="9.5703125" style="324" customWidth="1"/>
    <col min="25" max="25" width="8.7109375" style="324" customWidth="1"/>
    <col min="26" max="26" width="11.7109375" style="324" customWidth="1"/>
    <col min="27" max="27" width="12.5703125" style="324" customWidth="1"/>
    <col min="28" max="30" width="10.7109375" style="324" customWidth="1"/>
    <col min="31" max="31" width="12.42578125" style="324" customWidth="1"/>
    <col min="32" max="32" width="10.7109375" style="324" customWidth="1"/>
    <col min="33" max="16384" width="9.140625" style="324"/>
  </cols>
  <sheetData>
    <row r="1" spans="1:34" s="350" customFormat="1" ht="18.75" x14ac:dyDescent="0.3">
      <c r="A1" s="811" t="s">
        <v>550</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25">
      <c r="A2" s="816" t="s">
        <v>615</v>
      </c>
      <c r="B2" s="975"/>
      <c r="C2" s="975"/>
      <c r="D2" s="813"/>
      <c r="E2" s="813"/>
      <c r="F2" s="309"/>
      <c r="G2" s="309"/>
      <c r="H2" s="579"/>
      <c r="I2" s="579"/>
      <c r="J2" s="579"/>
      <c r="K2" s="579"/>
      <c r="L2" s="580"/>
      <c r="M2" s="579"/>
      <c r="N2" s="1303" t="s">
        <v>594</v>
      </c>
      <c r="O2" s="1304"/>
      <c r="P2" s="579"/>
      <c r="Q2" s="579"/>
      <c r="R2" s="579"/>
      <c r="S2" s="581"/>
      <c r="T2" s="981" t="s">
        <v>534</v>
      </c>
      <c r="U2" s="981" t="s">
        <v>534</v>
      </c>
      <c r="V2" s="981" t="s">
        <v>534</v>
      </c>
      <c r="W2" s="981" t="s">
        <v>534</v>
      </c>
      <c r="X2" s="981" t="s">
        <v>534</v>
      </c>
      <c r="Y2" s="981" t="s">
        <v>534</v>
      </c>
      <c r="Z2" s="981" t="s">
        <v>534</v>
      </c>
      <c r="AA2" s="981" t="s">
        <v>534</v>
      </c>
      <c r="AB2" s="981" t="s">
        <v>534</v>
      </c>
      <c r="AC2" s="981" t="s">
        <v>534</v>
      </c>
      <c r="AD2" s="981" t="s">
        <v>534</v>
      </c>
      <c r="AE2" s="981" t="s">
        <v>534</v>
      </c>
      <c r="AF2" s="1010" t="s">
        <v>534</v>
      </c>
      <c r="AH2" s="443"/>
    </row>
    <row r="3" spans="1:34" s="350" customFormat="1" ht="15" customHeight="1" x14ac:dyDescent="0.25">
      <c r="A3" s="975"/>
      <c r="B3" s="975"/>
      <c r="C3" s="975"/>
      <c r="D3" s="813"/>
      <c r="E3" s="813"/>
      <c r="F3" s="813"/>
      <c r="G3" s="579"/>
      <c r="H3" s="579"/>
      <c r="I3" s="579"/>
      <c r="J3" s="579"/>
      <c r="K3" s="579"/>
      <c r="L3" s="580"/>
      <c r="M3" s="579"/>
      <c r="N3" s="1304"/>
      <c r="O3" s="1304"/>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25">
      <c r="A4" s="1305" t="s">
        <v>2235</v>
      </c>
      <c r="B4" s="1305"/>
      <c r="C4" s="1305"/>
      <c r="D4" s="1305"/>
      <c r="E4" s="1305"/>
      <c r="F4" s="1305"/>
      <c r="G4" s="579"/>
      <c r="H4" s="579"/>
      <c r="I4" s="579"/>
      <c r="J4" s="579"/>
      <c r="K4" s="579"/>
      <c r="L4" s="580"/>
      <c r="M4" s="579"/>
      <c r="N4" s="1304"/>
      <c r="O4" s="1304"/>
      <c r="P4" s="579"/>
      <c r="Q4" s="579"/>
      <c r="R4" s="579"/>
      <c r="S4" s="581"/>
      <c r="T4" s="579"/>
      <c r="U4" s="579"/>
      <c r="V4" s="579"/>
      <c r="W4" s="579"/>
      <c r="X4" s="579"/>
      <c r="Y4" s="579"/>
      <c r="Z4" s="579"/>
      <c r="AA4" s="579"/>
      <c r="AB4" s="579"/>
      <c r="AC4" s="579"/>
      <c r="AD4" s="579"/>
      <c r="AE4" s="579"/>
      <c r="AF4" s="582"/>
      <c r="AH4" s="443"/>
    </row>
    <row r="5" spans="1:34" s="350" customFormat="1" ht="15.75" x14ac:dyDescent="0.25">
      <c r="A5" s="812" t="s">
        <v>343</v>
      </c>
      <c r="B5" s="93"/>
      <c r="C5" s="812"/>
      <c r="D5" s="812"/>
      <c r="E5" s="812"/>
      <c r="F5" s="1011"/>
      <c r="G5" s="579"/>
      <c r="H5" s="579"/>
      <c r="I5" s="579"/>
      <c r="J5" s="579"/>
      <c r="K5" s="579"/>
      <c r="L5" s="580"/>
      <c r="M5" s="579"/>
      <c r="N5" s="1304"/>
      <c r="O5" s="1304"/>
      <c r="P5" s="579"/>
      <c r="Q5" s="579"/>
      <c r="R5" s="579"/>
      <c r="S5" s="581"/>
      <c r="T5" s="579"/>
      <c r="U5" s="579"/>
      <c r="V5" s="579"/>
      <c r="W5" s="579"/>
      <c r="X5" s="579"/>
      <c r="Y5" s="579"/>
      <c r="Z5" s="579"/>
      <c r="AA5" s="579"/>
      <c r="AB5" s="579"/>
      <c r="AC5" s="579"/>
      <c r="AD5" s="579"/>
      <c r="AE5" s="579"/>
      <c r="AF5" s="582"/>
      <c r="AH5" s="443"/>
    </row>
    <row r="6" spans="1:34" s="350" customFormat="1" ht="15" x14ac:dyDescent="0.25">
      <c r="A6" s="813"/>
      <c r="B6" s="255" t="s">
        <v>116</v>
      </c>
      <c r="C6" s="813"/>
      <c r="D6" s="813"/>
      <c r="E6" s="813"/>
      <c r="F6" s="817"/>
      <c r="G6" s="1301" t="s">
        <v>382</v>
      </c>
      <c r="H6" s="1301"/>
      <c r="I6" s="1301"/>
      <c r="J6" s="1301"/>
      <c r="K6" s="1301"/>
      <c r="L6" s="1301"/>
      <c r="M6" s="1301"/>
      <c r="N6" s="1301"/>
      <c r="O6" s="1301"/>
      <c r="P6" s="1301"/>
      <c r="Q6" s="1301"/>
      <c r="R6" s="1301"/>
      <c r="S6" s="1302"/>
      <c r="T6" s="583"/>
      <c r="U6" s="583"/>
      <c r="V6" s="583"/>
      <c r="W6" s="583"/>
      <c r="X6" s="583"/>
      <c r="Y6" s="583"/>
      <c r="Z6" s="583"/>
      <c r="AA6" s="583"/>
      <c r="AB6" s="583"/>
      <c r="AC6" s="583"/>
      <c r="AD6" s="583"/>
      <c r="AE6" s="583"/>
      <c r="AF6" s="584"/>
    </row>
    <row r="7" spans="1:34" s="350" customFormat="1" ht="15" x14ac:dyDescent="0.25">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596</v>
      </c>
      <c r="N7" s="1014" t="s">
        <v>597</v>
      </c>
      <c r="O7" s="579"/>
      <c r="P7" s="579"/>
      <c r="Q7" s="579"/>
      <c r="R7" s="1014" t="s">
        <v>598</v>
      </c>
      <c r="S7" s="581"/>
      <c r="T7" s="579"/>
      <c r="U7" s="579"/>
      <c r="V7" s="579"/>
      <c r="W7" s="579"/>
      <c r="X7" s="579"/>
      <c r="Y7" s="579"/>
      <c r="Z7" s="579"/>
      <c r="AA7" s="579"/>
      <c r="AB7" s="579"/>
      <c r="AC7" s="579"/>
      <c r="AD7" s="579"/>
      <c r="AE7" s="579"/>
      <c r="AF7" s="582"/>
      <c r="AH7" s="443"/>
    </row>
    <row r="8" spans="1:34" s="350" customFormat="1" ht="52.5" customHeight="1" thickBot="1" x14ac:dyDescent="0.3">
      <c r="A8" s="18" t="s">
        <v>1495</v>
      </c>
      <c r="B8" s="20" t="s">
        <v>35</v>
      </c>
      <c r="C8" s="7" t="s">
        <v>1456</v>
      </c>
      <c r="D8" s="7" t="s">
        <v>1518</v>
      </c>
      <c r="E8" s="12" t="s">
        <v>77</v>
      </c>
      <c r="F8" s="7" t="s">
        <v>1653</v>
      </c>
      <c r="G8" s="6" t="s">
        <v>1664</v>
      </c>
      <c r="H8" s="6" t="s">
        <v>1665</v>
      </c>
      <c r="I8" s="6" t="s">
        <v>1666</v>
      </c>
      <c r="J8" s="6" t="s">
        <v>1667</v>
      </c>
      <c r="K8" s="6" t="s">
        <v>1668</v>
      </c>
      <c r="L8" s="6" t="s">
        <v>1669</v>
      </c>
      <c r="M8" s="6" t="s">
        <v>1670</v>
      </c>
      <c r="N8" s="6" t="s">
        <v>1671</v>
      </c>
      <c r="O8" s="6" t="s">
        <v>1685</v>
      </c>
      <c r="P8" s="6" t="s">
        <v>1672</v>
      </c>
      <c r="Q8" s="6" t="s">
        <v>1673</v>
      </c>
      <c r="R8" s="6" t="s">
        <v>1674</v>
      </c>
      <c r="S8" s="499" t="s">
        <v>1675</v>
      </c>
      <c r="T8" s="6" t="s">
        <v>1676</v>
      </c>
      <c r="U8" s="6" t="s">
        <v>1677</v>
      </c>
      <c r="V8" s="6" t="s">
        <v>1678</v>
      </c>
      <c r="W8" s="6" t="s">
        <v>1679</v>
      </c>
      <c r="X8" s="6" t="s">
        <v>1680</v>
      </c>
      <c r="Y8" s="6" t="s">
        <v>1681</v>
      </c>
      <c r="Z8" s="6" t="s">
        <v>1682</v>
      </c>
      <c r="AA8" s="6" t="s">
        <v>1683</v>
      </c>
      <c r="AB8" s="6" t="s">
        <v>1684</v>
      </c>
      <c r="AC8" s="6" t="s">
        <v>1686</v>
      </c>
      <c r="AD8" s="6" t="s">
        <v>1687</v>
      </c>
      <c r="AE8" s="6" t="s">
        <v>1688</v>
      </c>
      <c r="AF8" s="113" t="s">
        <v>1689</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6" customWidth="1"/>
    <col min="2" max="2" width="18.28515625" style="323" customWidth="1"/>
    <col min="3" max="3" width="16.85546875" style="326" customWidth="1"/>
    <col min="4" max="4" width="13.85546875" style="326" customWidth="1"/>
    <col min="5" max="5" width="12" style="326" customWidth="1"/>
    <col min="6" max="6" width="19.7109375" style="326" customWidth="1"/>
    <col min="7" max="7" width="16" style="324" customWidth="1"/>
    <col min="8" max="8" width="10.85546875" style="324" customWidth="1"/>
    <col min="9" max="9" width="24.7109375" style="324" customWidth="1"/>
    <col min="10" max="10" width="20.85546875" style="324" customWidth="1"/>
    <col min="11" max="11" width="10.85546875" style="324" customWidth="1"/>
    <col min="12" max="12" width="27" style="324" customWidth="1"/>
    <col min="13" max="16384" width="9.140625" style="324"/>
  </cols>
  <sheetData>
    <row r="1" spans="1:13" s="350" customFormat="1" ht="18.75" x14ac:dyDescent="0.3">
      <c r="A1" s="818" t="s">
        <v>551</v>
      </c>
      <c r="B1" s="282"/>
      <c r="C1" s="820"/>
      <c r="D1" s="820"/>
      <c r="E1" s="815"/>
      <c r="F1" s="815"/>
      <c r="G1" s="99"/>
      <c r="H1" s="99"/>
      <c r="I1" s="203"/>
      <c r="J1" s="99"/>
      <c r="K1" s="99"/>
      <c r="L1" s="179"/>
    </row>
    <row r="2" spans="1:13" s="588" customFormat="1" ht="15" customHeight="1" x14ac:dyDescent="0.25">
      <c r="A2" s="585" t="s">
        <v>943</v>
      </c>
      <c r="B2" s="975"/>
      <c r="C2" s="975"/>
      <c r="D2" s="821"/>
      <c r="E2" s="821"/>
      <c r="F2" s="821"/>
      <c r="G2" s="1007"/>
      <c r="H2" s="586"/>
      <c r="I2" s="587"/>
      <c r="J2" s="1005" t="s">
        <v>534</v>
      </c>
      <c r="K2" s="1005" t="s">
        <v>534</v>
      </c>
      <c r="L2" s="1006" t="s">
        <v>534</v>
      </c>
    </row>
    <row r="3" spans="1:13" s="588" customFormat="1" ht="30.75" customHeight="1" x14ac:dyDescent="0.2">
      <c r="A3" s="1305" t="s">
        <v>2235</v>
      </c>
      <c r="B3" s="1305"/>
      <c r="C3" s="1305"/>
      <c r="D3" s="1305"/>
      <c r="E3" s="1305"/>
      <c r="F3" s="1305"/>
      <c r="G3" s="1303" t="s">
        <v>384</v>
      </c>
      <c r="H3" s="1303" t="s">
        <v>385</v>
      </c>
      <c r="I3" s="1307" t="s">
        <v>386</v>
      </c>
      <c r="J3" s="1303" t="s">
        <v>384</v>
      </c>
      <c r="K3" s="1303" t="s">
        <v>385</v>
      </c>
      <c r="L3" s="1306" t="s">
        <v>386</v>
      </c>
    </row>
    <row r="4" spans="1:13" s="588" customFormat="1" ht="11.25" customHeight="1" x14ac:dyDescent="0.25">
      <c r="A4" s="975"/>
      <c r="B4" s="975"/>
      <c r="C4" s="975"/>
      <c r="D4" s="821"/>
      <c r="E4" s="821"/>
      <c r="F4" s="821"/>
      <c r="G4" s="1303"/>
      <c r="H4" s="1303"/>
      <c r="I4" s="1307"/>
      <c r="J4" s="1303"/>
      <c r="K4" s="1303"/>
      <c r="L4" s="1306"/>
    </row>
    <row r="5" spans="1:13" s="588" customFormat="1" ht="14.25" x14ac:dyDescent="0.2">
      <c r="A5" s="1009" t="s">
        <v>343</v>
      </c>
      <c r="B5" s="95"/>
      <c r="C5" s="822"/>
      <c r="D5" s="822"/>
      <c r="E5" s="822"/>
      <c r="F5" s="1008"/>
      <c r="G5" s="1303"/>
      <c r="H5" s="1303"/>
      <c r="I5" s="1307"/>
      <c r="J5" s="1303"/>
      <c r="K5" s="1303"/>
      <c r="L5" s="1306"/>
    </row>
    <row r="6" spans="1:13" s="589" customFormat="1" ht="26.25" x14ac:dyDescent="0.25">
      <c r="A6" s="819"/>
      <c r="B6" s="255" t="s">
        <v>116</v>
      </c>
      <c r="C6" s="819"/>
      <c r="D6" s="819"/>
      <c r="E6" s="819"/>
      <c r="F6" s="819"/>
      <c r="G6" s="1012" t="s">
        <v>787</v>
      </c>
      <c r="H6" s="1012" t="s">
        <v>787</v>
      </c>
      <c r="I6" s="1013" t="s">
        <v>788</v>
      </c>
      <c r="J6" s="1012" t="s">
        <v>787</v>
      </c>
      <c r="K6" s="1012" t="s">
        <v>787</v>
      </c>
      <c r="L6" s="1020" t="s">
        <v>788</v>
      </c>
    </row>
    <row r="7" spans="1:13" s="350" customFormat="1" ht="15" x14ac:dyDescent="0.25">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27" thickBot="1" x14ac:dyDescent="0.3">
      <c r="A8" s="18" t="s">
        <v>1495</v>
      </c>
      <c r="B8" s="20" t="s">
        <v>35</v>
      </c>
      <c r="C8" s="7" t="s">
        <v>1456</v>
      </c>
      <c r="D8" s="7" t="s">
        <v>1518</v>
      </c>
      <c r="E8" s="12" t="s">
        <v>77</v>
      </c>
      <c r="F8" s="7" t="s">
        <v>1653</v>
      </c>
      <c r="G8" s="594" t="s">
        <v>1690</v>
      </c>
      <c r="H8" s="594" t="s">
        <v>1874</v>
      </c>
      <c r="I8" s="1047" t="s">
        <v>1691</v>
      </c>
      <c r="J8" s="594" t="s">
        <v>1692</v>
      </c>
      <c r="K8" s="594" t="s">
        <v>1689</v>
      </c>
      <c r="L8" s="1048" t="s">
        <v>1693</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6" customWidth="1"/>
    <col min="2" max="2" width="11.42578125" style="323" customWidth="1"/>
    <col min="3" max="3" width="17.85546875" style="326" customWidth="1"/>
    <col min="4" max="4" width="16" style="326" customWidth="1"/>
    <col min="5" max="5" width="11.140625" style="326" customWidth="1"/>
    <col min="6" max="6" width="18.5703125" style="326" customWidth="1"/>
    <col min="7" max="7" width="21.85546875" style="324" customWidth="1"/>
    <col min="8" max="11" width="20.28515625" style="324" customWidth="1"/>
    <col min="12" max="12" width="22.42578125" style="324" customWidth="1"/>
    <col min="13" max="19" width="20.28515625" style="324" customWidth="1"/>
    <col min="20" max="20" width="21.42578125" style="324" customWidth="1"/>
    <col min="21" max="21" width="20.28515625" style="324" customWidth="1"/>
    <col min="22" max="22" width="22.85546875" style="324" customWidth="1"/>
    <col min="23" max="23" width="22.7109375" style="324" customWidth="1"/>
    <col min="24" max="24" width="24" style="324" customWidth="1"/>
    <col min="25" max="25" width="23.5703125" style="324" customWidth="1"/>
    <col min="26" max="26" width="23.85546875" style="324" customWidth="1"/>
    <col min="27" max="27" width="24.5703125" style="324" customWidth="1"/>
    <col min="28" max="28" width="23.5703125" style="324" customWidth="1"/>
    <col min="29" max="29" width="24.28515625" style="324" customWidth="1"/>
    <col min="30" max="30" width="23.7109375" style="324" customWidth="1"/>
    <col min="31" max="31" width="25.140625" style="324" customWidth="1"/>
    <col min="32" max="33" width="24.28515625" style="324" customWidth="1"/>
    <col min="34" max="34" width="24.140625" style="324" customWidth="1"/>
    <col min="35" max="35" width="25.42578125" style="324" customWidth="1"/>
    <col min="36" max="36" width="24" style="324" customWidth="1"/>
    <col min="37" max="16384" width="9.140625" style="324"/>
  </cols>
  <sheetData>
    <row r="1" spans="1:37" s="47" customFormat="1" ht="18.75" x14ac:dyDescent="0.3">
      <c r="A1" s="823" t="s">
        <v>552</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75" x14ac:dyDescent="0.3">
      <c r="A2" s="1003" t="s">
        <v>615</v>
      </c>
      <c r="B2" s="996"/>
      <c r="C2" s="997"/>
      <c r="D2" s="997"/>
      <c r="E2" s="998"/>
      <c r="F2" s="998"/>
      <c r="G2" s="999"/>
      <c r="H2" s="999"/>
      <c r="I2" s="999"/>
      <c r="J2" s="999"/>
      <c r="K2" s="999"/>
      <c r="L2" s="999"/>
      <c r="M2" s="999"/>
      <c r="N2" s="999"/>
      <c r="O2" s="999"/>
      <c r="P2" s="999"/>
      <c r="Q2" s="999"/>
      <c r="R2" s="999"/>
      <c r="S2" s="999"/>
      <c r="T2" s="999"/>
      <c r="U2" s="1000"/>
      <c r="V2" s="993" t="s">
        <v>534</v>
      </c>
      <c r="W2" s="993" t="s">
        <v>534</v>
      </c>
      <c r="X2" s="993" t="s">
        <v>534</v>
      </c>
      <c r="Y2" s="993" t="s">
        <v>534</v>
      </c>
      <c r="Z2" s="993" t="s">
        <v>534</v>
      </c>
      <c r="AA2" s="993" t="s">
        <v>534</v>
      </c>
      <c r="AB2" s="993" t="s">
        <v>534</v>
      </c>
      <c r="AC2" s="993" t="s">
        <v>534</v>
      </c>
      <c r="AD2" s="993" t="s">
        <v>534</v>
      </c>
      <c r="AE2" s="993" t="s">
        <v>534</v>
      </c>
      <c r="AF2" s="993" t="s">
        <v>534</v>
      </c>
      <c r="AG2" s="993" t="s">
        <v>534</v>
      </c>
      <c r="AH2" s="993" t="s">
        <v>534</v>
      </c>
      <c r="AI2" s="993" t="s">
        <v>534</v>
      </c>
      <c r="AJ2" s="995" t="s">
        <v>534</v>
      </c>
    </row>
    <row r="3" spans="1:37" s="48" customFormat="1" ht="12.75" customHeight="1" x14ac:dyDescent="0.25">
      <c r="A3" s="1305" t="s">
        <v>2235</v>
      </c>
      <c r="B3" s="1305"/>
      <c r="C3" s="1305"/>
      <c r="D3" s="1305"/>
      <c r="E3" s="1305"/>
      <c r="F3" s="1305"/>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25">
      <c r="A4" s="1308"/>
      <c r="B4" s="1308"/>
      <c r="C4" s="1308"/>
      <c r="D4" s="1308"/>
      <c r="E4" s="1308"/>
      <c r="F4" s="1308"/>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75" x14ac:dyDescent="0.25">
      <c r="A5" s="824" t="s">
        <v>343</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5" x14ac:dyDescent="0.25">
      <c r="A6" s="825"/>
      <c r="B6" s="255" t="s">
        <v>116</v>
      </c>
      <c r="C6" s="825"/>
      <c r="D6" s="825"/>
      <c r="E6" s="825"/>
      <c r="F6" s="828"/>
      <c r="G6" s="240" t="s">
        <v>387</v>
      </c>
      <c r="H6" s="240" t="s">
        <v>387</v>
      </c>
      <c r="I6" s="240" t="s">
        <v>387</v>
      </c>
      <c r="J6" s="240" t="s">
        <v>387</v>
      </c>
      <c r="K6" s="240" t="s">
        <v>387</v>
      </c>
      <c r="L6" s="240" t="s">
        <v>387</v>
      </c>
      <c r="M6" s="240" t="s">
        <v>387</v>
      </c>
      <c r="N6" s="240" t="s">
        <v>387</v>
      </c>
      <c r="O6" s="240" t="s">
        <v>387</v>
      </c>
      <c r="P6" s="240" t="s">
        <v>399</v>
      </c>
      <c r="Q6" s="240" t="s">
        <v>399</v>
      </c>
      <c r="R6" s="240" t="s">
        <v>399</v>
      </c>
      <c r="S6" s="240" t="s">
        <v>399</v>
      </c>
      <c r="T6" s="240" t="s">
        <v>399</v>
      </c>
      <c r="U6" s="556" t="s">
        <v>399</v>
      </c>
      <c r="V6" s="240" t="s">
        <v>387</v>
      </c>
      <c r="W6" s="240" t="s">
        <v>387</v>
      </c>
      <c r="X6" s="240" t="s">
        <v>387</v>
      </c>
      <c r="Y6" s="240" t="s">
        <v>387</v>
      </c>
      <c r="Z6" s="240" t="s">
        <v>387</v>
      </c>
      <c r="AA6" s="240" t="s">
        <v>387</v>
      </c>
      <c r="AB6" s="240" t="s">
        <v>387</v>
      </c>
      <c r="AC6" s="240" t="s">
        <v>387</v>
      </c>
      <c r="AD6" s="240" t="s">
        <v>387</v>
      </c>
      <c r="AE6" s="240" t="s">
        <v>399</v>
      </c>
      <c r="AF6" s="240" t="s">
        <v>399</v>
      </c>
      <c r="AG6" s="240" t="s">
        <v>399</v>
      </c>
      <c r="AH6" s="240" t="s">
        <v>399</v>
      </c>
      <c r="AI6" s="240" t="s">
        <v>399</v>
      </c>
      <c r="AJ6" s="561" t="s">
        <v>399</v>
      </c>
    </row>
    <row r="7" spans="1:37" s="350" customFormat="1" ht="15" x14ac:dyDescent="0.25">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 thickBot="1" x14ac:dyDescent="0.3">
      <c r="A8" s="18" t="s">
        <v>1495</v>
      </c>
      <c r="B8" s="20" t="s">
        <v>35</v>
      </c>
      <c r="C8" s="7" t="s">
        <v>1456</v>
      </c>
      <c r="D8" s="7" t="s">
        <v>1518</v>
      </c>
      <c r="E8" s="12" t="s">
        <v>77</v>
      </c>
      <c r="F8" s="658" t="s">
        <v>1653</v>
      </c>
      <c r="G8" s="594" t="s">
        <v>1694</v>
      </c>
      <c r="H8" s="595" t="s">
        <v>1695</v>
      </c>
      <c r="I8" s="595" t="s">
        <v>1696</v>
      </c>
      <c r="J8" s="595" t="s">
        <v>1697</v>
      </c>
      <c r="K8" s="595" t="s">
        <v>1698</v>
      </c>
      <c r="L8" s="595" t="s">
        <v>1699</v>
      </c>
      <c r="M8" s="595" t="s">
        <v>1700</v>
      </c>
      <c r="N8" s="595" t="s">
        <v>1701</v>
      </c>
      <c r="O8" s="595" t="s">
        <v>1702</v>
      </c>
      <c r="P8" s="595" t="s">
        <v>1816</v>
      </c>
      <c r="Q8" s="595" t="s">
        <v>1817</v>
      </c>
      <c r="R8" s="595" t="s">
        <v>1818</v>
      </c>
      <c r="S8" s="595" t="s">
        <v>1819</v>
      </c>
      <c r="T8" s="595" t="s">
        <v>1820</v>
      </c>
      <c r="U8" s="596" t="s">
        <v>1821</v>
      </c>
      <c r="V8" s="594" t="s">
        <v>1703</v>
      </c>
      <c r="W8" s="595" t="s">
        <v>1704</v>
      </c>
      <c r="X8" s="595" t="s">
        <v>1705</v>
      </c>
      <c r="Y8" s="595" t="s">
        <v>1706</v>
      </c>
      <c r="Z8" s="595" t="s">
        <v>1707</v>
      </c>
      <c r="AA8" s="595" t="s">
        <v>1708</v>
      </c>
      <c r="AB8" s="595" t="s">
        <v>1709</v>
      </c>
      <c r="AC8" s="595" t="s">
        <v>1710</v>
      </c>
      <c r="AD8" s="595" t="s">
        <v>1711</v>
      </c>
      <c r="AE8" s="595" t="s">
        <v>1823</v>
      </c>
      <c r="AF8" s="595" t="s">
        <v>1824</v>
      </c>
      <c r="AG8" s="595" t="s">
        <v>1825</v>
      </c>
      <c r="AH8" s="595" t="s">
        <v>1826</v>
      </c>
      <c r="AI8" s="595" t="s">
        <v>1827</v>
      </c>
      <c r="AJ8" s="1049" t="s">
        <v>1828</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6" customWidth="1"/>
    <col min="2" max="2" width="8.7109375" style="323" customWidth="1"/>
    <col min="3" max="3" width="31.5703125" style="326" customWidth="1"/>
    <col min="4" max="4" width="13.28515625" style="326" customWidth="1"/>
    <col min="5" max="5" width="14.7109375" style="326" customWidth="1"/>
    <col min="6" max="6" width="19.7109375" style="326" customWidth="1"/>
    <col min="7" max="7" width="16" style="324" customWidth="1"/>
    <col min="8" max="8" width="13" style="324" customWidth="1"/>
    <col min="9" max="9" width="13.5703125" style="324" customWidth="1"/>
    <col min="10" max="10" width="13.85546875" style="324" customWidth="1"/>
    <col min="11" max="11" width="10.5703125" style="324" customWidth="1"/>
    <col min="12" max="12" width="8.85546875" style="324" customWidth="1"/>
    <col min="13" max="13" width="12.5703125" style="324" customWidth="1"/>
    <col min="14" max="14" width="14.28515625" style="324" customWidth="1"/>
    <col min="15" max="15" width="14.140625" style="324" customWidth="1"/>
    <col min="16" max="16" width="15.140625" style="324" customWidth="1"/>
    <col min="17" max="17" width="14.85546875" style="324" customWidth="1"/>
    <col min="18" max="18" width="10.28515625" style="324" customWidth="1"/>
    <col min="19" max="19" width="10.7109375" style="324" customWidth="1"/>
    <col min="20" max="20" width="10.42578125" style="324" customWidth="1"/>
    <col min="21" max="21" width="9.5703125" style="324" customWidth="1"/>
    <col min="22" max="22" width="19.42578125" style="324" customWidth="1"/>
    <col min="23" max="23" width="15.42578125" style="324" customWidth="1"/>
    <col min="24" max="24" width="13.28515625" style="324" customWidth="1"/>
    <col min="25" max="25" width="16.42578125" style="324" customWidth="1"/>
    <col min="26" max="26" width="11.42578125" style="324" customWidth="1"/>
    <col min="27" max="27" width="10.42578125" style="324" customWidth="1"/>
    <col min="28" max="28" width="14" style="324" customWidth="1"/>
    <col min="29" max="29" width="9.85546875" style="324" customWidth="1"/>
    <col min="30" max="30" width="10.140625" style="324" customWidth="1"/>
    <col min="31" max="32" width="10" style="324" customWidth="1"/>
    <col min="33" max="33" width="12" style="324" customWidth="1"/>
    <col min="34" max="34" width="12.28515625" style="324" customWidth="1"/>
    <col min="35" max="35" width="12.140625" style="324" customWidth="1"/>
    <col min="36" max="36" width="12.28515625" style="324" customWidth="1"/>
    <col min="37" max="16384" width="9.140625" style="324"/>
  </cols>
  <sheetData>
    <row r="1" spans="1:36" s="334" customFormat="1" ht="18.75" x14ac:dyDescent="0.3">
      <c r="A1" s="803" t="s">
        <v>553</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25">
      <c r="A2" s="816" t="s">
        <v>615</v>
      </c>
      <c r="B2" s="58"/>
      <c r="C2" s="829"/>
      <c r="E2" s="674"/>
      <c r="F2" s="674"/>
      <c r="G2" s="40"/>
      <c r="H2" s="601"/>
      <c r="I2" s="40"/>
      <c r="J2" s="40"/>
      <c r="K2" s="40"/>
      <c r="L2" s="40"/>
      <c r="M2" s="60"/>
      <c r="N2" s="60"/>
      <c r="O2" s="60"/>
      <c r="P2" s="60"/>
      <c r="Q2" s="60"/>
      <c r="R2" s="60"/>
      <c r="S2" s="60"/>
      <c r="T2" s="60"/>
      <c r="U2" s="490"/>
      <c r="V2" s="993" t="s">
        <v>534</v>
      </c>
      <c r="W2" s="993" t="s">
        <v>534</v>
      </c>
      <c r="X2" s="993" t="s">
        <v>534</v>
      </c>
      <c r="Y2" s="993" t="s">
        <v>534</v>
      </c>
      <c r="Z2" s="993" t="s">
        <v>534</v>
      </c>
      <c r="AA2" s="993" t="s">
        <v>534</v>
      </c>
      <c r="AB2" s="993" t="s">
        <v>534</v>
      </c>
      <c r="AC2" s="993" t="s">
        <v>534</v>
      </c>
      <c r="AD2" s="993" t="s">
        <v>534</v>
      </c>
      <c r="AE2" s="993" t="s">
        <v>534</v>
      </c>
      <c r="AF2" s="993" t="s">
        <v>534</v>
      </c>
      <c r="AG2" s="993" t="s">
        <v>534</v>
      </c>
      <c r="AH2" s="993" t="s">
        <v>534</v>
      </c>
      <c r="AI2" s="994" t="s">
        <v>534</v>
      </c>
      <c r="AJ2" s="995" t="s">
        <v>534</v>
      </c>
    </row>
    <row r="3" spans="1:36" s="334" customFormat="1" ht="15.75" x14ac:dyDescent="0.25">
      <c r="A3" s="624"/>
      <c r="B3" s="58"/>
      <c r="C3" s="829"/>
      <c r="D3" s="674"/>
      <c r="E3" s="674"/>
      <c r="F3" s="674"/>
      <c r="G3" s="40"/>
      <c r="H3" s="601"/>
      <c r="I3" s="40"/>
      <c r="J3" s="40"/>
      <c r="K3" s="40"/>
      <c r="L3" s="40"/>
      <c r="M3" s="60"/>
      <c r="N3" s="473"/>
      <c r="O3" s="473"/>
      <c r="P3" s="473"/>
      <c r="Q3" s="60"/>
      <c r="R3" s="60"/>
      <c r="S3" s="60"/>
      <c r="T3" s="60"/>
      <c r="U3" s="490"/>
      <c r="V3" s="1309"/>
      <c r="W3" s="1309"/>
      <c r="X3" s="40"/>
      <c r="Y3" s="40"/>
      <c r="Z3" s="40"/>
      <c r="AA3" s="40"/>
      <c r="AB3" s="60"/>
      <c r="AC3" s="473"/>
      <c r="AD3" s="473"/>
      <c r="AE3" s="473"/>
      <c r="AF3" s="60"/>
      <c r="AG3" s="60"/>
      <c r="AH3" s="60"/>
      <c r="AI3" s="60"/>
      <c r="AJ3" s="335"/>
    </row>
    <row r="4" spans="1:36" s="334" customFormat="1" ht="27" customHeight="1" x14ac:dyDescent="0.25">
      <c r="A4" s="70"/>
      <c r="B4" s="64"/>
      <c r="C4" s="829"/>
      <c r="D4" s="70"/>
      <c r="E4" s="70"/>
      <c r="F4" s="831"/>
      <c r="G4" s="60"/>
      <c r="H4" s="602"/>
      <c r="I4" s="602"/>
      <c r="J4" s="602"/>
      <c r="K4" s="602"/>
      <c r="L4" s="602"/>
      <c r="M4" s="603"/>
      <c r="N4" s="602"/>
      <c r="O4" s="602"/>
      <c r="P4" s="602"/>
      <c r="Q4" s="602"/>
      <c r="R4" s="602"/>
      <c r="S4" s="602"/>
      <c r="T4" s="602"/>
      <c r="U4" s="604"/>
      <c r="V4" s="1309"/>
      <c r="W4" s="1309"/>
      <c r="X4" s="602"/>
      <c r="Y4" s="602"/>
      <c r="Z4" s="602"/>
      <c r="AA4" s="602"/>
      <c r="AB4" s="603"/>
      <c r="AC4" s="602"/>
      <c r="AD4" s="602"/>
      <c r="AE4" s="602"/>
      <c r="AF4" s="602"/>
      <c r="AG4" s="602"/>
      <c r="AH4" s="602"/>
      <c r="AI4" s="602"/>
      <c r="AJ4" s="605"/>
    </row>
    <row r="5" spans="1:36" s="334" customFormat="1" ht="15.75" x14ac:dyDescent="0.25">
      <c r="A5" s="1267" t="s">
        <v>343</v>
      </c>
      <c r="B5" s="1268"/>
      <c r="C5" s="1313"/>
      <c r="D5" s="832" t="s">
        <v>85</v>
      </c>
      <c r="E5" s="833"/>
      <c r="F5" s="833"/>
      <c r="G5" s="385"/>
      <c r="H5" s="385"/>
      <c r="I5" s="385"/>
      <c r="J5" s="385"/>
      <c r="K5" s="385"/>
      <c r="L5" s="385"/>
      <c r="M5" s="385"/>
      <c r="N5" s="385"/>
      <c r="O5" s="385"/>
      <c r="P5" s="385"/>
      <c r="Q5" s="385"/>
      <c r="R5" s="385"/>
      <c r="S5" s="385"/>
      <c r="T5" s="385"/>
      <c r="U5" s="606"/>
      <c r="V5" s="1309"/>
      <c r="W5" s="1309"/>
      <c r="X5" s="607"/>
      <c r="Y5" s="607"/>
      <c r="Z5" s="607"/>
      <c r="AA5" s="607"/>
      <c r="AB5" s="607"/>
      <c r="AC5" s="607"/>
      <c r="AD5" s="607"/>
      <c r="AE5" s="607"/>
      <c r="AF5" s="607"/>
      <c r="AG5" s="607"/>
      <c r="AH5" s="607"/>
      <c r="AI5" s="607"/>
      <c r="AJ5" s="608"/>
    </row>
    <row r="6" spans="1:36" s="341" customFormat="1" ht="42.75" customHeight="1" x14ac:dyDescent="0.25">
      <c r="A6" s="734"/>
      <c r="B6" s="255" t="s">
        <v>116</v>
      </c>
      <c r="C6" s="702"/>
      <c r="D6" s="702"/>
      <c r="E6" s="702"/>
      <c r="F6" s="702"/>
      <c r="G6" s="1197" t="s">
        <v>137</v>
      </c>
      <c r="H6" s="1197"/>
      <c r="I6" s="1197"/>
      <c r="J6" s="609" t="s">
        <v>124</v>
      </c>
      <c r="K6" s="1197" t="s">
        <v>40</v>
      </c>
      <c r="L6" s="1314"/>
      <c r="M6" s="1314"/>
      <c r="N6" s="388" t="s">
        <v>119</v>
      </c>
      <c r="O6" s="388" t="s">
        <v>91</v>
      </c>
      <c r="P6" s="388" t="s">
        <v>119</v>
      </c>
      <c r="Q6" s="388" t="s">
        <v>91</v>
      </c>
      <c r="R6" s="388" t="s">
        <v>1011</v>
      </c>
      <c r="S6" s="388" t="s">
        <v>1013</v>
      </c>
      <c r="T6" s="388" t="s">
        <v>1011</v>
      </c>
      <c r="U6" s="610" t="s">
        <v>1013</v>
      </c>
      <c r="V6" s="611"/>
      <c r="W6" s="611"/>
      <c r="X6" s="611"/>
      <c r="Y6" s="612"/>
      <c r="Z6" s="1194"/>
      <c r="AA6" s="1195"/>
      <c r="AB6" s="428"/>
      <c r="AC6" s="313"/>
      <c r="AD6" s="313"/>
      <c r="AE6" s="313"/>
      <c r="AF6" s="313"/>
      <c r="AG6" s="313"/>
      <c r="AH6" s="313"/>
      <c r="AI6" s="62"/>
      <c r="AJ6" s="339"/>
    </row>
    <row r="7" spans="1:36" s="334" customFormat="1" ht="25.9" customHeight="1" x14ac:dyDescent="0.25">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10" t="s">
        <v>80</v>
      </c>
      <c r="O7" s="1310"/>
      <c r="P7" s="1310" t="s">
        <v>81</v>
      </c>
      <c r="Q7" s="1310"/>
      <c r="R7" s="1310" t="s">
        <v>131</v>
      </c>
      <c r="S7" s="1310"/>
      <c r="T7" s="1311" t="s">
        <v>130</v>
      </c>
      <c r="U7" s="1312"/>
      <c r="V7" s="40"/>
      <c r="W7" s="613"/>
      <c r="X7" s="504"/>
      <c r="Y7" s="504"/>
      <c r="Z7" s="504"/>
      <c r="AA7" s="504"/>
      <c r="AB7" s="395"/>
      <c r="AC7" s="1310" t="s">
        <v>80</v>
      </c>
      <c r="AD7" s="1310"/>
      <c r="AE7" s="1310" t="s">
        <v>81</v>
      </c>
      <c r="AF7" s="1310"/>
      <c r="AG7" s="1310" t="s">
        <v>131</v>
      </c>
      <c r="AH7" s="1310"/>
      <c r="AI7" s="1315" t="s">
        <v>130</v>
      </c>
      <c r="AJ7" s="1316"/>
    </row>
    <row r="8" spans="1:36" s="334" customFormat="1" ht="45.6" customHeight="1" thickBot="1" x14ac:dyDescent="0.3">
      <c r="A8" s="18" t="s">
        <v>1495</v>
      </c>
      <c r="B8" s="20" t="s">
        <v>35</v>
      </c>
      <c r="C8" s="7" t="s">
        <v>1456</v>
      </c>
      <c r="D8" s="657" t="s">
        <v>1712</v>
      </c>
      <c r="E8" s="12" t="s">
        <v>1518</v>
      </c>
      <c r="F8" s="7" t="s">
        <v>1713</v>
      </c>
      <c r="G8" s="6" t="s">
        <v>1714</v>
      </c>
      <c r="H8" s="6" t="s">
        <v>1715</v>
      </c>
      <c r="I8" s="6" t="s">
        <v>1717</v>
      </c>
      <c r="J8" s="39" t="s">
        <v>1716</v>
      </c>
      <c r="K8" s="6" t="s">
        <v>1718</v>
      </c>
      <c r="L8" s="6" t="s">
        <v>1722</v>
      </c>
      <c r="M8" s="6" t="s">
        <v>1719</v>
      </c>
      <c r="N8" s="6" t="s">
        <v>1720</v>
      </c>
      <c r="O8" s="6" t="s">
        <v>1721</v>
      </c>
      <c r="P8" s="6" t="s">
        <v>1723</v>
      </c>
      <c r="Q8" s="6" t="s">
        <v>1724</v>
      </c>
      <c r="R8" s="6" t="s">
        <v>1726</v>
      </c>
      <c r="S8" s="6" t="s">
        <v>1725</v>
      </c>
      <c r="T8" s="6" t="s">
        <v>1727</v>
      </c>
      <c r="U8" s="499" t="s">
        <v>1728</v>
      </c>
      <c r="V8" s="6" t="s">
        <v>1714</v>
      </c>
      <c r="W8" s="6" t="s">
        <v>1729</v>
      </c>
      <c r="X8" s="6" t="s">
        <v>1730</v>
      </c>
      <c r="Y8" s="6" t="s">
        <v>1832</v>
      </c>
      <c r="Z8" s="6" t="s">
        <v>1731</v>
      </c>
      <c r="AA8" s="6" t="s">
        <v>1732</v>
      </c>
      <c r="AB8" s="6" t="s">
        <v>1733</v>
      </c>
      <c r="AC8" s="6" t="s">
        <v>1734</v>
      </c>
      <c r="AD8" s="6" t="s">
        <v>1735</v>
      </c>
      <c r="AE8" s="6" t="s">
        <v>1736</v>
      </c>
      <c r="AF8" s="6" t="s">
        <v>1737</v>
      </c>
      <c r="AG8" s="6" t="s">
        <v>1738</v>
      </c>
      <c r="AH8" s="6" t="s">
        <v>1739</v>
      </c>
      <c r="AI8" s="6" t="s">
        <v>1740</v>
      </c>
      <c r="AJ8" s="499" t="s">
        <v>1741</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6" customWidth="1"/>
    <col min="2" max="2" width="20.85546875" style="323" customWidth="1"/>
    <col min="3" max="3" width="24.85546875" style="326" customWidth="1"/>
    <col min="4" max="4" width="27.85546875" style="326" customWidth="1"/>
    <col min="5" max="5" width="20.42578125" style="324" customWidth="1"/>
    <col min="6" max="6" width="19.85546875" style="326" customWidth="1"/>
    <col min="7" max="16384" width="9.140625" style="324"/>
  </cols>
  <sheetData>
    <row r="1" spans="1:6" s="350" customFormat="1" ht="18.75" x14ac:dyDescent="0.3">
      <c r="A1" s="803" t="s">
        <v>554</v>
      </c>
      <c r="B1" s="284"/>
      <c r="C1" s="806"/>
      <c r="D1" s="830"/>
      <c r="E1" s="598"/>
      <c r="F1" s="837"/>
    </row>
    <row r="2" spans="1:6" s="350" customFormat="1" ht="15.75" x14ac:dyDescent="0.25">
      <c r="A2" s="991" t="s">
        <v>615</v>
      </c>
      <c r="B2" s="986"/>
      <c r="C2" s="987"/>
      <c r="D2" s="988"/>
      <c r="E2" s="989"/>
      <c r="F2" s="990"/>
    </row>
    <row r="3" spans="1:6" s="350" customFormat="1" ht="15" x14ac:dyDescent="0.25">
      <c r="B3" s="285"/>
      <c r="C3" s="829"/>
      <c r="D3" s="835"/>
      <c r="E3" s="536"/>
      <c r="F3" s="838"/>
    </row>
    <row r="4" spans="1:6" s="350" customFormat="1" ht="45" customHeight="1" x14ac:dyDescent="0.25">
      <c r="A4" s="1322" t="s">
        <v>482</v>
      </c>
      <c r="B4" s="1322"/>
      <c r="C4" s="1322"/>
      <c r="D4" s="992"/>
      <c r="E4" s="534"/>
      <c r="F4" s="839"/>
    </row>
    <row r="5" spans="1:6" s="350" customFormat="1" ht="15.75" x14ac:dyDescent="0.25">
      <c r="A5" s="1319" t="s">
        <v>343</v>
      </c>
      <c r="B5" s="1320"/>
      <c r="C5" s="1321"/>
      <c r="D5" s="835"/>
      <c r="E5" s="536"/>
      <c r="F5" s="838"/>
    </row>
    <row r="6" spans="1:6" s="350" customFormat="1" ht="15.75" x14ac:dyDescent="0.25">
      <c r="A6" s="734"/>
      <c r="B6" s="248" t="s">
        <v>116</v>
      </c>
      <c r="C6" s="25"/>
      <c r="D6" s="1317"/>
      <c r="E6" s="1317"/>
      <c r="F6" s="840"/>
    </row>
    <row r="7" spans="1:6" s="350" customFormat="1" ht="15" x14ac:dyDescent="0.25">
      <c r="A7" s="1318"/>
      <c r="B7" s="1318"/>
      <c r="C7" s="834"/>
      <c r="D7" s="836"/>
      <c r="E7" s="614"/>
      <c r="F7" s="841"/>
    </row>
    <row r="8" spans="1:6" s="350" customFormat="1" ht="15.75" thickBot="1" x14ac:dyDescent="0.3">
      <c r="A8" s="18" t="s">
        <v>1495</v>
      </c>
      <c r="B8" s="20" t="s">
        <v>35</v>
      </c>
      <c r="C8" s="7" t="s">
        <v>1456</v>
      </c>
      <c r="D8" s="12" t="s">
        <v>1744</v>
      </c>
      <c r="E8" s="39" t="s">
        <v>1742</v>
      </c>
      <c r="F8" s="842" t="s">
        <v>1743</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6" customWidth="1"/>
    <col min="2" max="2" width="16.42578125" style="323" customWidth="1"/>
    <col min="3" max="3" width="18.85546875" style="326" customWidth="1"/>
    <col min="4" max="4" width="18.5703125" style="326" customWidth="1"/>
    <col min="5" max="5" width="16.85546875" style="326" customWidth="1"/>
    <col min="6" max="6" width="75.42578125" style="326" customWidth="1"/>
    <col min="7" max="16384" width="9.140625" style="324"/>
  </cols>
  <sheetData>
    <row r="1" spans="1:7" s="350" customFormat="1" ht="18.75" x14ac:dyDescent="0.3">
      <c r="A1" s="843" t="s">
        <v>483</v>
      </c>
      <c r="B1" s="286"/>
      <c r="C1" s="846"/>
      <c r="D1" s="846"/>
      <c r="E1" s="846"/>
      <c r="F1" s="847"/>
      <c r="G1" s="377"/>
    </row>
    <row r="2" spans="1:7" s="350" customFormat="1" ht="15" x14ac:dyDescent="0.25">
      <c r="A2" s="844"/>
      <c r="B2" s="273"/>
      <c r="C2" s="663"/>
      <c r="D2" s="663"/>
      <c r="E2" s="663"/>
      <c r="F2" s="848"/>
      <c r="G2" s="377"/>
    </row>
    <row r="3" spans="1:7" s="350" customFormat="1" ht="15" x14ac:dyDescent="0.25">
      <c r="A3" s="844"/>
      <c r="B3" s="273"/>
      <c r="C3" s="663"/>
      <c r="D3" s="663"/>
      <c r="E3" s="663"/>
      <c r="F3" s="848"/>
      <c r="G3" s="377"/>
    </row>
    <row r="4" spans="1:7" s="350" customFormat="1" ht="15" x14ac:dyDescent="0.25">
      <c r="A4" s="844"/>
      <c r="B4" s="273"/>
      <c r="C4" s="663"/>
      <c r="D4" s="663"/>
      <c r="E4" s="663"/>
      <c r="F4" s="848"/>
      <c r="G4" s="377"/>
    </row>
    <row r="5" spans="1:7" s="350" customFormat="1" ht="15.75" x14ac:dyDescent="0.25">
      <c r="A5" s="845" t="s">
        <v>149</v>
      </c>
      <c r="B5" s="287"/>
      <c r="C5" s="849"/>
      <c r="D5" s="849"/>
      <c r="E5" s="850"/>
      <c r="F5" s="851"/>
      <c r="G5" s="377"/>
    </row>
    <row r="6" spans="1:7" s="350" customFormat="1" ht="15" x14ac:dyDescent="0.25">
      <c r="A6" s="702"/>
      <c r="B6" s="255" t="s">
        <v>116</v>
      </c>
      <c r="C6" s="702"/>
      <c r="D6" s="702"/>
      <c r="E6" s="14"/>
      <c r="F6" s="852"/>
      <c r="G6" s="377"/>
    </row>
    <row r="7" spans="1:7" s="350" customFormat="1" ht="15" x14ac:dyDescent="0.25">
      <c r="A7" s="780"/>
      <c r="B7" s="64"/>
      <c r="C7" s="780"/>
      <c r="D7" s="780"/>
      <c r="E7" s="15"/>
      <c r="F7" s="853"/>
      <c r="G7" s="377"/>
    </row>
    <row r="8" spans="1:7" s="350" customFormat="1" ht="27" thickBot="1" x14ac:dyDescent="0.3">
      <c r="A8" s="7" t="s">
        <v>1431</v>
      </c>
      <c r="B8" s="20" t="s">
        <v>35</v>
      </c>
      <c r="C8" s="38" t="s">
        <v>1745</v>
      </c>
      <c r="D8" s="38" t="s">
        <v>1746</v>
      </c>
      <c r="E8" s="38" t="s">
        <v>2238</v>
      </c>
      <c r="F8" s="37" t="s">
        <v>150</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topLeftCell="Y13" zoomScaleNormal="100" workbookViewId="0">
      <selection activeCell="AJ7" sqref="AJ7"/>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3" customWidth="1"/>
    <col min="11" max="11" width="43.140625" style="13" customWidth="1"/>
    <col min="12" max="12" width="36.5703125" style="183"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83" bestFit="1" customWidth="1"/>
    <col min="23" max="23" width="35.5703125" style="183" bestFit="1" customWidth="1"/>
    <col min="24" max="24" width="26.28515625" style="13" bestFit="1" customWidth="1"/>
    <col min="25" max="25" width="25.5703125" style="183" bestFit="1" customWidth="1"/>
    <col min="26" max="26" width="15" style="183" bestFit="1" customWidth="1"/>
    <col min="27" max="27" width="7.42578125" style="865" customWidth="1"/>
    <col min="28" max="28" width="35.42578125" style="13" bestFit="1" customWidth="1"/>
    <col min="29" max="29" width="16.140625" style="183" bestFit="1" customWidth="1"/>
    <col min="30" max="30" width="43.85546875" style="13" customWidth="1"/>
    <col min="31" max="31" width="37.140625" style="13" bestFit="1" customWidth="1"/>
    <col min="32" max="32" width="11.85546875" style="4" customWidth="1"/>
    <col min="33" max="33" width="11.7109375" style="104" customWidth="1"/>
    <col min="34" max="34" width="23.28515625" style="104" customWidth="1"/>
    <col min="35" max="35" width="11.7109375" style="104" customWidth="1"/>
    <col min="36" max="36" width="9.140625" style="104"/>
    <col min="37" max="16384" width="9.140625" style="4"/>
  </cols>
  <sheetData>
    <row r="1" spans="1:36" x14ac:dyDescent="0.25">
      <c r="A1" s="31"/>
      <c r="J1" s="181"/>
      <c r="L1" s="181"/>
      <c r="V1" s="182"/>
      <c r="W1" s="181"/>
      <c r="Y1" s="182"/>
      <c r="Z1" s="181"/>
      <c r="AC1" s="181"/>
    </row>
    <row r="2" spans="1:36" x14ac:dyDescent="0.25">
      <c r="A2" s="31"/>
      <c r="J2" s="181"/>
      <c r="V2" s="182"/>
      <c r="W2" s="181"/>
      <c r="Y2" s="182"/>
      <c r="Z2" s="181"/>
      <c r="AC2" s="181"/>
    </row>
    <row r="3" spans="1:36" x14ac:dyDescent="0.25">
      <c r="A3" s="31"/>
      <c r="J3" s="181"/>
      <c r="V3" s="182"/>
      <c r="W3" s="181"/>
      <c r="Y3" s="182"/>
      <c r="Z3" s="181"/>
      <c r="AC3" s="181"/>
    </row>
    <row r="4" spans="1:36" x14ac:dyDescent="0.25">
      <c r="A4" s="31"/>
      <c r="J4" s="181"/>
      <c r="L4" s="181"/>
      <c r="V4" s="182"/>
      <c r="W4" s="181"/>
      <c r="Y4" s="182"/>
      <c r="Z4" s="181"/>
      <c r="AC4" s="181"/>
    </row>
    <row r="5" spans="1:36" ht="16.5" customHeight="1" x14ac:dyDescent="0.25">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
      <c r="A7" s="1138"/>
      <c r="B7" s="1139" t="s">
        <v>488</v>
      </c>
      <c r="C7" s="191" t="s">
        <v>468</v>
      </c>
      <c r="D7" s="191" t="s">
        <v>279</v>
      </c>
      <c r="E7" s="191" t="s">
        <v>159</v>
      </c>
      <c r="F7" s="191" t="s">
        <v>83</v>
      </c>
      <c r="G7" s="191" t="s">
        <v>79</v>
      </c>
      <c r="H7" s="191" t="s">
        <v>504</v>
      </c>
      <c r="I7" s="191" t="s">
        <v>166</v>
      </c>
      <c r="J7" s="191" t="s">
        <v>377</v>
      </c>
      <c r="K7" s="191" t="s">
        <v>77</v>
      </c>
      <c r="L7" s="191" t="s">
        <v>128</v>
      </c>
      <c r="M7" s="191" t="s">
        <v>342</v>
      </c>
      <c r="N7" s="1140" t="s">
        <v>155</v>
      </c>
      <c r="O7" s="191" t="s">
        <v>76</v>
      </c>
      <c r="P7" s="191" t="s">
        <v>398</v>
      </c>
      <c r="Q7" s="191" t="s">
        <v>120</v>
      </c>
      <c r="R7" s="1140" t="s">
        <v>126</v>
      </c>
      <c r="S7" s="191" t="s">
        <v>183</v>
      </c>
      <c r="T7" s="191" t="s">
        <v>383</v>
      </c>
      <c r="U7" s="192" t="s">
        <v>184</v>
      </c>
      <c r="V7" s="191" t="s">
        <v>529</v>
      </c>
      <c r="W7" s="191" t="s">
        <v>466</v>
      </c>
      <c r="X7" s="191" t="s">
        <v>899</v>
      </c>
      <c r="Y7" s="1141" t="s">
        <v>125</v>
      </c>
      <c r="Z7" s="191" t="s">
        <v>70</v>
      </c>
      <c r="AA7" s="1142" t="s">
        <v>127</v>
      </c>
      <c r="AB7" s="191" t="s">
        <v>84</v>
      </c>
      <c r="AC7" s="191" t="s">
        <v>129</v>
      </c>
      <c r="AD7" s="910" t="s">
        <v>338</v>
      </c>
      <c r="AE7" s="193" t="s">
        <v>505</v>
      </c>
      <c r="AF7" s="294" t="s">
        <v>1287</v>
      </c>
      <c r="AG7" s="294" t="s">
        <v>2259</v>
      </c>
      <c r="AH7" s="294" t="s">
        <v>200</v>
      </c>
      <c r="AI7" s="294" t="s">
        <v>2254</v>
      </c>
      <c r="AJ7" s="193" t="s">
        <v>2293</v>
      </c>
    </row>
    <row r="8" spans="1:36" s="5" customFormat="1" x14ac:dyDescent="0.25">
      <c r="A8" s="296"/>
      <c r="B8" s="1032" t="s">
        <v>835</v>
      </c>
      <c r="C8" s="293" t="s">
        <v>874</v>
      </c>
      <c r="D8" s="293" t="s">
        <v>1078</v>
      </c>
      <c r="E8" s="293" t="s">
        <v>160</v>
      </c>
      <c r="F8" s="912" t="s">
        <v>1360</v>
      </c>
      <c r="G8" s="293" t="s">
        <v>1126</v>
      </c>
      <c r="H8" s="293" t="s">
        <v>158</v>
      </c>
      <c r="I8" s="293" t="s">
        <v>1001</v>
      </c>
      <c r="J8" s="293" t="s">
        <v>1129</v>
      </c>
      <c r="K8" s="293" t="s">
        <v>1141</v>
      </c>
      <c r="L8" s="1032" t="s">
        <v>92</v>
      </c>
      <c r="M8" s="293" t="s">
        <v>1190</v>
      </c>
      <c r="N8" s="293" t="s">
        <v>158</v>
      </c>
      <c r="O8" s="293" t="s">
        <v>1191</v>
      </c>
      <c r="P8" s="293" t="s">
        <v>1198</v>
      </c>
      <c r="Q8" s="293" t="s">
        <v>880</v>
      </c>
      <c r="R8" s="293" t="s">
        <v>1076</v>
      </c>
      <c r="S8" s="293" t="s">
        <v>877</v>
      </c>
      <c r="T8" s="293" t="s">
        <v>1208</v>
      </c>
      <c r="U8" s="293" t="s">
        <v>948</v>
      </c>
      <c r="V8" s="293" t="s">
        <v>531</v>
      </c>
      <c r="W8" s="293" t="s">
        <v>513</v>
      </c>
      <c r="X8" s="293" t="s">
        <v>1235</v>
      </c>
      <c r="Y8" s="293" t="s">
        <v>1241</v>
      </c>
      <c r="Z8" s="293" t="s">
        <v>141</v>
      </c>
      <c r="AA8" s="868">
        <v>0</v>
      </c>
      <c r="AB8" s="293" t="s">
        <v>959</v>
      </c>
      <c r="AC8" s="907" t="s">
        <v>801</v>
      </c>
      <c r="AD8" s="312" t="s">
        <v>1280</v>
      </c>
      <c r="AE8" s="908" t="s">
        <v>965</v>
      </c>
      <c r="AF8" s="293" t="s">
        <v>141</v>
      </c>
      <c r="AG8" s="312" t="s">
        <v>2257</v>
      </c>
      <c r="AH8" s="312" t="s">
        <v>2258</v>
      </c>
      <c r="AI8" s="312" t="s">
        <v>2260</v>
      </c>
      <c r="AJ8" s="1132">
        <v>0</v>
      </c>
    </row>
    <row r="9" spans="1:36" x14ac:dyDescent="0.25">
      <c r="A9" s="196"/>
      <c r="B9" s="1032" t="s">
        <v>836</v>
      </c>
      <c r="C9" s="293" t="s">
        <v>875</v>
      </c>
      <c r="D9" s="293" t="s">
        <v>351</v>
      </c>
      <c r="E9" s="293" t="s">
        <v>161</v>
      </c>
      <c r="F9" s="911" t="s">
        <v>87</v>
      </c>
      <c r="G9" s="293" t="s">
        <v>944</v>
      </c>
      <c r="H9" s="293" t="s">
        <v>156</v>
      </c>
      <c r="I9" s="293" t="s">
        <v>945</v>
      </c>
      <c r="J9" s="293" t="s">
        <v>1130</v>
      </c>
      <c r="K9" s="293" t="s">
        <v>1142</v>
      </c>
      <c r="L9" s="1032" t="s">
        <v>1176</v>
      </c>
      <c r="M9" s="293" t="s">
        <v>143</v>
      </c>
      <c r="N9" s="293" t="s">
        <v>156</v>
      </c>
      <c r="O9" s="293" t="s">
        <v>938</v>
      </c>
      <c r="P9" s="293" t="s">
        <v>1199</v>
      </c>
      <c r="Q9" s="293" t="s">
        <v>171</v>
      </c>
      <c r="R9" s="293" t="s">
        <v>1310</v>
      </c>
      <c r="S9" s="293" t="s">
        <v>362</v>
      </c>
      <c r="T9" s="293" t="s">
        <v>1209</v>
      </c>
      <c r="U9" s="293" t="s">
        <v>344</v>
      </c>
      <c r="V9" s="293" t="s">
        <v>532</v>
      </c>
      <c r="W9" s="293" t="s">
        <v>514</v>
      </c>
      <c r="X9" s="293" t="s">
        <v>1236</v>
      </c>
      <c r="Y9" s="293" t="s">
        <v>928</v>
      </c>
      <c r="Z9" s="293" t="s">
        <v>142</v>
      </c>
      <c r="AA9" s="868">
        <v>1</v>
      </c>
      <c r="AB9" s="293" t="s">
        <v>958</v>
      </c>
      <c r="AC9" s="907" t="s">
        <v>796</v>
      </c>
      <c r="AD9" s="312" t="s">
        <v>1281</v>
      </c>
      <c r="AE9" s="908" t="s">
        <v>960</v>
      </c>
      <c r="AF9" s="293" t="s">
        <v>140</v>
      </c>
      <c r="AG9" s="312" t="s">
        <v>2261</v>
      </c>
      <c r="AH9" s="312" t="s">
        <v>2262</v>
      </c>
      <c r="AI9" s="312" t="s">
        <v>2263</v>
      </c>
      <c r="AJ9" s="1132">
        <v>1</v>
      </c>
    </row>
    <row r="10" spans="1:36" x14ac:dyDescent="0.25">
      <c r="A10" s="196"/>
      <c r="B10" s="1033" t="s">
        <v>1375</v>
      </c>
      <c r="C10" s="293" t="s">
        <v>1074</v>
      </c>
      <c r="D10" s="293" t="s">
        <v>1079</v>
      </c>
      <c r="E10" s="293" t="s">
        <v>162</v>
      </c>
      <c r="F10" s="912" t="s">
        <v>1361</v>
      </c>
      <c r="G10" s="293" t="s">
        <v>937</v>
      </c>
      <c r="H10" s="293" t="s">
        <v>157</v>
      </c>
      <c r="I10" s="911" t="s">
        <v>946</v>
      </c>
      <c r="J10" s="293" t="s">
        <v>1131</v>
      </c>
      <c r="K10" s="312" t="s">
        <v>1363</v>
      </c>
      <c r="L10" s="1032" t="s">
        <v>825</v>
      </c>
      <c r="M10" s="293" t="s">
        <v>72</v>
      </c>
      <c r="N10" s="293" t="s">
        <v>157</v>
      </c>
      <c r="O10" s="293" t="s">
        <v>916</v>
      </c>
      <c r="P10" s="293" t="s">
        <v>1200</v>
      </c>
      <c r="Q10" s="293" t="s">
        <v>173</v>
      </c>
      <c r="R10" s="293" t="s">
        <v>1311</v>
      </c>
      <c r="S10" s="293" t="s">
        <v>363</v>
      </c>
      <c r="T10" s="293" t="s">
        <v>1210</v>
      </c>
      <c r="U10" s="293" t="s">
        <v>947</v>
      </c>
      <c r="V10" s="293" t="s">
        <v>503</v>
      </c>
      <c r="W10" s="293" t="s">
        <v>515</v>
      </c>
      <c r="X10" s="293" t="s">
        <v>898</v>
      </c>
      <c r="Y10" s="293" t="s">
        <v>927</v>
      </c>
      <c r="Z10" s="293" t="s">
        <v>140</v>
      </c>
      <c r="AA10" s="868">
        <v>2</v>
      </c>
      <c r="AB10" s="293" t="s">
        <v>1274</v>
      </c>
      <c r="AC10" s="907" t="s">
        <v>797</v>
      </c>
      <c r="AD10" s="312" t="s">
        <v>345</v>
      </c>
      <c r="AE10" s="908" t="s">
        <v>967</v>
      </c>
      <c r="AF10" s="293"/>
      <c r="AG10" s="312" t="s">
        <v>2264</v>
      </c>
      <c r="AH10" s="312" t="s">
        <v>2265</v>
      </c>
      <c r="AI10" s="312" t="s">
        <v>2266</v>
      </c>
    </row>
    <row r="11" spans="1:36" ht="17.25" x14ac:dyDescent="0.25">
      <c r="A11" s="196"/>
      <c r="B11" s="1033" t="s">
        <v>1343</v>
      </c>
      <c r="C11" s="293" t="s">
        <v>1075</v>
      </c>
      <c r="D11" s="293" t="s">
        <v>352</v>
      </c>
      <c r="E11" s="293" t="s">
        <v>1121</v>
      </c>
      <c r="F11" s="293" t="s">
        <v>123</v>
      </c>
      <c r="G11" s="293"/>
      <c r="H11" s="293"/>
      <c r="I11" s="912" t="s">
        <v>1323</v>
      </c>
      <c r="J11" s="293" t="s">
        <v>1132</v>
      </c>
      <c r="K11" s="312" t="s">
        <v>1364</v>
      </c>
      <c r="L11" s="1033" t="s">
        <v>1424</v>
      </c>
      <c r="M11" s="293" t="s">
        <v>197</v>
      </c>
      <c r="N11" s="293" t="s">
        <v>143</v>
      </c>
      <c r="O11" s="293" t="s">
        <v>917</v>
      </c>
      <c r="P11" s="293" t="s">
        <v>491</v>
      </c>
      <c r="Q11" s="293" t="s">
        <v>122</v>
      </c>
      <c r="R11" s="293" t="s">
        <v>1312</v>
      </c>
      <c r="S11" s="912" t="s">
        <v>1330</v>
      </c>
      <c r="T11" s="293" t="s">
        <v>1211</v>
      </c>
      <c r="U11" s="293" t="s">
        <v>1300</v>
      </c>
      <c r="V11" s="293" t="s">
        <v>530</v>
      </c>
      <c r="W11" s="293" t="s">
        <v>516</v>
      </c>
      <c r="X11" s="293" t="s">
        <v>1237</v>
      </c>
      <c r="Y11" s="293" t="s">
        <v>1242</v>
      </c>
      <c r="Z11" s="293"/>
      <c r="AA11" s="868">
        <v>3</v>
      </c>
      <c r="AB11" s="293" t="s">
        <v>951</v>
      </c>
      <c r="AC11" s="907" t="s">
        <v>143</v>
      </c>
      <c r="AD11" s="312" t="s">
        <v>344</v>
      </c>
      <c r="AE11" s="908" t="s">
        <v>977</v>
      </c>
      <c r="AF11" s="293"/>
      <c r="AG11" s="312" t="s">
        <v>2267</v>
      </c>
      <c r="AH11" s="312" t="s">
        <v>2268</v>
      </c>
      <c r="AI11" s="312" t="s">
        <v>2269</v>
      </c>
    </row>
    <row r="12" spans="1:36" x14ac:dyDescent="0.25">
      <c r="A12" s="196"/>
      <c r="B12" s="1032" t="s">
        <v>1053</v>
      </c>
      <c r="C12" s="293" t="s">
        <v>876</v>
      </c>
      <c r="D12" s="293" t="s">
        <v>1080</v>
      </c>
      <c r="E12" s="293" t="s">
        <v>1122</v>
      </c>
      <c r="F12" s="293" t="s">
        <v>90</v>
      </c>
      <c r="G12" s="293"/>
      <c r="H12" s="293"/>
      <c r="I12" s="912" t="s">
        <v>1335</v>
      </c>
      <c r="J12" s="293" t="s">
        <v>1133</v>
      </c>
      <c r="K12" s="293" t="s">
        <v>1143</v>
      </c>
      <c r="L12" s="1032" t="s">
        <v>802</v>
      </c>
      <c r="M12" s="293"/>
      <c r="N12" s="293"/>
      <c r="O12" s="293" t="s">
        <v>918</v>
      </c>
      <c r="P12" s="293" t="s">
        <v>1201</v>
      </c>
      <c r="Q12" s="293" t="s">
        <v>1205</v>
      </c>
      <c r="R12" s="907"/>
      <c r="S12" s="312" t="s">
        <v>878</v>
      </c>
      <c r="T12" s="908" t="s">
        <v>498</v>
      </c>
      <c r="U12" s="312" t="s">
        <v>1321</v>
      </c>
      <c r="V12" s="1137" t="s">
        <v>2299</v>
      </c>
      <c r="W12" s="293" t="s">
        <v>517</v>
      </c>
      <c r="X12" s="293" t="s">
        <v>1238</v>
      </c>
      <c r="Y12" s="293" t="s">
        <v>1243</v>
      </c>
      <c r="Z12" s="293"/>
      <c r="AA12" s="868">
        <v>4</v>
      </c>
      <c r="AB12" s="293" t="s">
        <v>949</v>
      </c>
      <c r="AC12" s="907" t="s">
        <v>798</v>
      </c>
      <c r="AD12" s="312" t="s">
        <v>1293</v>
      </c>
      <c r="AE12" s="908" t="s">
        <v>964</v>
      </c>
      <c r="AF12" s="293"/>
      <c r="AG12" s="312" t="s">
        <v>2270</v>
      </c>
      <c r="AH12" s="312"/>
      <c r="AI12" s="312" t="s">
        <v>2271</v>
      </c>
    </row>
    <row r="13" spans="1:36" x14ac:dyDescent="0.25">
      <c r="A13" s="196"/>
      <c r="B13" s="1033" t="s">
        <v>1378</v>
      </c>
      <c r="C13" s="293" t="s">
        <v>170</v>
      </c>
      <c r="D13" s="293" t="s">
        <v>1081</v>
      </c>
      <c r="E13" s="293" t="s">
        <v>1123</v>
      </c>
      <c r="F13" s="293" t="s">
        <v>88</v>
      </c>
      <c r="G13" s="293"/>
      <c r="H13" s="293"/>
      <c r="I13" s="293" t="s">
        <v>1127</v>
      </c>
      <c r="J13" s="293" t="s">
        <v>143</v>
      </c>
      <c r="K13" s="293" t="s">
        <v>1144</v>
      </c>
      <c r="L13" s="1033" t="s">
        <v>1425</v>
      </c>
      <c r="M13" s="293"/>
      <c r="N13" s="293"/>
      <c r="O13" s="293" t="s">
        <v>110</v>
      </c>
      <c r="P13" s="293" t="s">
        <v>1202</v>
      </c>
      <c r="Q13" s="293" t="s">
        <v>1206</v>
      </c>
      <c r="R13" s="907"/>
      <c r="S13" s="312" t="s">
        <v>879</v>
      </c>
      <c r="T13" s="908" t="s">
        <v>1212</v>
      </c>
      <c r="U13" s="293"/>
      <c r="V13" s="312"/>
      <c r="W13" s="293" t="s">
        <v>1229</v>
      </c>
      <c r="X13" s="293" t="s">
        <v>1239</v>
      </c>
      <c r="Y13" s="293" t="s">
        <v>929</v>
      </c>
      <c r="Z13" s="293"/>
      <c r="AA13" s="868">
        <v>5</v>
      </c>
      <c r="AB13" s="293" t="s">
        <v>1275</v>
      </c>
      <c r="AC13" s="907" t="s">
        <v>341</v>
      </c>
      <c r="AD13" s="312" t="s">
        <v>1282</v>
      </c>
      <c r="AE13" s="908" t="s">
        <v>963</v>
      </c>
      <c r="AF13" s="293"/>
      <c r="AG13" s="312" t="s">
        <v>2272</v>
      </c>
      <c r="AH13" s="312"/>
      <c r="AI13" s="312" t="s">
        <v>2273</v>
      </c>
    </row>
    <row r="14" spans="1:36" x14ac:dyDescent="0.25">
      <c r="A14" s="196"/>
      <c r="B14" s="1032" t="s">
        <v>1054</v>
      </c>
      <c r="C14" s="293" t="s">
        <v>1076</v>
      </c>
      <c r="D14" s="293" t="s">
        <v>1082</v>
      </c>
      <c r="E14" s="293" t="s">
        <v>1124</v>
      </c>
      <c r="F14" s="293" t="s">
        <v>109</v>
      </c>
      <c r="G14" s="293"/>
      <c r="H14" s="907"/>
      <c r="I14" s="312" t="s">
        <v>1128</v>
      </c>
      <c r="J14" s="908" t="s">
        <v>1134</v>
      </c>
      <c r="K14" s="293" t="s">
        <v>107</v>
      </c>
      <c r="L14" s="1032" t="s">
        <v>803</v>
      </c>
      <c r="M14" s="293"/>
      <c r="N14" s="293"/>
      <c r="O14" s="293" t="s">
        <v>919</v>
      </c>
      <c r="P14" s="293" t="s">
        <v>492</v>
      </c>
      <c r="Q14" s="293" t="s">
        <v>175</v>
      </c>
      <c r="R14" s="293"/>
      <c r="S14" s="293"/>
      <c r="T14" s="293" t="s">
        <v>1213</v>
      </c>
      <c r="U14" s="293"/>
      <c r="V14" s="293"/>
      <c r="W14" s="293" t="s">
        <v>1230</v>
      </c>
      <c r="X14" s="293" t="s">
        <v>1240</v>
      </c>
      <c r="Y14" s="293" t="s">
        <v>189</v>
      </c>
      <c r="Z14" s="293"/>
      <c r="AA14" s="868">
        <v>6</v>
      </c>
      <c r="AB14" s="293" t="s">
        <v>1276</v>
      </c>
      <c r="AC14" s="907" t="s">
        <v>799</v>
      </c>
      <c r="AD14" s="912" t="s">
        <v>1332</v>
      </c>
      <c r="AE14" s="908" t="s">
        <v>961</v>
      </c>
      <c r="AF14" s="293"/>
      <c r="AG14" s="312" t="s">
        <v>2274</v>
      </c>
      <c r="AH14" s="312"/>
      <c r="AI14" s="312" t="s">
        <v>2275</v>
      </c>
    </row>
    <row r="15" spans="1:36" x14ac:dyDescent="0.25">
      <c r="A15" s="196"/>
      <c r="B15" s="1032" t="s">
        <v>1055</v>
      </c>
      <c r="C15" s="293" t="s">
        <v>361</v>
      </c>
      <c r="D15" s="293" t="s">
        <v>1083</v>
      </c>
      <c r="E15" s="907" t="s">
        <v>1125</v>
      </c>
      <c r="F15" s="312" t="s">
        <v>89</v>
      </c>
      <c r="G15" s="908"/>
      <c r="H15" s="907"/>
      <c r="I15" s="312" t="s">
        <v>94</v>
      </c>
      <c r="J15" s="908" t="s">
        <v>1135</v>
      </c>
      <c r="K15" s="293" t="s">
        <v>1145</v>
      </c>
      <c r="L15" s="1032" t="s">
        <v>804</v>
      </c>
      <c r="M15" s="293"/>
      <c r="N15" s="293"/>
      <c r="O15" s="293" t="s">
        <v>1192</v>
      </c>
      <c r="P15" s="293" t="s">
        <v>496</v>
      </c>
      <c r="Q15" s="293" t="s">
        <v>174</v>
      </c>
      <c r="R15" s="293"/>
      <c r="S15" s="293"/>
      <c r="T15" s="293" t="s">
        <v>1214</v>
      </c>
      <c r="U15" s="293"/>
      <c r="V15" s="293"/>
      <c r="W15" s="293" t="s">
        <v>1231</v>
      </c>
      <c r="X15" s="293"/>
      <c r="Y15" s="293" t="s">
        <v>190</v>
      </c>
      <c r="Z15" s="293"/>
      <c r="AA15" s="868">
        <v>7</v>
      </c>
      <c r="AB15" s="293" t="s">
        <v>956</v>
      </c>
      <c r="AC15" s="907" t="s">
        <v>800</v>
      </c>
      <c r="AD15" s="911" t="s">
        <v>1294</v>
      </c>
      <c r="AE15" s="908" t="s">
        <v>962</v>
      </c>
      <c r="AF15" s="293"/>
      <c r="AG15" s="312" t="s">
        <v>2276</v>
      </c>
      <c r="AH15" s="312"/>
      <c r="AI15" s="312" t="s">
        <v>2277</v>
      </c>
    </row>
    <row r="16" spans="1:36" x14ac:dyDescent="0.25">
      <c r="A16" s="196"/>
      <c r="B16" s="1032" t="s">
        <v>837</v>
      </c>
      <c r="C16" s="293" t="s">
        <v>172</v>
      </c>
      <c r="D16" s="293" t="s">
        <v>1084</v>
      </c>
      <c r="E16" s="907"/>
      <c r="F16" s="312"/>
      <c r="G16" s="908"/>
      <c r="H16" s="293"/>
      <c r="I16" s="293"/>
      <c r="J16" s="293" t="s">
        <v>1136</v>
      </c>
      <c r="K16" s="293" t="s">
        <v>1146</v>
      </c>
      <c r="L16" s="1032" t="s">
        <v>805</v>
      </c>
      <c r="M16" s="293"/>
      <c r="N16" s="293"/>
      <c r="O16" s="293" t="s">
        <v>910</v>
      </c>
      <c r="P16" s="293" t="s">
        <v>493</v>
      </c>
      <c r="Q16" s="293" t="s">
        <v>881</v>
      </c>
      <c r="R16" s="293"/>
      <c r="S16" s="293"/>
      <c r="T16" s="293" t="s">
        <v>1215</v>
      </c>
      <c r="U16" s="293"/>
      <c r="V16" s="293"/>
      <c r="W16" s="293" t="s">
        <v>1232</v>
      </c>
      <c r="X16" s="293"/>
      <c r="Y16" s="293" t="s">
        <v>1244</v>
      </c>
      <c r="Z16" s="293"/>
      <c r="AA16" s="868">
        <v>8</v>
      </c>
      <c r="AB16" s="293" t="s">
        <v>1277</v>
      </c>
      <c r="AC16" s="907"/>
      <c r="AD16" s="911" t="s">
        <v>1283</v>
      </c>
      <c r="AE16" s="908" t="s">
        <v>966</v>
      </c>
      <c r="AF16" s="293"/>
      <c r="AG16" s="312" t="s">
        <v>2278</v>
      </c>
      <c r="AH16" s="312"/>
      <c r="AI16" s="312" t="s">
        <v>2279</v>
      </c>
    </row>
    <row r="17" spans="1:35" x14ac:dyDescent="0.25">
      <c r="A17" s="196"/>
      <c r="B17" s="1032" t="s">
        <v>838</v>
      </c>
      <c r="C17" s="293" t="s">
        <v>1077</v>
      </c>
      <c r="D17" s="293" t="s">
        <v>1085</v>
      </c>
      <c r="E17" s="293"/>
      <c r="F17" s="293"/>
      <c r="G17" s="293"/>
      <c r="H17" s="293"/>
      <c r="I17" s="293"/>
      <c r="J17" s="293" t="s">
        <v>1137</v>
      </c>
      <c r="K17" s="293" t="s">
        <v>1131</v>
      </c>
      <c r="L17" s="1032" t="s">
        <v>1177</v>
      </c>
      <c r="M17" s="293"/>
      <c r="N17" s="293"/>
      <c r="O17" s="293" t="s">
        <v>911</v>
      </c>
      <c r="P17" s="293" t="s">
        <v>494</v>
      </c>
      <c r="Q17" s="293" t="s">
        <v>1207</v>
      </c>
      <c r="R17" s="293"/>
      <c r="S17" s="293"/>
      <c r="T17" s="293" t="s">
        <v>497</v>
      </c>
      <c r="U17" s="293"/>
      <c r="V17" s="293"/>
      <c r="W17" s="293" t="s">
        <v>1233</v>
      </c>
      <c r="X17" s="293"/>
      <c r="Y17" s="293" t="s">
        <v>1245</v>
      </c>
      <c r="Z17" s="293"/>
      <c r="AA17" s="868">
        <v>9</v>
      </c>
      <c r="AB17" s="293" t="s">
        <v>952</v>
      </c>
      <c r="AC17" s="907"/>
      <c r="AD17" s="912" t="s">
        <v>1331</v>
      </c>
      <c r="AE17" s="908"/>
      <c r="AF17" s="293"/>
      <c r="AG17" s="312" t="s">
        <v>2280</v>
      </c>
      <c r="AH17" s="312"/>
      <c r="AI17" s="312" t="s">
        <v>2281</v>
      </c>
    </row>
    <row r="18" spans="1:35" x14ac:dyDescent="0.25">
      <c r="A18" s="196"/>
      <c r="B18" s="1033" t="s">
        <v>1329</v>
      </c>
      <c r="C18" s="293"/>
      <c r="D18" s="293" t="s">
        <v>1086</v>
      </c>
      <c r="E18" s="293"/>
      <c r="F18" s="293"/>
      <c r="G18" s="293"/>
      <c r="H18" s="293"/>
      <c r="I18" s="293"/>
      <c r="J18" s="293" t="s">
        <v>1138</v>
      </c>
      <c r="K18" s="293" t="s">
        <v>1147</v>
      </c>
      <c r="L18" s="1032" t="s">
        <v>826</v>
      </c>
      <c r="M18" s="293"/>
      <c r="N18" s="293"/>
      <c r="O18" s="293" t="s">
        <v>912</v>
      </c>
      <c r="P18" s="293" t="s">
        <v>495</v>
      </c>
      <c r="Q18" s="293" t="s">
        <v>176</v>
      </c>
      <c r="R18" s="293"/>
      <c r="S18" s="293"/>
      <c r="T18" s="293" t="s">
        <v>1216</v>
      </c>
      <c r="U18" s="293"/>
      <c r="V18" s="293"/>
      <c r="W18" s="293" t="s">
        <v>1234</v>
      </c>
      <c r="X18" s="293"/>
      <c r="Y18" s="293" t="s">
        <v>1246</v>
      </c>
      <c r="Z18" s="293"/>
      <c r="AA18" s="868">
        <v>10</v>
      </c>
      <c r="AB18" s="293" t="s">
        <v>1278</v>
      </c>
      <c r="AC18" s="907"/>
      <c r="AD18" s="911" t="s">
        <v>339</v>
      </c>
      <c r="AE18" s="908"/>
      <c r="AF18" s="293"/>
      <c r="AG18" s="1137" t="s">
        <v>2303</v>
      </c>
      <c r="AH18" s="312"/>
      <c r="AI18" s="312" t="s">
        <v>2282</v>
      </c>
    </row>
    <row r="19" spans="1:35" x14ac:dyDescent="0.25">
      <c r="A19" s="196"/>
      <c r="B19" s="1033" t="s">
        <v>1329</v>
      </c>
      <c r="C19" s="293"/>
      <c r="D19" s="293" t="s">
        <v>1304</v>
      </c>
      <c r="E19" s="293"/>
      <c r="F19" s="293"/>
      <c r="G19" s="293"/>
      <c r="H19" s="293"/>
      <c r="I19" s="293"/>
      <c r="J19" s="293" t="s">
        <v>1139</v>
      </c>
      <c r="K19" s="293" t="s">
        <v>1148</v>
      </c>
      <c r="L19" s="1032" t="s">
        <v>806</v>
      </c>
      <c r="M19" s="293"/>
      <c r="N19" s="293"/>
      <c r="O19" s="293" t="s">
        <v>913</v>
      </c>
      <c r="P19" s="293" t="s">
        <v>1203</v>
      </c>
      <c r="Q19" s="293" t="s">
        <v>172</v>
      </c>
      <c r="R19" s="293"/>
      <c r="S19" s="293"/>
      <c r="T19" s="293" t="s">
        <v>1217</v>
      </c>
      <c r="U19" s="293"/>
      <c r="V19" s="293"/>
      <c r="W19" s="293"/>
      <c r="X19" s="293"/>
      <c r="Y19" s="293" t="s">
        <v>1247</v>
      </c>
      <c r="Z19" s="293"/>
      <c r="AA19" s="869"/>
      <c r="AB19" s="293" t="s">
        <v>1279</v>
      </c>
      <c r="AC19" s="907"/>
      <c r="AD19" s="911" t="s">
        <v>340</v>
      </c>
      <c r="AE19" s="908"/>
      <c r="AF19" s="293"/>
      <c r="AG19" s="312"/>
      <c r="AH19" s="312"/>
      <c r="AI19" s="312" t="s">
        <v>2283</v>
      </c>
    </row>
    <row r="20" spans="1:35" x14ac:dyDescent="0.25">
      <c r="A20" s="196"/>
      <c r="B20" s="1033" t="s">
        <v>1353</v>
      </c>
      <c r="C20" s="293"/>
      <c r="D20" s="293" t="s">
        <v>1087</v>
      </c>
      <c r="E20" s="293"/>
      <c r="F20" s="293"/>
      <c r="G20" s="293"/>
      <c r="H20" s="293"/>
      <c r="I20" s="293"/>
      <c r="J20" s="293" t="s">
        <v>1140</v>
      </c>
      <c r="K20" s="293" t="s">
        <v>1132</v>
      </c>
      <c r="L20" s="1032" t="s">
        <v>1178</v>
      </c>
      <c r="M20" s="293"/>
      <c r="N20" s="293"/>
      <c r="O20" s="293" t="s">
        <v>914</v>
      </c>
      <c r="P20" s="293" t="s">
        <v>1204</v>
      </c>
      <c r="Q20" s="293" t="s">
        <v>883</v>
      </c>
      <c r="R20" s="293"/>
      <c r="S20" s="293"/>
      <c r="T20" s="293" t="s">
        <v>1218</v>
      </c>
      <c r="U20" s="293"/>
      <c r="V20" s="293"/>
      <c r="W20" s="293"/>
      <c r="X20" s="293"/>
      <c r="Y20" s="293" t="s">
        <v>931</v>
      </c>
      <c r="Z20" s="293"/>
      <c r="AA20" s="869"/>
      <c r="AB20" s="293" t="s">
        <v>955</v>
      </c>
      <c r="AC20" s="907"/>
      <c r="AD20" s="911" t="s">
        <v>1284</v>
      </c>
      <c r="AE20" s="908"/>
      <c r="AF20" s="293"/>
      <c r="AG20" s="312"/>
      <c r="AH20" s="312"/>
      <c r="AI20" s="312" t="s">
        <v>2284</v>
      </c>
    </row>
    <row r="21" spans="1:35" x14ac:dyDescent="0.25">
      <c r="A21" s="196"/>
      <c r="B21" s="1032" t="s">
        <v>1056</v>
      </c>
      <c r="C21" s="293"/>
      <c r="D21" s="293" t="s">
        <v>1088</v>
      </c>
      <c r="E21" s="293"/>
      <c r="F21" s="293"/>
      <c r="G21" s="293"/>
      <c r="H21" s="293"/>
      <c r="I21" s="293"/>
      <c r="J21" s="293"/>
      <c r="K21" s="293" t="s">
        <v>1149</v>
      </c>
      <c r="L21" s="1032" t="s">
        <v>807</v>
      </c>
      <c r="M21" s="293"/>
      <c r="N21" s="293"/>
      <c r="O21" s="293" t="s">
        <v>915</v>
      </c>
      <c r="P21" s="293" t="s">
        <v>143</v>
      </c>
      <c r="Q21" s="293" t="s">
        <v>882</v>
      </c>
      <c r="R21" s="293"/>
      <c r="S21" s="293"/>
      <c r="T21" s="293" t="s">
        <v>499</v>
      </c>
      <c r="U21" s="293"/>
      <c r="V21" s="293"/>
      <c r="W21" s="293"/>
      <c r="X21" s="293"/>
      <c r="Y21" s="293" t="s">
        <v>1248</v>
      </c>
      <c r="Z21" s="293"/>
      <c r="AA21" s="869"/>
      <c r="AB21" s="293" t="s">
        <v>957</v>
      </c>
      <c r="AC21" s="907"/>
      <c r="AD21" s="911" t="s">
        <v>168</v>
      </c>
      <c r="AE21" s="908"/>
      <c r="AF21" s="293"/>
      <c r="AG21" s="312"/>
      <c r="AH21" s="312"/>
      <c r="AI21" s="312" t="s">
        <v>2285</v>
      </c>
    </row>
    <row r="22" spans="1:35" x14ac:dyDescent="0.25">
      <c r="A22" s="196"/>
      <c r="B22" s="1032" t="s">
        <v>1057</v>
      </c>
      <c r="C22" s="293"/>
      <c r="D22" s="293" t="s">
        <v>1089</v>
      </c>
      <c r="E22" s="293"/>
      <c r="F22" s="293"/>
      <c r="G22" s="293"/>
      <c r="H22" s="293"/>
      <c r="I22" s="293"/>
      <c r="J22" s="293"/>
      <c r="K22" s="912" t="s">
        <v>1365</v>
      </c>
      <c r="L22" s="1032" t="s">
        <v>973</v>
      </c>
      <c r="M22" s="293"/>
      <c r="N22" s="293"/>
      <c r="O22" s="293" t="s">
        <v>1193</v>
      </c>
      <c r="P22" s="293"/>
      <c r="Q22" s="293"/>
      <c r="R22" s="293"/>
      <c r="S22" s="293"/>
      <c r="T22" s="293" t="s">
        <v>1219</v>
      </c>
      <c r="U22" s="293"/>
      <c r="V22" s="293"/>
      <c r="W22" s="293"/>
      <c r="X22" s="293"/>
      <c r="Y22" s="293" t="s">
        <v>1249</v>
      </c>
      <c r="Z22" s="293"/>
      <c r="AA22" s="869"/>
      <c r="AB22" s="293" t="s">
        <v>954</v>
      </c>
      <c r="AC22" s="907"/>
      <c r="AD22" s="912" t="s">
        <v>1333</v>
      </c>
      <c r="AE22" s="908"/>
      <c r="AF22" s="293"/>
      <c r="AG22" s="312"/>
      <c r="AH22" s="312"/>
      <c r="AI22" s="312" t="s">
        <v>2286</v>
      </c>
    </row>
    <row r="23" spans="1:35" x14ac:dyDescent="0.25">
      <c r="A23" s="196"/>
      <c r="B23" s="1032" t="s">
        <v>839</v>
      </c>
      <c r="C23" s="293"/>
      <c r="D23" s="293" t="s">
        <v>353</v>
      </c>
      <c r="E23" s="293"/>
      <c r="F23" s="293"/>
      <c r="G23" s="293"/>
      <c r="H23" s="293"/>
      <c r="I23" s="293"/>
      <c r="J23" s="293"/>
      <c r="K23" s="293" t="s">
        <v>1133</v>
      </c>
      <c r="L23" s="1032" t="s">
        <v>1179</v>
      </c>
      <c r="M23" s="293"/>
      <c r="N23" s="293"/>
      <c r="O23" s="912" t="s">
        <v>1357</v>
      </c>
      <c r="P23" s="293"/>
      <c r="Q23" s="293"/>
      <c r="R23" s="293"/>
      <c r="S23" s="293"/>
      <c r="T23" s="293" t="s">
        <v>1220</v>
      </c>
      <c r="U23" s="293"/>
      <c r="V23" s="293"/>
      <c r="W23" s="293"/>
      <c r="X23" s="293"/>
      <c r="Y23" s="293" t="s">
        <v>191</v>
      </c>
      <c r="Z23" s="293"/>
      <c r="AA23" s="869"/>
      <c r="AB23" s="293" t="s">
        <v>953</v>
      </c>
      <c r="AC23" s="907"/>
      <c r="AD23" s="911" t="s">
        <v>346</v>
      </c>
      <c r="AE23" s="908"/>
      <c r="AF23" s="293"/>
      <c r="AG23" s="312"/>
      <c r="AH23" s="312"/>
      <c r="AI23" s="312" t="s">
        <v>2287</v>
      </c>
    </row>
    <row r="24" spans="1:35" x14ac:dyDescent="0.25">
      <c r="A24" s="196"/>
      <c r="B24" s="1032" t="s">
        <v>1301</v>
      </c>
      <c r="C24" s="293"/>
      <c r="D24" s="293" t="s">
        <v>1090</v>
      </c>
      <c r="E24" s="293"/>
      <c r="F24" s="293"/>
      <c r="G24" s="293"/>
      <c r="H24" s="293"/>
      <c r="I24" s="293"/>
      <c r="J24" s="293"/>
      <c r="K24" s="293" t="s">
        <v>1150</v>
      </c>
      <c r="L24" s="1032" t="s">
        <v>974</v>
      </c>
      <c r="M24" s="293"/>
      <c r="N24" s="293"/>
      <c r="O24" s="911" t="s">
        <v>102</v>
      </c>
      <c r="P24" s="293"/>
      <c r="Q24" s="293"/>
      <c r="R24" s="293"/>
      <c r="S24" s="293"/>
      <c r="T24" s="293" t="s">
        <v>491</v>
      </c>
      <c r="U24" s="293"/>
      <c r="V24" s="293"/>
      <c r="W24" s="293"/>
      <c r="X24" s="293"/>
      <c r="Y24" s="293" t="s">
        <v>1250</v>
      </c>
      <c r="Z24" s="293"/>
      <c r="AA24" s="869"/>
      <c r="AB24" s="293" t="s">
        <v>950</v>
      </c>
      <c r="AC24" s="907"/>
      <c r="AD24" s="312" t="s">
        <v>341</v>
      </c>
      <c r="AE24" s="908"/>
      <c r="AF24" s="293"/>
      <c r="AG24" s="312"/>
      <c r="AH24" s="312"/>
      <c r="AI24" s="312" t="s">
        <v>2288</v>
      </c>
    </row>
    <row r="25" spans="1:35" x14ac:dyDescent="0.25">
      <c r="A25" s="196"/>
      <c r="B25" s="1032" t="s">
        <v>840</v>
      </c>
      <c r="C25" s="293"/>
      <c r="D25" s="293" t="s">
        <v>1102</v>
      </c>
      <c r="E25" s="293"/>
      <c r="F25" s="293"/>
      <c r="G25" s="293"/>
      <c r="H25" s="293"/>
      <c r="I25" s="293"/>
      <c r="J25" s="293"/>
      <c r="K25" s="293" t="s">
        <v>1151</v>
      </c>
      <c r="L25" s="1032" t="s">
        <v>808</v>
      </c>
      <c r="M25" s="293"/>
      <c r="N25" s="293"/>
      <c r="O25" s="911" t="s">
        <v>1194</v>
      </c>
      <c r="P25" s="293"/>
      <c r="Q25" s="293"/>
      <c r="R25" s="293"/>
      <c r="S25" s="293"/>
      <c r="T25" s="293" t="s">
        <v>1221</v>
      </c>
      <c r="U25" s="293"/>
      <c r="V25" s="293"/>
      <c r="W25" s="293"/>
      <c r="X25" s="293"/>
      <c r="Y25" s="293" t="s">
        <v>192</v>
      </c>
      <c r="Z25" s="293"/>
      <c r="AA25" s="869"/>
      <c r="AB25" s="293"/>
      <c r="AC25" s="907"/>
      <c r="AD25" s="312" t="s">
        <v>1286</v>
      </c>
      <c r="AE25" s="908"/>
      <c r="AF25" s="293"/>
      <c r="AG25" s="312"/>
      <c r="AH25" s="312"/>
      <c r="AI25" s="312" t="s">
        <v>2289</v>
      </c>
    </row>
    <row r="26" spans="1:35" x14ac:dyDescent="0.25">
      <c r="A26" s="196"/>
      <c r="B26" s="1032" t="s">
        <v>841</v>
      </c>
      <c r="C26" s="293"/>
      <c r="D26" s="293" t="s">
        <v>1091</v>
      </c>
      <c r="E26" s="293"/>
      <c r="F26" s="293"/>
      <c r="G26" s="293"/>
      <c r="H26" s="293"/>
      <c r="I26" s="293"/>
      <c r="J26" s="293"/>
      <c r="K26" s="293" t="s">
        <v>143</v>
      </c>
      <c r="L26" s="1032" t="s">
        <v>1180</v>
      </c>
      <c r="M26" s="293"/>
      <c r="N26" s="293"/>
      <c r="O26" s="911" t="s">
        <v>1195</v>
      </c>
      <c r="P26" s="293"/>
      <c r="Q26" s="293"/>
      <c r="R26" s="293"/>
      <c r="S26" s="293"/>
      <c r="T26" s="293" t="s">
        <v>502</v>
      </c>
      <c r="U26" s="293"/>
      <c r="V26" s="293"/>
      <c r="W26" s="293"/>
      <c r="X26" s="293"/>
      <c r="Y26" s="293" t="s">
        <v>1251</v>
      </c>
      <c r="Z26" s="293"/>
      <c r="AA26" s="869"/>
      <c r="AB26" s="293"/>
      <c r="AC26" s="907"/>
      <c r="AD26" s="312" t="s">
        <v>1285</v>
      </c>
      <c r="AE26" s="908"/>
      <c r="AF26" s="293"/>
      <c r="AG26" s="312"/>
      <c r="AH26" s="312"/>
      <c r="AI26" s="312" t="s">
        <v>2290</v>
      </c>
    </row>
    <row r="27" spans="1:35" x14ac:dyDescent="0.25">
      <c r="A27" s="196"/>
      <c r="B27" s="1032" t="s">
        <v>941</v>
      </c>
      <c r="C27" s="293"/>
      <c r="D27" s="293" t="s">
        <v>354</v>
      </c>
      <c r="E27" s="293"/>
      <c r="F27" s="293"/>
      <c r="G27" s="293"/>
      <c r="H27" s="293"/>
      <c r="I27" s="293"/>
      <c r="J27" s="293"/>
      <c r="K27" s="293" t="s">
        <v>1152</v>
      </c>
      <c r="L27" s="1032" t="s">
        <v>809</v>
      </c>
      <c r="M27" s="293"/>
      <c r="N27" s="293"/>
      <c r="O27" s="911" t="s">
        <v>1196</v>
      </c>
      <c r="P27" s="293"/>
      <c r="Q27" s="293"/>
      <c r="R27" s="293"/>
      <c r="S27" s="293"/>
      <c r="T27" s="293" t="s">
        <v>1222</v>
      </c>
      <c r="U27" s="293"/>
      <c r="V27" s="293"/>
      <c r="W27" s="293"/>
      <c r="X27" s="293"/>
      <c r="Y27" s="293" t="s">
        <v>1252</v>
      </c>
      <c r="Z27" s="293"/>
      <c r="AA27" s="869"/>
      <c r="AB27" s="293"/>
      <c r="AC27" s="293"/>
      <c r="AD27" s="293"/>
      <c r="AE27" s="293"/>
      <c r="AF27" s="293"/>
      <c r="AG27" s="312"/>
      <c r="AH27" s="312"/>
      <c r="AI27" s="312" t="s">
        <v>2291</v>
      </c>
    </row>
    <row r="28" spans="1:35" x14ac:dyDescent="0.25">
      <c r="A28" s="196"/>
      <c r="B28" s="1032" t="s">
        <v>1058</v>
      </c>
      <c r="C28" s="293"/>
      <c r="D28" s="293" t="s">
        <v>1092</v>
      </c>
      <c r="E28" s="293"/>
      <c r="F28" s="293"/>
      <c r="G28" s="293"/>
      <c r="H28" s="293"/>
      <c r="I28" s="293"/>
      <c r="J28" s="293"/>
      <c r="K28" s="293" t="s">
        <v>1153</v>
      </c>
      <c r="L28" s="1032" t="s">
        <v>975</v>
      </c>
      <c r="M28" s="293"/>
      <c r="N28" s="293"/>
      <c r="O28" s="912" t="s">
        <v>1340</v>
      </c>
      <c r="P28" s="293"/>
      <c r="Q28" s="293"/>
      <c r="R28" s="293"/>
      <c r="S28" s="293"/>
      <c r="T28" s="293" t="s">
        <v>501</v>
      </c>
      <c r="U28" s="293"/>
      <c r="V28" s="293"/>
      <c r="W28" s="293"/>
      <c r="X28" s="293"/>
      <c r="Y28" s="293" t="s">
        <v>1253</v>
      </c>
      <c r="Z28" s="293"/>
      <c r="AA28" s="869"/>
      <c r="AB28" s="293"/>
      <c r="AC28" s="293"/>
      <c r="AD28" s="293"/>
      <c r="AE28" s="293"/>
      <c r="AF28" s="911"/>
      <c r="AG28" s="911"/>
      <c r="AH28" s="911"/>
      <c r="AI28" s="312" t="s">
        <v>2292</v>
      </c>
    </row>
    <row r="29" spans="1:35" x14ac:dyDescent="0.25">
      <c r="A29" s="196"/>
      <c r="B29" s="1032" t="s">
        <v>842</v>
      </c>
      <c r="C29" s="293"/>
      <c r="D29" s="913" t="s">
        <v>1334</v>
      </c>
      <c r="E29" s="293"/>
      <c r="F29" s="293"/>
      <c r="G29" s="293"/>
      <c r="H29" s="293"/>
      <c r="I29" s="293"/>
      <c r="J29" s="293"/>
      <c r="K29" s="293" t="s">
        <v>93</v>
      </c>
      <c r="L29" s="1032" t="s">
        <v>810</v>
      </c>
      <c r="M29" s="293"/>
      <c r="N29" s="293"/>
      <c r="O29" s="293" t="s">
        <v>59</v>
      </c>
      <c r="P29" s="293"/>
      <c r="Q29" s="293"/>
      <c r="R29" s="293"/>
      <c r="S29" s="293"/>
      <c r="T29" s="293" t="s">
        <v>1223</v>
      </c>
      <c r="U29" s="293"/>
      <c r="V29" s="293"/>
      <c r="W29" s="293"/>
      <c r="X29" s="293"/>
      <c r="Y29" s="293" t="s">
        <v>1254</v>
      </c>
      <c r="Z29" s="293"/>
      <c r="AA29" s="869"/>
      <c r="AB29" s="293"/>
      <c r="AC29" s="293"/>
      <c r="AD29" s="293"/>
      <c r="AE29" s="293"/>
      <c r="AF29" s="293"/>
      <c r="AG29" s="312"/>
      <c r="AH29" s="312"/>
      <c r="AI29" s="1137" t="s">
        <v>2304</v>
      </c>
    </row>
    <row r="30" spans="1:35" x14ac:dyDescent="0.25">
      <c r="A30" s="196"/>
      <c r="B30" s="1033" t="s">
        <v>842</v>
      </c>
      <c r="C30" s="293"/>
      <c r="D30" s="293" t="s">
        <v>1093</v>
      </c>
      <c r="E30" s="293"/>
      <c r="F30" s="293"/>
      <c r="G30" s="293"/>
      <c r="H30" s="293"/>
      <c r="I30" s="293"/>
      <c r="J30" s="293"/>
      <c r="K30" s="293" t="s">
        <v>1154</v>
      </c>
      <c r="L30" s="1032" t="s">
        <v>811</v>
      </c>
      <c r="M30" s="293"/>
      <c r="N30" s="293"/>
      <c r="O30" s="293" t="s">
        <v>376</v>
      </c>
      <c r="P30" s="293"/>
      <c r="Q30" s="293"/>
      <c r="R30" s="293"/>
      <c r="S30" s="293"/>
      <c r="T30" s="293" t="s">
        <v>1224</v>
      </c>
      <c r="U30" s="293"/>
      <c r="V30" s="293"/>
      <c r="W30" s="293"/>
      <c r="X30" s="293"/>
      <c r="Y30" s="293" t="s">
        <v>1255</v>
      </c>
      <c r="Z30" s="293"/>
      <c r="AA30" s="869"/>
      <c r="AB30" s="293"/>
      <c r="AC30" s="293"/>
      <c r="AD30" s="293"/>
      <c r="AE30" s="293"/>
      <c r="AF30" s="293"/>
      <c r="AG30" s="312"/>
      <c r="AH30" s="312"/>
      <c r="AI30" s="1137" t="s">
        <v>2305</v>
      </c>
    </row>
    <row r="31" spans="1:35" x14ac:dyDescent="0.25">
      <c r="A31" s="196"/>
      <c r="B31" s="1033" t="s">
        <v>842</v>
      </c>
      <c r="C31" s="293"/>
      <c r="D31" s="293" t="s">
        <v>1094</v>
      </c>
      <c r="E31" s="293"/>
      <c r="F31" s="293"/>
      <c r="G31" s="293"/>
      <c r="H31" s="293"/>
      <c r="I31" s="293"/>
      <c r="J31" s="293"/>
      <c r="K31" s="293" t="s">
        <v>1155</v>
      </c>
      <c r="L31" s="1032" t="s">
        <v>976</v>
      </c>
      <c r="M31" s="293"/>
      <c r="N31" s="293"/>
      <c r="O31" s="293" t="s">
        <v>60</v>
      </c>
      <c r="P31" s="293"/>
      <c r="Q31" s="293"/>
      <c r="R31" s="293"/>
      <c r="S31" s="293"/>
      <c r="T31" s="293" t="s">
        <v>1225</v>
      </c>
      <c r="U31" s="293"/>
      <c r="V31" s="293"/>
      <c r="W31" s="293"/>
      <c r="X31" s="293"/>
      <c r="Y31" s="293" t="s">
        <v>1256</v>
      </c>
      <c r="Z31" s="293"/>
      <c r="AA31" s="869"/>
      <c r="AB31" s="293"/>
      <c r="AC31" s="293"/>
      <c r="AD31" s="293"/>
      <c r="AE31" s="293"/>
      <c r="AF31" s="293"/>
      <c r="AG31" s="312"/>
      <c r="AH31" s="312"/>
      <c r="AI31" s="312"/>
    </row>
    <row r="32" spans="1:35" x14ac:dyDescent="0.25">
      <c r="A32" s="196"/>
      <c r="B32" s="1032" t="s">
        <v>1059</v>
      </c>
      <c r="C32" s="293"/>
      <c r="D32" s="293" t="s">
        <v>1095</v>
      </c>
      <c r="E32" s="293"/>
      <c r="F32" s="293"/>
      <c r="G32" s="293"/>
      <c r="H32" s="293"/>
      <c r="I32" s="293"/>
      <c r="J32" s="293"/>
      <c r="K32" s="293" t="s">
        <v>1156</v>
      </c>
      <c r="L32" s="1032" t="s">
        <v>1181</v>
      </c>
      <c r="M32" s="293"/>
      <c r="N32" s="293"/>
      <c r="O32" s="293" t="s">
        <v>61</v>
      </c>
      <c r="P32" s="293"/>
      <c r="Q32" s="293"/>
      <c r="R32" s="293"/>
      <c r="S32" s="293"/>
      <c r="T32" s="293" t="s">
        <v>1296</v>
      </c>
      <c r="U32" s="293"/>
      <c r="V32" s="293"/>
      <c r="W32" s="293"/>
      <c r="X32" s="293"/>
      <c r="Y32" s="293" t="s">
        <v>188</v>
      </c>
      <c r="Z32" s="293"/>
      <c r="AA32" s="869"/>
      <c r="AB32" s="293"/>
      <c r="AC32" s="293"/>
      <c r="AD32" s="293"/>
      <c r="AE32" s="293"/>
      <c r="AF32" s="293"/>
      <c r="AG32" s="312"/>
      <c r="AH32" s="312"/>
      <c r="AI32" s="312"/>
    </row>
    <row r="33" spans="1:35" x14ac:dyDescent="0.25">
      <c r="A33" s="196"/>
      <c r="B33" s="1033" t="s">
        <v>1377</v>
      </c>
      <c r="C33" s="293"/>
      <c r="D33" s="293" t="s">
        <v>1307</v>
      </c>
      <c r="E33" s="293"/>
      <c r="F33" s="293"/>
      <c r="G33" s="293"/>
      <c r="H33" s="293"/>
      <c r="I33" s="293"/>
      <c r="J33" s="293"/>
      <c r="K33" s="293" t="s">
        <v>1157</v>
      </c>
      <c r="L33" s="1032" t="s">
        <v>812</v>
      </c>
      <c r="M33" s="293"/>
      <c r="N33" s="293"/>
      <c r="O33" s="293" t="s">
        <v>62</v>
      </c>
      <c r="P33" s="293"/>
      <c r="Q33" s="293"/>
      <c r="R33" s="293"/>
      <c r="S33" s="293"/>
      <c r="T33" s="293" t="s">
        <v>1226</v>
      </c>
      <c r="U33" s="293"/>
      <c r="V33" s="293"/>
      <c r="W33" s="293"/>
      <c r="X33" s="293"/>
      <c r="Y33" s="293" t="s">
        <v>1257</v>
      </c>
      <c r="Z33" s="293"/>
      <c r="AA33" s="869"/>
      <c r="AB33" s="293"/>
      <c r="AC33" s="293"/>
      <c r="AD33" s="293"/>
      <c r="AE33" s="293"/>
      <c r="AF33" s="293"/>
      <c r="AG33" s="312"/>
      <c r="AH33" s="312"/>
      <c r="AI33" s="312"/>
    </row>
    <row r="34" spans="1:35" x14ac:dyDescent="0.25">
      <c r="A34" s="196"/>
      <c r="B34" s="1033" t="s">
        <v>1327</v>
      </c>
      <c r="C34" s="293"/>
      <c r="D34" s="293" t="s">
        <v>1096</v>
      </c>
      <c r="E34" s="293"/>
      <c r="F34" s="293"/>
      <c r="G34" s="293"/>
      <c r="H34" s="293"/>
      <c r="I34" s="293"/>
      <c r="J34" s="293"/>
      <c r="K34" s="293" t="s">
        <v>1134</v>
      </c>
      <c r="L34" s="1032" t="s">
        <v>827</v>
      </c>
      <c r="M34" s="293"/>
      <c r="N34" s="293"/>
      <c r="O34" s="293" t="s">
        <v>63</v>
      </c>
      <c r="P34" s="293"/>
      <c r="Q34" s="293"/>
      <c r="R34" s="293"/>
      <c r="S34" s="293"/>
      <c r="T34" s="293" t="s">
        <v>1295</v>
      </c>
      <c r="U34" s="293"/>
      <c r="V34" s="293"/>
      <c r="W34" s="293"/>
      <c r="X34" s="293"/>
      <c r="Y34" s="293" t="s">
        <v>932</v>
      </c>
      <c r="Z34" s="293"/>
      <c r="AA34" s="869"/>
      <c r="AB34" s="293"/>
      <c r="AC34" s="293"/>
      <c r="AD34" s="293"/>
      <c r="AE34" s="293"/>
      <c r="AF34" s="293"/>
      <c r="AG34" s="312"/>
      <c r="AH34" s="312"/>
      <c r="AI34" s="312"/>
    </row>
    <row r="35" spans="1:35" x14ac:dyDescent="0.25">
      <c r="A35" s="196"/>
      <c r="B35" s="1033" t="s">
        <v>1379</v>
      </c>
      <c r="C35" s="293"/>
      <c r="D35" s="293" t="s">
        <v>1097</v>
      </c>
      <c r="E35" s="293"/>
      <c r="F35" s="293"/>
      <c r="G35" s="293"/>
      <c r="H35" s="293"/>
      <c r="I35" s="293"/>
      <c r="J35" s="293"/>
      <c r="K35" s="293" t="s">
        <v>1135</v>
      </c>
      <c r="L35" s="1032" t="s">
        <v>813</v>
      </c>
      <c r="M35" s="293"/>
      <c r="N35" s="293"/>
      <c r="O35" s="293" t="s">
        <v>64</v>
      </c>
      <c r="P35" s="293"/>
      <c r="Q35" s="293"/>
      <c r="R35" s="293"/>
      <c r="S35" s="293"/>
      <c r="T35" s="293" t="s">
        <v>1227</v>
      </c>
      <c r="U35" s="293"/>
      <c r="V35" s="293"/>
      <c r="W35" s="293"/>
      <c r="X35" s="293"/>
      <c r="Y35" s="293" t="s">
        <v>933</v>
      </c>
      <c r="Z35" s="293"/>
      <c r="AA35" s="869"/>
      <c r="AB35" s="293"/>
      <c r="AC35" s="293"/>
      <c r="AD35" s="293"/>
      <c r="AE35" s="293"/>
      <c r="AF35" s="293"/>
      <c r="AG35" s="312"/>
      <c r="AH35" s="312"/>
      <c r="AI35" s="312"/>
    </row>
    <row r="36" spans="1:35" x14ac:dyDescent="0.25">
      <c r="A36" s="196"/>
      <c r="B36" s="1032" t="s">
        <v>1060</v>
      </c>
      <c r="C36" s="293"/>
      <c r="D36" s="293" t="s">
        <v>1098</v>
      </c>
      <c r="E36" s="293"/>
      <c r="F36" s="293"/>
      <c r="G36" s="293"/>
      <c r="H36" s="293"/>
      <c r="I36" s="293"/>
      <c r="J36" s="293"/>
      <c r="K36" s="293" t="s">
        <v>1158</v>
      </c>
      <c r="L36" s="1032" t="s">
        <v>1182</v>
      </c>
      <c r="M36" s="293"/>
      <c r="N36" s="293"/>
      <c r="O36" s="293" t="s">
        <v>65</v>
      </c>
      <c r="P36" s="293"/>
      <c r="Q36" s="293"/>
      <c r="R36" s="293"/>
      <c r="S36" s="293"/>
      <c r="T36" s="293" t="s">
        <v>500</v>
      </c>
      <c r="U36" s="293"/>
      <c r="V36" s="293"/>
      <c r="W36" s="293"/>
      <c r="X36" s="293"/>
      <c r="Y36" s="293" t="s">
        <v>1258</v>
      </c>
      <c r="Z36" s="293"/>
      <c r="AA36" s="869"/>
      <c r="AB36" s="293"/>
      <c r="AC36" s="293"/>
      <c r="AD36" s="293"/>
      <c r="AE36" s="293"/>
      <c r="AF36" s="293"/>
      <c r="AG36" s="312"/>
      <c r="AH36" s="312"/>
      <c r="AI36" s="312"/>
    </row>
    <row r="37" spans="1:35" x14ac:dyDescent="0.25">
      <c r="A37" s="196"/>
      <c r="B37" s="1032" t="s">
        <v>1061</v>
      </c>
      <c r="C37" s="293"/>
      <c r="D37" s="293" t="s">
        <v>978</v>
      </c>
      <c r="E37" s="293"/>
      <c r="F37" s="293"/>
      <c r="G37" s="293"/>
      <c r="H37" s="293"/>
      <c r="I37" s="293"/>
      <c r="J37" s="293"/>
      <c r="K37" s="293" t="s">
        <v>1159</v>
      </c>
      <c r="L37" s="1032" t="s">
        <v>1185</v>
      </c>
      <c r="M37" s="293"/>
      <c r="N37" s="293"/>
      <c r="O37" s="912" t="s">
        <v>1338</v>
      </c>
      <c r="P37" s="293"/>
      <c r="Q37" s="293"/>
      <c r="R37" s="293"/>
      <c r="S37" s="293"/>
      <c r="T37" s="293" t="s">
        <v>1228</v>
      </c>
      <c r="U37" s="293"/>
      <c r="V37" s="293"/>
      <c r="W37" s="293"/>
      <c r="X37" s="293"/>
      <c r="Y37" s="293" t="s">
        <v>930</v>
      </c>
      <c r="Z37" s="293"/>
      <c r="AA37" s="869"/>
      <c r="AB37" s="293"/>
      <c r="AC37" s="293"/>
      <c r="AD37" s="293"/>
      <c r="AE37" s="293"/>
      <c r="AF37" s="293"/>
      <c r="AG37" s="312"/>
      <c r="AH37" s="312"/>
      <c r="AI37" s="312"/>
    </row>
    <row r="38" spans="1:35" x14ac:dyDescent="0.25">
      <c r="A38" s="196"/>
      <c r="B38" s="1032" t="s">
        <v>843</v>
      </c>
      <c r="C38" s="293"/>
      <c r="D38" s="293" t="s">
        <v>1099</v>
      </c>
      <c r="E38" s="293"/>
      <c r="F38" s="293"/>
      <c r="G38" s="293"/>
      <c r="H38" s="293"/>
      <c r="I38" s="293"/>
      <c r="J38" s="293"/>
      <c r="K38" s="293" t="s">
        <v>1160</v>
      </c>
      <c r="L38" s="1032" t="s">
        <v>107</v>
      </c>
      <c r="M38" s="293"/>
      <c r="N38" s="293"/>
      <c r="O38" s="912" t="s">
        <v>1339</v>
      </c>
      <c r="P38" s="293"/>
      <c r="Q38" s="293"/>
      <c r="R38" s="293"/>
      <c r="S38" s="293"/>
      <c r="T38" s="293"/>
      <c r="U38" s="293"/>
      <c r="V38" s="293"/>
      <c r="W38" s="293"/>
      <c r="X38" s="293"/>
      <c r="Y38" s="293" t="s">
        <v>1259</v>
      </c>
      <c r="Z38" s="293"/>
      <c r="AA38" s="869"/>
      <c r="AB38" s="293"/>
      <c r="AC38" s="293"/>
      <c r="AD38" s="293"/>
      <c r="AE38" s="293"/>
      <c r="AF38" s="293"/>
      <c r="AG38" s="312"/>
      <c r="AH38" s="312"/>
      <c r="AI38" s="312"/>
    </row>
    <row r="39" spans="1:35" x14ac:dyDescent="0.25">
      <c r="A39" s="196"/>
      <c r="B39" s="1033" t="s">
        <v>1347</v>
      </c>
      <c r="C39" s="293"/>
      <c r="D39" s="293" t="s">
        <v>1100</v>
      </c>
      <c r="E39" s="293"/>
      <c r="F39" s="293"/>
      <c r="G39" s="293"/>
      <c r="H39" s="293"/>
      <c r="I39" s="293"/>
      <c r="J39" s="293"/>
      <c r="K39" s="912" t="s">
        <v>1369</v>
      </c>
      <c r="L39" s="1032" t="s">
        <v>1183</v>
      </c>
      <c r="M39" s="293"/>
      <c r="N39" s="293"/>
      <c r="O39" s="293" t="s">
        <v>920</v>
      </c>
      <c r="P39" s="293"/>
      <c r="Q39" s="293"/>
      <c r="R39" s="293"/>
      <c r="S39" s="293"/>
      <c r="T39" s="293"/>
      <c r="U39" s="293"/>
      <c r="V39" s="293"/>
      <c r="W39" s="293"/>
      <c r="X39" s="293"/>
      <c r="Y39" s="293" t="s">
        <v>1260</v>
      </c>
      <c r="Z39" s="293"/>
      <c r="AA39" s="869"/>
      <c r="AB39" s="293"/>
      <c r="AC39" s="293"/>
      <c r="AD39" s="293"/>
      <c r="AE39" s="293"/>
      <c r="AF39" s="293"/>
      <c r="AG39" s="312"/>
      <c r="AH39" s="312"/>
      <c r="AI39" s="312"/>
    </row>
    <row r="40" spans="1:35" x14ac:dyDescent="0.25">
      <c r="A40" s="196"/>
      <c r="B40" s="1032" t="s">
        <v>1062</v>
      </c>
      <c r="C40" s="293"/>
      <c r="D40" s="293" t="s">
        <v>1101</v>
      </c>
      <c r="E40" s="293"/>
      <c r="F40" s="293"/>
      <c r="G40" s="293"/>
      <c r="H40" s="293"/>
      <c r="I40" s="293"/>
      <c r="J40" s="293"/>
      <c r="K40" s="312" t="s">
        <v>94</v>
      </c>
      <c r="L40" s="1033" t="s">
        <v>1336</v>
      </c>
      <c r="M40" s="293"/>
      <c r="N40" s="293"/>
      <c r="O40" s="293" t="s">
        <v>921</v>
      </c>
      <c r="P40" s="293"/>
      <c r="Q40" s="293"/>
      <c r="R40" s="293"/>
      <c r="S40" s="293"/>
      <c r="T40" s="293"/>
      <c r="U40" s="293"/>
      <c r="V40" s="293"/>
      <c r="W40" s="293"/>
      <c r="X40" s="293"/>
      <c r="Y40" s="293" t="s">
        <v>1261</v>
      </c>
      <c r="Z40" s="293"/>
      <c r="AA40" s="869"/>
      <c r="AB40" s="293"/>
      <c r="AC40" s="293"/>
      <c r="AD40" s="293"/>
      <c r="AE40" s="293"/>
      <c r="AF40" s="293"/>
      <c r="AG40" s="312"/>
      <c r="AH40" s="312"/>
      <c r="AI40" s="312"/>
    </row>
    <row r="41" spans="1:35" x14ac:dyDescent="0.25">
      <c r="A41" s="196"/>
      <c r="B41" s="1032" t="s">
        <v>844</v>
      </c>
      <c r="C41" s="293"/>
      <c r="D41" s="293" t="s">
        <v>1103</v>
      </c>
      <c r="E41" s="293"/>
      <c r="F41" s="293"/>
      <c r="G41" s="293"/>
      <c r="H41" s="293"/>
      <c r="I41" s="293"/>
      <c r="J41" s="293"/>
      <c r="K41" s="312" t="s">
        <v>350</v>
      </c>
      <c r="L41" s="1032" t="s">
        <v>937</v>
      </c>
      <c r="M41" s="293"/>
      <c r="N41" s="293"/>
      <c r="O41" s="293" t="s">
        <v>922</v>
      </c>
      <c r="P41" s="293"/>
      <c r="Q41" s="293"/>
      <c r="R41" s="293"/>
      <c r="S41" s="293"/>
      <c r="T41" s="293"/>
      <c r="U41" s="293"/>
      <c r="V41" s="293"/>
      <c r="W41" s="293"/>
      <c r="X41" s="293"/>
      <c r="Y41" s="293" t="s">
        <v>1262</v>
      </c>
      <c r="Z41" s="293"/>
      <c r="AA41" s="869"/>
      <c r="AB41" s="293"/>
      <c r="AC41" s="293"/>
      <c r="AD41" s="293"/>
      <c r="AE41" s="293"/>
      <c r="AF41" s="293"/>
      <c r="AG41" s="312"/>
      <c r="AH41" s="312"/>
      <c r="AI41" s="312"/>
    </row>
    <row r="42" spans="1:35" x14ac:dyDescent="0.25">
      <c r="A42" s="196"/>
      <c r="B42" s="1033" t="s">
        <v>1381</v>
      </c>
      <c r="C42" s="293"/>
      <c r="D42" s="312" t="s">
        <v>866</v>
      </c>
      <c r="E42" s="293"/>
      <c r="F42" s="293"/>
      <c r="G42" s="293"/>
      <c r="H42" s="293"/>
      <c r="I42" s="293"/>
      <c r="J42" s="293"/>
      <c r="K42" s="293" t="s">
        <v>1161</v>
      </c>
      <c r="L42" s="1032" t="s">
        <v>834</v>
      </c>
      <c r="M42" s="293"/>
      <c r="N42" s="293"/>
      <c r="O42" s="293" t="s">
        <v>923</v>
      </c>
      <c r="P42" s="293"/>
      <c r="Q42" s="293"/>
      <c r="R42" s="293"/>
      <c r="S42" s="293"/>
      <c r="T42" s="293"/>
      <c r="U42" s="293"/>
      <c r="V42" s="293"/>
      <c r="W42" s="293"/>
      <c r="X42" s="293"/>
      <c r="Y42" s="293" t="s">
        <v>1263</v>
      </c>
      <c r="Z42" s="293"/>
      <c r="AA42" s="869"/>
      <c r="AB42" s="293"/>
      <c r="AC42" s="293"/>
      <c r="AD42" s="293"/>
      <c r="AE42" s="293"/>
      <c r="AF42" s="293"/>
      <c r="AG42" s="312"/>
      <c r="AH42" s="312"/>
      <c r="AI42" s="312"/>
    </row>
    <row r="43" spans="1:35" x14ac:dyDescent="0.25">
      <c r="A43" s="196"/>
      <c r="B43" s="1033" t="s">
        <v>1350</v>
      </c>
      <c r="C43" s="293"/>
      <c r="D43" s="293" t="s">
        <v>1359</v>
      </c>
      <c r="E43" s="293"/>
      <c r="F43" s="293"/>
      <c r="G43" s="293"/>
      <c r="H43" s="293"/>
      <c r="I43" s="293"/>
      <c r="J43" s="293"/>
      <c r="K43" s="293" t="s">
        <v>1136</v>
      </c>
      <c r="L43" s="1032" t="s">
        <v>1184</v>
      </c>
      <c r="M43" s="293"/>
      <c r="N43" s="293"/>
      <c r="O43" s="293" t="s">
        <v>924</v>
      </c>
      <c r="P43" s="293"/>
      <c r="Q43" s="293"/>
      <c r="R43" s="293"/>
      <c r="S43" s="293"/>
      <c r="T43" s="293"/>
      <c r="U43" s="293"/>
      <c r="V43" s="293"/>
      <c r="W43" s="293"/>
      <c r="X43" s="293"/>
      <c r="Y43" s="293" t="s">
        <v>193</v>
      </c>
      <c r="Z43" s="293"/>
      <c r="AA43" s="869"/>
      <c r="AB43" s="293"/>
      <c r="AC43" s="293"/>
      <c r="AD43" s="293"/>
      <c r="AE43" s="293"/>
      <c r="AF43" s="293"/>
      <c r="AG43" s="312"/>
      <c r="AH43" s="312"/>
      <c r="AI43" s="312"/>
    </row>
    <row r="44" spans="1:35" x14ac:dyDescent="0.25">
      <c r="A44" s="196"/>
      <c r="B44" s="1033" t="s">
        <v>1346</v>
      </c>
      <c r="C44" s="293"/>
      <c r="D44" s="293" t="s">
        <v>1104</v>
      </c>
      <c r="E44" s="293"/>
      <c r="F44" s="293"/>
      <c r="G44" s="293"/>
      <c r="H44" s="293"/>
      <c r="I44" s="293"/>
      <c r="J44" s="293"/>
      <c r="K44" s="293" t="s">
        <v>1162</v>
      </c>
      <c r="L44" s="1032" t="s">
        <v>93</v>
      </c>
      <c r="M44" s="293"/>
      <c r="N44" s="293"/>
      <c r="O44" s="293" t="s">
        <v>925</v>
      </c>
      <c r="P44" s="293"/>
      <c r="Q44" s="293"/>
      <c r="R44" s="293"/>
      <c r="S44" s="293"/>
      <c r="T44" s="293"/>
      <c r="U44" s="293"/>
      <c r="V44" s="293"/>
      <c r="W44" s="293"/>
      <c r="X44" s="293"/>
      <c r="Y44" s="293" t="s">
        <v>1264</v>
      </c>
      <c r="Z44" s="293"/>
      <c r="AA44" s="869"/>
      <c r="AB44" s="293"/>
      <c r="AC44" s="293"/>
      <c r="AD44" s="293"/>
      <c r="AE44" s="293"/>
      <c r="AF44" s="293"/>
      <c r="AG44" s="312"/>
      <c r="AH44" s="312"/>
      <c r="AI44" s="312"/>
    </row>
    <row r="45" spans="1:35" x14ac:dyDescent="0.25">
      <c r="A45" s="196"/>
      <c r="B45" s="1033" t="s">
        <v>1380</v>
      </c>
      <c r="C45" s="293"/>
      <c r="D45" s="293" t="s">
        <v>1105</v>
      </c>
      <c r="E45" s="293"/>
      <c r="F45" s="293"/>
      <c r="G45" s="293"/>
      <c r="H45" s="293"/>
      <c r="I45" s="293"/>
      <c r="J45" s="293"/>
      <c r="K45" s="293" t="s">
        <v>1163</v>
      </c>
      <c r="L45" s="1032" t="s">
        <v>814</v>
      </c>
      <c r="M45" s="293"/>
      <c r="N45" s="293"/>
      <c r="O45" s="293" t="s">
        <v>1197</v>
      </c>
      <c r="P45" s="293"/>
      <c r="Q45" s="293"/>
      <c r="R45" s="293"/>
      <c r="S45" s="293"/>
      <c r="T45" s="293"/>
      <c r="U45" s="293"/>
      <c r="V45" s="293"/>
      <c r="W45" s="293"/>
      <c r="X45" s="293"/>
      <c r="Y45" s="293" t="s">
        <v>1265</v>
      </c>
      <c r="Z45" s="293"/>
      <c r="AA45" s="869"/>
      <c r="AB45" s="293"/>
      <c r="AC45" s="293"/>
      <c r="AD45" s="293"/>
      <c r="AE45" s="293"/>
      <c r="AF45" s="293"/>
      <c r="AG45" s="312"/>
      <c r="AH45" s="312"/>
      <c r="AI45" s="312"/>
    </row>
    <row r="46" spans="1:35" x14ac:dyDescent="0.25">
      <c r="A46" s="196"/>
      <c r="B46" s="1032" t="s">
        <v>845</v>
      </c>
      <c r="C46" s="293"/>
      <c r="D46" s="293" t="s">
        <v>1106</v>
      </c>
      <c r="E46" s="293"/>
      <c r="F46" s="293"/>
      <c r="G46" s="293"/>
      <c r="H46" s="293"/>
      <c r="I46" s="293"/>
      <c r="J46" s="293"/>
      <c r="K46" s="293" t="s">
        <v>1164</v>
      </c>
      <c r="L46" s="1032" t="s">
        <v>828</v>
      </c>
      <c r="M46" s="293"/>
      <c r="N46" s="293"/>
      <c r="O46" s="912" t="s">
        <v>1362</v>
      </c>
      <c r="P46" s="293"/>
      <c r="Q46" s="293"/>
      <c r="R46" s="293"/>
      <c r="S46" s="293"/>
      <c r="T46" s="293"/>
      <c r="U46" s="293"/>
      <c r="V46" s="293"/>
      <c r="W46" s="293"/>
      <c r="X46" s="293"/>
      <c r="Y46" s="293" t="s">
        <v>194</v>
      </c>
      <c r="Z46" s="293"/>
      <c r="AA46" s="869"/>
      <c r="AB46" s="293"/>
      <c r="AC46" s="293"/>
      <c r="AD46" s="293"/>
      <c r="AE46" s="293"/>
      <c r="AF46" s="293"/>
      <c r="AG46" s="312"/>
      <c r="AH46" s="312"/>
      <c r="AI46" s="312"/>
    </row>
    <row r="47" spans="1:35" x14ac:dyDescent="0.25">
      <c r="A47" s="196"/>
      <c r="B47" s="1032" t="s">
        <v>1063</v>
      </c>
      <c r="C47" s="293"/>
      <c r="D47" s="293" t="s">
        <v>1107</v>
      </c>
      <c r="E47" s="293"/>
      <c r="F47" s="293"/>
      <c r="G47" s="293"/>
      <c r="H47" s="293"/>
      <c r="I47" s="293"/>
      <c r="J47" s="293"/>
      <c r="K47" s="293" t="s">
        <v>1165</v>
      </c>
      <c r="L47" s="1032" t="s">
        <v>94</v>
      </c>
      <c r="M47" s="293"/>
      <c r="N47" s="293"/>
      <c r="O47" s="293" t="s">
        <v>49</v>
      </c>
      <c r="P47" s="293"/>
      <c r="Q47" s="293"/>
      <c r="R47" s="293"/>
      <c r="S47" s="293"/>
      <c r="T47" s="293"/>
      <c r="U47" s="293"/>
      <c r="V47" s="293"/>
      <c r="W47" s="293"/>
      <c r="X47" s="293"/>
      <c r="Y47" s="293" t="s">
        <v>1266</v>
      </c>
      <c r="Z47" s="293"/>
      <c r="AA47" s="869"/>
      <c r="AB47" s="293"/>
      <c r="AC47" s="293"/>
      <c r="AD47" s="293"/>
      <c r="AE47" s="293"/>
      <c r="AF47" s="293"/>
      <c r="AG47" s="312"/>
      <c r="AH47" s="312"/>
      <c r="AI47" s="312"/>
    </row>
    <row r="48" spans="1:35" x14ac:dyDescent="0.25">
      <c r="A48" s="196"/>
      <c r="B48" s="1032" t="s">
        <v>1064</v>
      </c>
      <c r="C48" s="293"/>
      <c r="D48" s="293" t="s">
        <v>355</v>
      </c>
      <c r="E48" s="293"/>
      <c r="F48" s="293"/>
      <c r="G48" s="293"/>
      <c r="H48" s="293"/>
      <c r="I48" s="293"/>
      <c r="J48" s="293"/>
      <c r="K48" s="293" t="s">
        <v>1166</v>
      </c>
      <c r="L48" s="1032" t="s">
        <v>833</v>
      </c>
      <c r="M48" s="293"/>
      <c r="N48" s="293"/>
      <c r="O48" s="293" t="s">
        <v>50</v>
      </c>
      <c r="P48" s="293"/>
      <c r="Q48" s="293"/>
      <c r="R48" s="293"/>
      <c r="S48" s="293"/>
      <c r="T48" s="293"/>
      <c r="U48" s="293"/>
      <c r="V48" s="293"/>
      <c r="W48" s="293"/>
      <c r="X48" s="293"/>
      <c r="Y48" s="293" t="s">
        <v>1267</v>
      </c>
      <c r="Z48" s="293"/>
      <c r="AA48" s="869"/>
      <c r="AB48" s="293"/>
      <c r="AC48" s="293"/>
      <c r="AD48" s="293"/>
      <c r="AE48" s="293"/>
      <c r="AF48" s="293"/>
      <c r="AG48" s="312"/>
      <c r="AH48" s="312"/>
      <c r="AI48" s="312"/>
    </row>
    <row r="49" spans="1:35" x14ac:dyDescent="0.25">
      <c r="A49" s="196"/>
      <c r="B49" s="1033" t="s">
        <v>1324</v>
      </c>
      <c r="C49" s="293"/>
      <c r="D49" s="293" t="s">
        <v>356</v>
      </c>
      <c r="E49" s="293"/>
      <c r="F49" s="293"/>
      <c r="G49" s="293"/>
      <c r="H49" s="293"/>
      <c r="I49" s="293"/>
      <c r="J49" s="293"/>
      <c r="K49" s="293" t="s">
        <v>1370</v>
      </c>
      <c r="L49" s="1032" t="s">
        <v>350</v>
      </c>
      <c r="M49" s="293"/>
      <c r="N49" s="293"/>
      <c r="O49" s="293" t="s">
        <v>51</v>
      </c>
      <c r="P49" s="293"/>
      <c r="Q49" s="293"/>
      <c r="R49" s="293"/>
      <c r="S49" s="293"/>
      <c r="T49" s="293"/>
      <c r="U49" s="293"/>
      <c r="V49" s="293"/>
      <c r="W49" s="293"/>
      <c r="X49" s="293"/>
      <c r="Y49" s="293" t="s">
        <v>926</v>
      </c>
      <c r="Z49" s="293"/>
      <c r="AA49" s="869"/>
      <c r="AB49" s="293"/>
      <c r="AC49" s="293"/>
      <c r="AD49" s="293"/>
      <c r="AE49" s="293"/>
      <c r="AF49" s="293"/>
      <c r="AG49" s="312"/>
      <c r="AH49" s="312"/>
      <c r="AI49" s="312"/>
    </row>
    <row r="50" spans="1:35" x14ac:dyDescent="0.25">
      <c r="A50" s="196"/>
      <c r="B50" s="1033" t="s">
        <v>1324</v>
      </c>
      <c r="C50" s="293"/>
      <c r="D50" s="293" t="s">
        <v>1108</v>
      </c>
      <c r="E50" s="293"/>
      <c r="F50" s="293"/>
      <c r="G50" s="293"/>
      <c r="H50" s="293"/>
      <c r="I50" s="293"/>
      <c r="J50" s="293"/>
      <c r="K50" s="293" t="s">
        <v>1371</v>
      </c>
      <c r="L50" s="1032" t="s">
        <v>829</v>
      </c>
      <c r="M50" s="293"/>
      <c r="N50" s="293"/>
      <c r="O50" s="293" t="s">
        <v>52</v>
      </c>
      <c r="P50" s="293"/>
      <c r="Q50" s="293"/>
      <c r="R50" s="293"/>
      <c r="S50" s="293"/>
      <c r="T50" s="293"/>
      <c r="U50" s="293"/>
      <c r="V50" s="293"/>
      <c r="W50" s="293"/>
      <c r="X50" s="293"/>
      <c r="Y50" s="293" t="s">
        <v>1268</v>
      </c>
      <c r="Z50" s="293"/>
      <c r="AA50" s="869"/>
      <c r="AB50" s="293"/>
      <c r="AC50" s="293"/>
      <c r="AD50" s="293"/>
      <c r="AE50" s="293"/>
      <c r="AF50" s="293"/>
      <c r="AG50" s="312"/>
      <c r="AH50" s="312"/>
      <c r="AI50" s="312"/>
    </row>
    <row r="51" spans="1:35" x14ac:dyDescent="0.25">
      <c r="A51" s="196"/>
      <c r="B51" s="1032" t="s">
        <v>1303</v>
      </c>
      <c r="C51" s="293"/>
      <c r="D51" s="293" t="s">
        <v>867</v>
      </c>
      <c r="E51" s="293"/>
      <c r="F51" s="293"/>
      <c r="G51" s="293"/>
      <c r="H51" s="293"/>
      <c r="I51" s="293"/>
      <c r="J51" s="293"/>
      <c r="K51" s="293" t="s">
        <v>1167</v>
      </c>
      <c r="L51" s="1032" t="s">
        <v>832</v>
      </c>
      <c r="M51" s="293"/>
      <c r="N51" s="907"/>
      <c r="O51" s="312" t="s">
        <v>53</v>
      </c>
      <c r="P51" s="908"/>
      <c r="Q51" s="293"/>
      <c r="R51" s="293"/>
      <c r="S51" s="293"/>
      <c r="T51" s="293"/>
      <c r="U51" s="293"/>
      <c r="V51" s="293"/>
      <c r="W51" s="293"/>
      <c r="X51" s="293"/>
      <c r="Y51" s="293" t="s">
        <v>1269</v>
      </c>
      <c r="Z51" s="293"/>
      <c r="AA51" s="869"/>
      <c r="AB51" s="293"/>
      <c r="AC51" s="293"/>
      <c r="AD51" s="293"/>
      <c r="AE51" s="293"/>
      <c r="AF51" s="293"/>
      <c r="AG51" s="312"/>
      <c r="AH51" s="312"/>
      <c r="AI51" s="312"/>
    </row>
    <row r="52" spans="1:35" x14ac:dyDescent="0.25">
      <c r="A52" s="196"/>
      <c r="B52" s="1032" t="s">
        <v>846</v>
      </c>
      <c r="C52" s="293"/>
      <c r="D52" s="312" t="s">
        <v>1109</v>
      </c>
      <c r="E52" s="293"/>
      <c r="F52" s="293"/>
      <c r="G52" s="293"/>
      <c r="H52" s="293"/>
      <c r="I52" s="293"/>
      <c r="J52" s="293"/>
      <c r="K52" s="293" t="s">
        <v>1139</v>
      </c>
      <c r="L52" s="1032" t="s">
        <v>1186</v>
      </c>
      <c r="M52" s="293"/>
      <c r="N52" s="907"/>
      <c r="O52" s="312" t="s">
        <v>54</v>
      </c>
      <c r="P52" s="908"/>
      <c r="Q52" s="293"/>
      <c r="R52" s="293"/>
      <c r="S52" s="293"/>
      <c r="T52" s="293"/>
      <c r="U52" s="293"/>
      <c r="V52" s="293"/>
      <c r="W52" s="293"/>
      <c r="X52" s="293"/>
      <c r="Y52" s="293" t="s">
        <v>1270</v>
      </c>
      <c r="Z52" s="293"/>
      <c r="AA52" s="869"/>
      <c r="AB52" s="293"/>
      <c r="AC52" s="293"/>
      <c r="AD52" s="293"/>
      <c r="AE52" s="293"/>
      <c r="AF52" s="293"/>
      <c r="AG52" s="312"/>
      <c r="AH52" s="312"/>
      <c r="AI52" s="312"/>
    </row>
    <row r="53" spans="1:35" x14ac:dyDescent="0.25">
      <c r="A53" s="196"/>
      <c r="B53" s="1032" t="s">
        <v>1065</v>
      </c>
      <c r="C53" s="293"/>
      <c r="D53" s="911" t="s">
        <v>1318</v>
      </c>
      <c r="E53" s="293"/>
      <c r="F53" s="293"/>
      <c r="G53" s="293"/>
      <c r="H53" s="293"/>
      <c r="I53" s="293"/>
      <c r="J53" s="293"/>
      <c r="K53" s="293" t="s">
        <v>1140</v>
      </c>
      <c r="L53" s="1032" t="s">
        <v>815</v>
      </c>
      <c r="M53" s="293"/>
      <c r="N53" s="907"/>
      <c r="O53" s="312" t="s">
        <v>55</v>
      </c>
      <c r="P53" s="908"/>
      <c r="Q53" s="293"/>
      <c r="R53" s="293"/>
      <c r="S53" s="293"/>
      <c r="T53" s="293"/>
      <c r="U53" s="293"/>
      <c r="V53" s="293"/>
      <c r="W53" s="293"/>
      <c r="X53" s="293"/>
      <c r="Y53" s="293" t="s">
        <v>195</v>
      </c>
      <c r="Z53" s="293"/>
      <c r="AA53" s="869"/>
      <c r="AB53" s="293"/>
      <c r="AC53" s="293"/>
      <c r="AD53" s="293"/>
      <c r="AE53" s="293"/>
      <c r="AF53" s="293"/>
      <c r="AG53" s="312"/>
      <c r="AH53" s="312"/>
      <c r="AI53" s="312"/>
    </row>
    <row r="54" spans="1:35" x14ac:dyDescent="0.25">
      <c r="A54" s="196"/>
      <c r="B54" s="1033" t="s">
        <v>1345</v>
      </c>
      <c r="C54" s="293"/>
      <c r="D54" s="912" t="s">
        <v>1358</v>
      </c>
      <c r="E54" s="293"/>
      <c r="F54" s="293"/>
      <c r="G54" s="293"/>
      <c r="H54" s="293"/>
      <c r="I54" s="293"/>
      <c r="J54" s="293"/>
      <c r="K54" s="293" t="s">
        <v>1168</v>
      </c>
      <c r="L54" s="1032" t="s">
        <v>816</v>
      </c>
      <c r="M54" s="293"/>
      <c r="N54" s="907"/>
      <c r="O54" s="312" t="s">
        <v>56</v>
      </c>
      <c r="P54" s="908"/>
      <c r="Q54" s="293"/>
      <c r="R54" s="293"/>
      <c r="S54" s="293"/>
      <c r="T54" s="293"/>
      <c r="U54" s="293"/>
      <c r="V54" s="293"/>
      <c r="W54" s="293"/>
      <c r="X54" s="293"/>
      <c r="Y54" s="293" t="s">
        <v>1271</v>
      </c>
      <c r="Z54" s="293"/>
      <c r="AA54" s="869"/>
      <c r="AB54" s="293"/>
      <c r="AC54" s="293"/>
      <c r="AD54" s="293"/>
      <c r="AE54" s="293"/>
      <c r="AF54" s="293"/>
      <c r="AG54" s="312"/>
      <c r="AH54" s="312"/>
      <c r="AI54" s="312"/>
    </row>
    <row r="55" spans="1:35" x14ac:dyDescent="0.25">
      <c r="A55" s="196"/>
      <c r="B55" s="1032" t="s">
        <v>847</v>
      </c>
      <c r="C55" s="293"/>
      <c r="D55" s="911" t="s">
        <v>1110</v>
      </c>
      <c r="E55" s="293"/>
      <c r="F55" s="293"/>
      <c r="G55" s="293"/>
      <c r="H55" s="293"/>
      <c r="I55" s="293"/>
      <c r="J55" s="293"/>
      <c r="K55" s="912" t="s">
        <v>1367</v>
      </c>
      <c r="L55" s="1032" t="s">
        <v>817</v>
      </c>
      <c r="M55" s="293"/>
      <c r="N55" s="907"/>
      <c r="O55" s="312" t="s">
        <v>57</v>
      </c>
      <c r="P55" s="908"/>
      <c r="Q55" s="293"/>
      <c r="R55" s="293"/>
      <c r="S55" s="293"/>
      <c r="T55" s="293"/>
      <c r="U55" s="293"/>
      <c r="V55" s="293"/>
      <c r="W55" s="293"/>
      <c r="X55" s="293"/>
      <c r="Y55" s="293" t="s">
        <v>1272</v>
      </c>
      <c r="Z55" s="293"/>
      <c r="AA55" s="869"/>
      <c r="AB55" s="293"/>
      <c r="AC55" s="293"/>
      <c r="AD55" s="293"/>
      <c r="AE55" s="293"/>
      <c r="AF55" s="293"/>
      <c r="AG55" s="312"/>
      <c r="AH55" s="312"/>
      <c r="AI55" s="312"/>
    </row>
    <row r="56" spans="1:35" x14ac:dyDescent="0.25">
      <c r="A56" s="196"/>
      <c r="B56" s="1032" t="s">
        <v>1066</v>
      </c>
      <c r="C56" s="293"/>
      <c r="D56" s="912" t="s">
        <v>1342</v>
      </c>
      <c r="E56" s="293"/>
      <c r="F56" s="293"/>
      <c r="G56" s="293"/>
      <c r="H56" s="293"/>
      <c r="I56" s="293"/>
      <c r="J56" s="293"/>
      <c r="K56" s="912" t="s">
        <v>1368</v>
      </c>
      <c r="L56" s="1032" t="s">
        <v>1308</v>
      </c>
      <c r="M56" s="293"/>
      <c r="N56" s="293"/>
      <c r="O56" s="293" t="s">
        <v>58</v>
      </c>
      <c r="P56" s="293"/>
      <c r="Q56" s="293"/>
      <c r="R56" s="293"/>
      <c r="S56" s="293"/>
      <c r="T56" s="293"/>
      <c r="U56" s="293"/>
      <c r="V56" s="293"/>
      <c r="W56" s="293"/>
      <c r="X56" s="293"/>
      <c r="Y56" s="293" t="s">
        <v>1273</v>
      </c>
      <c r="Z56" s="293"/>
      <c r="AA56" s="869"/>
      <c r="AB56" s="293"/>
      <c r="AC56" s="293"/>
      <c r="AD56" s="293"/>
      <c r="AE56" s="293"/>
      <c r="AF56" s="293"/>
      <c r="AG56" s="312"/>
      <c r="AH56" s="312"/>
      <c r="AI56" s="312"/>
    </row>
    <row r="57" spans="1:35" x14ac:dyDescent="0.25">
      <c r="A57" s="196"/>
      <c r="B57" s="1032" t="s">
        <v>848</v>
      </c>
      <c r="C57" s="293"/>
      <c r="D57" s="911" t="s">
        <v>1076</v>
      </c>
      <c r="E57" s="293"/>
      <c r="F57" s="293"/>
      <c r="G57" s="293"/>
      <c r="H57" s="293"/>
      <c r="I57" s="293"/>
      <c r="J57" s="293"/>
      <c r="K57" s="293" t="s">
        <v>1169</v>
      </c>
      <c r="L57" s="1032" t="s">
        <v>1309</v>
      </c>
      <c r="M57" s="293"/>
      <c r="N57" s="293"/>
      <c r="O57" s="293" t="s">
        <v>364</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25">
      <c r="A58" s="196"/>
      <c r="B58" s="1032" t="s">
        <v>849</v>
      </c>
      <c r="C58" s="293"/>
      <c r="D58" s="911" t="s">
        <v>348</v>
      </c>
      <c r="E58" s="293"/>
      <c r="F58" s="293"/>
      <c r="G58" s="293"/>
      <c r="H58" s="293"/>
      <c r="I58" s="293"/>
      <c r="J58" s="293"/>
      <c r="K58" s="293" t="s">
        <v>1170</v>
      </c>
      <c r="L58" s="1032" t="s">
        <v>1002</v>
      </c>
      <c r="M58" s="293"/>
      <c r="N58" s="293"/>
      <c r="O58" s="293" t="s">
        <v>365</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25">
      <c r="A59" s="196"/>
      <c r="B59" s="1033" t="s">
        <v>1349</v>
      </c>
      <c r="C59" s="293"/>
      <c r="D59" s="911" t="s">
        <v>357</v>
      </c>
      <c r="E59" s="293"/>
      <c r="F59" s="293"/>
      <c r="G59" s="293"/>
      <c r="H59" s="293"/>
      <c r="I59" s="293"/>
      <c r="J59" s="293"/>
      <c r="K59" s="293" t="s">
        <v>1171</v>
      </c>
      <c r="L59" s="1032" t="s">
        <v>95</v>
      </c>
      <c r="M59" s="293"/>
      <c r="N59" s="293"/>
      <c r="O59" s="293" t="s">
        <v>366</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25">
      <c r="A60" s="196"/>
      <c r="B60" s="1032" t="s">
        <v>1067</v>
      </c>
      <c r="C60" s="293"/>
      <c r="D60" s="911" t="s">
        <v>358</v>
      </c>
      <c r="E60" s="293"/>
      <c r="F60" s="293"/>
      <c r="G60" s="293"/>
      <c r="H60" s="293"/>
      <c r="I60" s="293"/>
      <c r="J60" s="907"/>
      <c r="K60" s="312" t="s">
        <v>1172</v>
      </c>
      <c r="L60" s="1034" t="s">
        <v>96</v>
      </c>
      <c r="M60" s="293"/>
      <c r="N60" s="293"/>
      <c r="O60" s="293" t="s">
        <v>367</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25">
      <c r="A61" s="31"/>
      <c r="B61" s="1032" t="s">
        <v>1302</v>
      </c>
      <c r="C61" s="908"/>
      <c r="D61" s="911" t="s">
        <v>868</v>
      </c>
      <c r="E61" s="293"/>
      <c r="F61" s="293"/>
      <c r="G61" s="293"/>
      <c r="H61" s="293"/>
      <c r="I61" s="293"/>
      <c r="J61" s="907"/>
      <c r="K61" s="312" t="s">
        <v>1173</v>
      </c>
      <c r="L61" s="1035" t="s">
        <v>1373</v>
      </c>
      <c r="M61" s="293"/>
      <c r="N61" s="293"/>
      <c r="O61" s="293" t="s">
        <v>368</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25">
      <c r="A62" s="31"/>
      <c r="B62" s="1032" t="s">
        <v>850</v>
      </c>
      <c r="C62" s="908"/>
      <c r="D62" s="912" t="s">
        <v>1337</v>
      </c>
      <c r="E62" s="293"/>
      <c r="F62" s="293"/>
      <c r="G62" s="293"/>
      <c r="H62" s="293"/>
      <c r="I62" s="293"/>
      <c r="J62" s="907"/>
      <c r="K62" s="912" t="s">
        <v>1366</v>
      </c>
      <c r="L62" s="1034" t="s">
        <v>830</v>
      </c>
      <c r="M62" s="293"/>
      <c r="N62" s="293"/>
      <c r="O62" s="293" t="s">
        <v>369</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25">
      <c r="A63" s="31"/>
      <c r="B63" s="1033" t="s">
        <v>1356</v>
      </c>
      <c r="C63" s="908"/>
      <c r="D63" s="293" t="s">
        <v>869</v>
      </c>
      <c r="E63" s="293"/>
      <c r="F63" s="293"/>
      <c r="G63" s="293"/>
      <c r="H63" s="293"/>
      <c r="I63" s="293"/>
      <c r="J63" s="907"/>
      <c r="K63" s="312" t="s">
        <v>1174</v>
      </c>
      <c r="L63" s="1034" t="s">
        <v>818</v>
      </c>
      <c r="M63" s="293"/>
      <c r="N63" s="293"/>
      <c r="O63" s="293" t="s">
        <v>370</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25">
      <c r="A64" s="31"/>
      <c r="B64" s="1032" t="s">
        <v>851</v>
      </c>
      <c r="C64" s="908"/>
      <c r="D64" s="293" t="s">
        <v>870</v>
      </c>
      <c r="E64" s="293"/>
      <c r="F64" s="293"/>
      <c r="G64" s="293"/>
      <c r="H64" s="293"/>
      <c r="I64" s="293"/>
      <c r="J64" s="907"/>
      <c r="K64" s="312" t="s">
        <v>1175</v>
      </c>
      <c r="L64" s="1034" t="s">
        <v>1187</v>
      </c>
      <c r="M64" s="293"/>
      <c r="N64" s="293"/>
      <c r="O64" s="293" t="s">
        <v>371</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25">
      <c r="A65" s="31"/>
      <c r="B65" s="1032" t="s">
        <v>852</v>
      </c>
      <c r="C65" s="908"/>
      <c r="D65" s="293" t="s">
        <v>359</v>
      </c>
      <c r="E65" s="293"/>
      <c r="F65" s="293"/>
      <c r="G65" s="293"/>
      <c r="H65" s="293"/>
      <c r="I65" s="293"/>
      <c r="J65" s="293"/>
      <c r="K65" s="293"/>
      <c r="L65" s="1032" t="s">
        <v>819</v>
      </c>
      <c r="M65" s="293"/>
      <c r="N65" s="293"/>
      <c r="O65" s="293" t="s">
        <v>372</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25">
      <c r="A66" s="31"/>
      <c r="B66" s="1033" t="s">
        <v>1344</v>
      </c>
      <c r="C66" s="908"/>
      <c r="D66" s="293" t="s">
        <v>349</v>
      </c>
      <c r="E66" s="293"/>
      <c r="F66" s="293"/>
      <c r="G66" s="293"/>
      <c r="H66" s="293"/>
      <c r="I66" s="293"/>
      <c r="J66" s="293"/>
      <c r="K66" s="293"/>
      <c r="L66" s="1032" t="s">
        <v>935</v>
      </c>
      <c r="M66" s="293"/>
      <c r="N66" s="293"/>
      <c r="O66" s="293" t="s">
        <v>373</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25">
      <c r="A67" s="31"/>
      <c r="B67" s="1032" t="s">
        <v>853</v>
      </c>
      <c r="C67" s="908"/>
      <c r="D67" s="293" t="s">
        <v>347</v>
      </c>
      <c r="E67" s="293"/>
      <c r="F67" s="293"/>
      <c r="G67" s="293"/>
      <c r="H67" s="293"/>
      <c r="I67" s="293"/>
      <c r="J67" s="293"/>
      <c r="K67" s="293"/>
      <c r="L67" s="1032" t="s">
        <v>936</v>
      </c>
      <c r="M67" s="293"/>
      <c r="N67" s="293"/>
      <c r="O67" s="293" t="s">
        <v>374</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25">
      <c r="A68" s="31"/>
      <c r="B68" s="1033" t="s">
        <v>1376</v>
      </c>
      <c r="C68" s="908"/>
      <c r="D68" s="293" t="s">
        <v>1305</v>
      </c>
      <c r="E68" s="293"/>
      <c r="F68" s="293"/>
      <c r="G68" s="293"/>
      <c r="H68" s="293"/>
      <c r="I68" s="293"/>
      <c r="J68" s="293"/>
      <c r="K68" s="293"/>
      <c r="L68" s="1032" t="s">
        <v>820</v>
      </c>
      <c r="M68" s="293"/>
      <c r="N68" s="293"/>
      <c r="O68" s="293" t="s">
        <v>375</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25">
      <c r="A69" s="31"/>
      <c r="B69" s="1033" t="s">
        <v>1326</v>
      </c>
      <c r="C69" s="908"/>
      <c r="D69" s="293" t="s">
        <v>1111</v>
      </c>
      <c r="E69" s="293"/>
      <c r="F69" s="293"/>
      <c r="G69" s="293"/>
      <c r="H69" s="293"/>
      <c r="I69" s="293"/>
      <c r="J69" s="293"/>
      <c r="K69" s="293"/>
      <c r="L69" s="1032" t="s">
        <v>821</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25">
      <c r="A70" s="31"/>
      <c r="B70" s="1033" t="s">
        <v>1374</v>
      </c>
      <c r="C70" s="908"/>
      <c r="D70" s="293" t="s">
        <v>1112</v>
      </c>
      <c r="E70" s="293"/>
      <c r="F70" s="293"/>
      <c r="G70" s="293"/>
      <c r="H70" s="293"/>
      <c r="I70" s="293"/>
      <c r="J70" s="293"/>
      <c r="K70" s="293"/>
      <c r="L70" s="1032" t="s">
        <v>822</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25">
      <c r="A71" s="31"/>
      <c r="B71" s="1032" t="s">
        <v>854</v>
      </c>
      <c r="C71" s="908"/>
      <c r="D71" s="293" t="s">
        <v>1113</v>
      </c>
      <c r="E71" s="293"/>
      <c r="F71" s="293"/>
      <c r="G71" s="293"/>
      <c r="H71" s="293"/>
      <c r="I71" s="293"/>
      <c r="J71" s="293"/>
      <c r="K71" s="293"/>
      <c r="L71" s="1032" t="s">
        <v>823</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25">
      <c r="A72" s="31"/>
      <c r="B72" s="1032" t="s">
        <v>855</v>
      </c>
      <c r="C72" s="908"/>
      <c r="D72" s="293" t="s">
        <v>1114</v>
      </c>
      <c r="E72" s="293"/>
      <c r="F72" s="293"/>
      <c r="G72" s="293"/>
      <c r="H72" s="293"/>
      <c r="I72" s="293"/>
      <c r="J72" s="293"/>
      <c r="K72" s="907"/>
      <c r="L72" s="1032" t="s">
        <v>1188</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25">
      <c r="A73" s="31"/>
      <c r="B73" s="1032" t="s">
        <v>856</v>
      </c>
      <c r="C73" s="908"/>
      <c r="D73" s="293" t="s">
        <v>1115</v>
      </c>
      <c r="E73" s="293"/>
      <c r="F73" s="293"/>
      <c r="G73" s="293"/>
      <c r="H73" s="293"/>
      <c r="I73" s="293"/>
      <c r="J73" s="293"/>
      <c r="K73" s="907"/>
      <c r="L73" s="1032" t="s">
        <v>1189</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25">
      <c r="A74" s="31"/>
      <c r="B74" s="1032" t="s">
        <v>1068</v>
      </c>
      <c r="C74" s="908"/>
      <c r="D74" s="293" t="s">
        <v>1116</v>
      </c>
      <c r="E74" s="293"/>
      <c r="F74" s="293"/>
      <c r="G74" s="293"/>
      <c r="H74" s="293"/>
      <c r="I74" s="293"/>
      <c r="J74" s="293"/>
      <c r="K74" s="907"/>
      <c r="L74" s="1032" t="s">
        <v>831</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25">
      <c r="A75" s="31"/>
      <c r="B75" s="1032" t="s">
        <v>857</v>
      </c>
      <c r="C75" s="908"/>
      <c r="D75" s="293" t="s">
        <v>1117</v>
      </c>
      <c r="E75" s="293"/>
      <c r="F75" s="293"/>
      <c r="G75" s="293"/>
      <c r="H75" s="293"/>
      <c r="I75" s="293"/>
      <c r="J75" s="293"/>
      <c r="K75" s="907"/>
      <c r="L75" s="1032" t="s">
        <v>824</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25">
      <c r="A76" s="31"/>
      <c r="B76" s="1033" t="s">
        <v>1355</v>
      </c>
      <c r="C76" s="908"/>
      <c r="D76" s="293" t="s">
        <v>1118</v>
      </c>
      <c r="E76" s="293"/>
      <c r="F76" s="293"/>
      <c r="G76" s="293"/>
      <c r="H76" s="293"/>
      <c r="I76" s="293"/>
      <c r="J76" s="293"/>
      <c r="K76" s="293"/>
      <c r="L76" s="293"/>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25">
      <c r="A77" s="31"/>
      <c r="B77" s="1032" t="s">
        <v>1069</v>
      </c>
      <c r="C77" s="908"/>
      <c r="D77" s="293" t="s">
        <v>169</v>
      </c>
      <c r="E77" s="293"/>
      <c r="F77" s="293"/>
      <c r="G77" s="293"/>
      <c r="H77" s="293"/>
      <c r="I77" s="293"/>
      <c r="J77" s="293"/>
      <c r="K77" s="293"/>
      <c r="L77" s="293"/>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25">
      <c r="A78" s="31"/>
      <c r="B78" s="1032" t="s">
        <v>1070</v>
      </c>
      <c r="C78" s="908"/>
      <c r="D78" s="912" t="s">
        <v>1341</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25">
      <c r="A79" s="31"/>
      <c r="B79" s="1033" t="s">
        <v>1325</v>
      </c>
      <c r="C79" s="908"/>
      <c r="D79" s="293" t="s">
        <v>1119</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25">
      <c r="A80" s="31"/>
      <c r="B80" s="1033" t="s">
        <v>1325</v>
      </c>
      <c r="C80" s="908"/>
      <c r="D80" s="293" t="s">
        <v>1306</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25">
      <c r="B81" s="1032" t="s">
        <v>858</v>
      </c>
      <c r="C81" s="909"/>
      <c r="D81" s="312" t="s">
        <v>1120</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25">
      <c r="B82" s="1032" t="s">
        <v>1071</v>
      </c>
      <c r="C82" s="909"/>
      <c r="D82" s="312" t="s">
        <v>871</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25">
      <c r="B83" s="1032" t="s">
        <v>859</v>
      </c>
      <c r="C83" s="909"/>
      <c r="D83" s="312" t="s">
        <v>872</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25">
      <c r="B84" s="1032" t="s">
        <v>860</v>
      </c>
      <c r="C84" s="909"/>
      <c r="D84" s="312" t="s">
        <v>873</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25">
      <c r="B85" s="1032" t="s">
        <v>861</v>
      </c>
      <c r="C85" s="909"/>
      <c r="D85" s="312" t="s">
        <v>360</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25">
      <c r="B86" s="1033" t="s">
        <v>1328</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25">
      <c r="B87" s="1033" t="s">
        <v>1328</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25">
      <c r="B88" s="1033" t="s">
        <v>1382</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25">
      <c r="B89" s="1033" t="s">
        <v>1348</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25">
      <c r="B90" s="1032" t="s">
        <v>1072</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25">
      <c r="B91" s="1032" t="s">
        <v>862</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25">
      <c r="B92" s="1032" t="s">
        <v>1073</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25">
      <c r="B93" s="1033" t="s">
        <v>1351</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25">
      <c r="B94" s="1032" t="s">
        <v>863</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25">
      <c r="B95" s="1033" t="s">
        <v>1354</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25">
      <c r="B96" s="1033" t="s">
        <v>1352</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25">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25">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25">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25">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8"/>
  <sheetViews>
    <sheetView zoomScale="80" zoomScaleNormal="80" workbookViewId="0">
      <pane xSplit="2" ySplit="1" topLeftCell="C2" activePane="bottomRight" state="frozen"/>
      <selection pane="topRight" activeCell="C1" sqref="C1"/>
      <selection pane="bottomLeft" activeCell="A2" sqref="A2"/>
      <selection pane="bottomRight" activeCell="D48" sqref="D48"/>
    </sheetView>
  </sheetViews>
  <sheetFormatPr defaultColWidth="8.85546875" defaultRowHeight="14.25" x14ac:dyDescent="0.2"/>
  <cols>
    <col min="1" max="1" width="22.85546875" style="1080" customWidth="1"/>
    <col min="2" max="2" width="26.42578125" style="1074" customWidth="1"/>
    <col min="3" max="3" width="57.85546875" style="1088" customWidth="1"/>
    <col min="4" max="4" width="100.42578125" style="1088" customWidth="1"/>
    <col min="5" max="5" width="9.85546875" style="1071" bestFit="1" customWidth="1"/>
    <col min="6" max="6" width="12.42578125" style="1071" bestFit="1" customWidth="1"/>
    <col min="7" max="7" width="52" style="1106" bestFit="1" customWidth="1"/>
    <col min="8" max="8" width="9.28515625" style="1080" bestFit="1" customWidth="1"/>
    <col min="9" max="9" width="21.28515625" style="1080" bestFit="1" customWidth="1"/>
    <col min="10" max="10" width="28.7109375" style="1080" customWidth="1"/>
    <col min="11" max="11" width="33.42578125" style="1071" customWidth="1"/>
    <col min="12" max="12" width="74.7109375" style="1071" customWidth="1"/>
    <col min="13" max="13" width="26.42578125" style="1074" customWidth="1"/>
    <col min="14" max="14" width="50.28515625" style="1088" customWidth="1"/>
    <col min="15" max="16384" width="8.85546875" style="1074"/>
  </cols>
  <sheetData>
    <row r="1" spans="1:14" ht="30" x14ac:dyDescent="0.25">
      <c r="A1" s="1084" t="s">
        <v>556</v>
      </c>
      <c r="B1" s="1084" t="s">
        <v>557</v>
      </c>
      <c r="C1" s="1084" t="s">
        <v>558</v>
      </c>
      <c r="D1" s="1090" t="s">
        <v>199</v>
      </c>
      <c r="E1" s="1082" t="s">
        <v>156</v>
      </c>
      <c r="F1" s="1091" t="s">
        <v>158</v>
      </c>
      <c r="G1" s="1092" t="s">
        <v>200</v>
      </c>
      <c r="H1" s="1093" t="s">
        <v>201</v>
      </c>
      <c r="I1" s="1090" t="s">
        <v>559</v>
      </c>
      <c r="J1" s="1094" t="s">
        <v>202</v>
      </c>
      <c r="K1" s="1094" t="s">
        <v>203</v>
      </c>
      <c r="L1" s="1094" t="s">
        <v>204</v>
      </c>
      <c r="M1" s="1084" t="s">
        <v>1893</v>
      </c>
      <c r="N1" s="1084" t="s">
        <v>2226</v>
      </c>
    </row>
    <row r="2" spans="1:14" ht="15" customHeight="1" x14ac:dyDescent="0.2">
      <c r="A2" s="1087" t="s">
        <v>560</v>
      </c>
      <c r="B2" s="1053" t="s">
        <v>1049</v>
      </c>
      <c r="C2" s="1071" t="s">
        <v>1431</v>
      </c>
      <c r="D2" s="1095" t="s">
        <v>205</v>
      </c>
      <c r="E2" s="1075" t="s">
        <v>561</v>
      </c>
      <c r="F2" s="1075" t="s">
        <v>562</v>
      </c>
      <c r="G2" s="1095" t="s">
        <v>196</v>
      </c>
      <c r="H2" s="1095" t="s">
        <v>206</v>
      </c>
      <c r="I2" s="1095" t="s">
        <v>619</v>
      </c>
      <c r="J2" s="1073" t="s">
        <v>567</v>
      </c>
      <c r="K2" s="1073" t="s">
        <v>567</v>
      </c>
      <c r="L2" s="1079">
        <v>63999</v>
      </c>
      <c r="M2" s="1053" t="s">
        <v>1049</v>
      </c>
      <c r="N2" s="1107" t="s">
        <v>111</v>
      </c>
    </row>
    <row r="3" spans="1:14" ht="15" customHeight="1" x14ac:dyDescent="0.2">
      <c r="A3" s="1087" t="s">
        <v>560</v>
      </c>
      <c r="B3" s="1053" t="s">
        <v>1049</v>
      </c>
      <c r="C3" s="1071" t="s">
        <v>1747</v>
      </c>
      <c r="D3" s="1083" t="s">
        <v>563</v>
      </c>
      <c r="E3" s="1083" t="s">
        <v>561</v>
      </c>
      <c r="F3" s="1083" t="s">
        <v>562</v>
      </c>
      <c r="G3" s="1083" t="s">
        <v>196</v>
      </c>
      <c r="H3" s="1096" t="s">
        <v>208</v>
      </c>
      <c r="I3" s="1095" t="s">
        <v>619</v>
      </c>
      <c r="J3" s="1073" t="s">
        <v>567</v>
      </c>
      <c r="K3" s="1073" t="s">
        <v>567</v>
      </c>
      <c r="L3" s="1079">
        <v>63999</v>
      </c>
      <c r="M3" s="1053" t="s">
        <v>1049</v>
      </c>
      <c r="N3" s="1107" t="s">
        <v>1896</v>
      </c>
    </row>
    <row r="4" spans="1:14" ht="15" customHeight="1" x14ac:dyDescent="0.2">
      <c r="A4" s="1087" t="s">
        <v>560</v>
      </c>
      <c r="B4" s="1053" t="s">
        <v>1049</v>
      </c>
      <c r="C4" s="1071" t="s">
        <v>1433</v>
      </c>
      <c r="D4" s="1095" t="s">
        <v>207</v>
      </c>
      <c r="E4" s="1083" t="s">
        <v>561</v>
      </c>
      <c r="F4" s="1083" t="s">
        <v>562</v>
      </c>
      <c r="G4" s="1083" t="s">
        <v>196</v>
      </c>
      <c r="H4" s="1096" t="s">
        <v>208</v>
      </c>
      <c r="I4" s="1095" t="s">
        <v>619</v>
      </c>
      <c r="J4" s="1073" t="s">
        <v>567</v>
      </c>
      <c r="K4" s="1073" t="s">
        <v>567</v>
      </c>
      <c r="L4" s="1079">
        <v>63999</v>
      </c>
      <c r="M4" s="1053" t="s">
        <v>1049</v>
      </c>
      <c r="N4" s="1107" t="s">
        <v>125</v>
      </c>
    </row>
    <row r="5" spans="1:14" ht="15" customHeight="1" x14ac:dyDescent="0.2">
      <c r="A5" s="1087" t="s">
        <v>560</v>
      </c>
      <c r="B5" s="1053" t="s">
        <v>1049</v>
      </c>
      <c r="C5" s="1071" t="s">
        <v>564</v>
      </c>
      <c r="D5" s="1083" t="s">
        <v>564</v>
      </c>
      <c r="E5" s="1083" t="s">
        <v>561</v>
      </c>
      <c r="F5" s="1083" t="s">
        <v>562</v>
      </c>
      <c r="G5" s="1083" t="s">
        <v>196</v>
      </c>
      <c r="H5" s="1096" t="s">
        <v>208</v>
      </c>
      <c r="I5" s="1095" t="s">
        <v>619</v>
      </c>
      <c r="J5" s="1073" t="s">
        <v>567</v>
      </c>
      <c r="K5" s="1073" t="s">
        <v>567</v>
      </c>
      <c r="L5" s="1079">
        <v>63999</v>
      </c>
      <c r="M5" s="1053" t="s">
        <v>1049</v>
      </c>
      <c r="N5" s="1107" t="s">
        <v>529</v>
      </c>
    </row>
    <row r="6" spans="1:14" ht="15" customHeight="1" x14ac:dyDescent="0.2">
      <c r="A6" s="1087" t="s">
        <v>560</v>
      </c>
      <c r="B6" s="1053" t="s">
        <v>1049</v>
      </c>
      <c r="C6" s="1071" t="s">
        <v>1422</v>
      </c>
      <c r="D6" s="1083" t="s">
        <v>1422</v>
      </c>
      <c r="E6" s="1083" t="s">
        <v>561</v>
      </c>
      <c r="F6" s="1083" t="s">
        <v>562</v>
      </c>
      <c r="G6" s="1083" t="s">
        <v>196</v>
      </c>
      <c r="H6" s="1096" t="s">
        <v>208</v>
      </c>
      <c r="I6" s="1095" t="s">
        <v>619</v>
      </c>
      <c r="J6" s="1073" t="s">
        <v>567</v>
      </c>
      <c r="K6" s="1073" t="s">
        <v>567</v>
      </c>
      <c r="L6" s="1079">
        <v>63999</v>
      </c>
      <c r="M6" s="1053" t="s">
        <v>1049</v>
      </c>
      <c r="N6" s="1107" t="s">
        <v>2232</v>
      </c>
    </row>
    <row r="7" spans="1:14" ht="15" customHeight="1" x14ac:dyDescent="0.2">
      <c r="A7" s="1087" t="s">
        <v>560</v>
      </c>
      <c r="B7" s="1053" t="s">
        <v>1049</v>
      </c>
      <c r="C7" s="1071" t="s">
        <v>1884</v>
      </c>
      <c r="D7" s="1071" t="s">
        <v>1884</v>
      </c>
      <c r="E7" s="1083" t="s">
        <v>561</v>
      </c>
      <c r="F7" s="1083" t="s">
        <v>562</v>
      </c>
      <c r="G7" s="1083" t="s">
        <v>196</v>
      </c>
      <c r="H7" s="1096" t="s">
        <v>206</v>
      </c>
      <c r="I7" s="1095" t="s">
        <v>619</v>
      </c>
      <c r="J7" s="1073"/>
      <c r="K7" s="1073"/>
      <c r="L7" s="1079">
        <v>63999</v>
      </c>
      <c r="M7" s="1053" t="s">
        <v>1049</v>
      </c>
      <c r="N7" s="1074" t="s">
        <v>1894</v>
      </c>
    </row>
    <row r="8" spans="1:14" ht="15" customHeight="1" x14ac:dyDescent="0.2">
      <c r="A8" s="1087" t="s">
        <v>560</v>
      </c>
      <c r="B8" s="1053" t="s">
        <v>1049</v>
      </c>
      <c r="C8" s="1071" t="s">
        <v>1434</v>
      </c>
      <c r="D8" s="1095" t="s">
        <v>209</v>
      </c>
      <c r="E8" s="1097">
        <v>1</v>
      </c>
      <c r="F8" s="1097">
        <f ca="1">TODAY()</f>
        <v>42886</v>
      </c>
      <c r="G8" s="1095" t="s">
        <v>116</v>
      </c>
      <c r="H8" s="1096" t="s">
        <v>206</v>
      </c>
      <c r="I8" s="1095" t="s">
        <v>565</v>
      </c>
      <c r="J8" s="1073" t="s">
        <v>567</v>
      </c>
      <c r="K8" s="1073" t="s">
        <v>567</v>
      </c>
      <c r="L8" s="1073" t="s">
        <v>567</v>
      </c>
      <c r="M8" s="1053" t="s">
        <v>1049</v>
      </c>
      <c r="N8" s="1107" t="s">
        <v>1897</v>
      </c>
    </row>
    <row r="9" spans="1:14" ht="15" customHeight="1" x14ac:dyDescent="0.2">
      <c r="A9" s="1087" t="s">
        <v>560</v>
      </c>
      <c r="B9" s="1053" t="s">
        <v>1049</v>
      </c>
      <c r="C9" s="1071" t="s">
        <v>1435</v>
      </c>
      <c r="D9" s="1095" t="s">
        <v>210</v>
      </c>
      <c r="E9" s="1097">
        <v>1</v>
      </c>
      <c r="F9" s="1097">
        <f ca="1">TODAY()</f>
        <v>42886</v>
      </c>
      <c r="G9" s="1095" t="s">
        <v>116</v>
      </c>
      <c r="H9" s="1096" t="s">
        <v>206</v>
      </c>
      <c r="I9" s="1095" t="s">
        <v>565</v>
      </c>
      <c r="J9" s="1073" t="s">
        <v>567</v>
      </c>
      <c r="K9" s="1073" t="s">
        <v>567</v>
      </c>
      <c r="L9" s="1073" t="s">
        <v>567</v>
      </c>
      <c r="M9" s="1053" t="s">
        <v>1049</v>
      </c>
      <c r="N9" s="1107" t="s">
        <v>1898</v>
      </c>
    </row>
    <row r="10" spans="1:14" ht="15" customHeight="1" x14ac:dyDescent="0.2">
      <c r="A10" s="1087" t="s">
        <v>560</v>
      </c>
      <c r="B10" s="1053" t="s">
        <v>1049</v>
      </c>
      <c r="C10" s="1071" t="s">
        <v>1881</v>
      </c>
      <c r="D10" s="1095" t="s">
        <v>1885</v>
      </c>
      <c r="E10" s="1095">
        <v>0</v>
      </c>
      <c r="F10" s="1095">
        <v>100</v>
      </c>
      <c r="G10" s="1095" t="s">
        <v>1886</v>
      </c>
      <c r="H10" s="1096" t="s">
        <v>208</v>
      </c>
      <c r="I10" s="1095" t="s">
        <v>618</v>
      </c>
      <c r="J10" s="1073"/>
      <c r="K10" s="1073"/>
      <c r="L10" s="1073"/>
      <c r="M10" s="1053" t="s">
        <v>1049</v>
      </c>
      <c r="N10" s="1071" t="s">
        <v>1894</v>
      </c>
    </row>
    <row r="11" spans="1:14" ht="15" customHeight="1" x14ac:dyDescent="0.2">
      <c r="A11" s="1089" t="s">
        <v>567</v>
      </c>
      <c r="B11" s="1089" t="s">
        <v>567</v>
      </c>
      <c r="C11" s="1089" t="s">
        <v>567</v>
      </c>
      <c r="D11" s="1089" t="s">
        <v>567</v>
      </c>
      <c r="E11" s="1089" t="s">
        <v>567</v>
      </c>
      <c r="F11" s="1089" t="s">
        <v>567</v>
      </c>
      <c r="G11" s="1089" t="s">
        <v>567</v>
      </c>
      <c r="H11" s="1089" t="s">
        <v>567</v>
      </c>
      <c r="I11" s="1089" t="s">
        <v>567</v>
      </c>
      <c r="J11" s="1081" t="s">
        <v>567</v>
      </c>
      <c r="K11" s="1081" t="s">
        <v>567</v>
      </c>
      <c r="L11" s="1081" t="s">
        <v>567</v>
      </c>
      <c r="M11" s="1089" t="s">
        <v>567</v>
      </c>
      <c r="N11" s="1089" t="s">
        <v>567</v>
      </c>
    </row>
    <row r="12" spans="1:14" ht="15" customHeight="1" x14ac:dyDescent="0.2">
      <c r="A12" s="1087" t="s">
        <v>560</v>
      </c>
      <c r="B12" s="1087" t="s">
        <v>1050</v>
      </c>
      <c r="C12" s="1071" t="s">
        <v>1431</v>
      </c>
      <c r="D12" s="1095" t="s">
        <v>205</v>
      </c>
      <c r="E12" s="1075" t="s">
        <v>561</v>
      </c>
      <c r="F12" s="1075" t="s">
        <v>562</v>
      </c>
      <c r="G12" s="1095" t="s">
        <v>196</v>
      </c>
      <c r="H12" s="1095" t="s">
        <v>206</v>
      </c>
      <c r="I12" s="1095" t="s">
        <v>619</v>
      </c>
      <c r="J12" s="1073" t="s">
        <v>567</v>
      </c>
      <c r="K12" s="1073" t="s">
        <v>567</v>
      </c>
      <c r="L12" s="1079">
        <v>63999</v>
      </c>
      <c r="M12" s="1087" t="s">
        <v>1050</v>
      </c>
      <c r="N12" s="1108" t="s">
        <v>111</v>
      </c>
    </row>
    <row r="13" spans="1:14" ht="15" customHeight="1" x14ac:dyDescent="0.2">
      <c r="A13" s="1087" t="s">
        <v>560</v>
      </c>
      <c r="B13" s="1087" t="s">
        <v>1050</v>
      </c>
      <c r="C13" s="1071" t="s">
        <v>35</v>
      </c>
      <c r="D13" s="1095" t="s">
        <v>209</v>
      </c>
      <c r="E13" s="1097">
        <v>1</v>
      </c>
      <c r="F13" s="1097">
        <f ca="1">TODAY()</f>
        <v>42886</v>
      </c>
      <c r="G13" s="1095" t="s">
        <v>116</v>
      </c>
      <c r="H13" s="1096" t="s">
        <v>208</v>
      </c>
      <c r="I13" s="1095" t="s">
        <v>565</v>
      </c>
      <c r="J13" s="1073" t="s">
        <v>567</v>
      </c>
      <c r="K13" s="1073" t="s">
        <v>567</v>
      </c>
      <c r="L13" s="1073" t="s">
        <v>567</v>
      </c>
      <c r="M13" s="1087" t="s">
        <v>1050</v>
      </c>
      <c r="N13" s="1108" t="s">
        <v>35</v>
      </c>
    </row>
    <row r="14" spans="1:14" ht="15" customHeight="1" x14ac:dyDescent="0.2">
      <c r="A14" s="1087" t="s">
        <v>560</v>
      </c>
      <c r="B14" s="1087" t="s">
        <v>1050</v>
      </c>
      <c r="C14" s="1071" t="s">
        <v>48</v>
      </c>
      <c r="D14" s="1095" t="s">
        <v>620</v>
      </c>
      <c r="E14" s="1083" t="s">
        <v>561</v>
      </c>
      <c r="F14" s="1083" t="s">
        <v>562</v>
      </c>
      <c r="G14" s="1083" t="s">
        <v>196</v>
      </c>
      <c r="H14" s="1096" t="s">
        <v>208</v>
      </c>
      <c r="I14" s="1095" t="s">
        <v>619</v>
      </c>
      <c r="J14" s="1073" t="s">
        <v>567</v>
      </c>
      <c r="K14" s="1073" t="s">
        <v>567</v>
      </c>
      <c r="L14" s="1079">
        <v>63999</v>
      </c>
      <c r="M14" s="1087" t="s">
        <v>1050</v>
      </c>
      <c r="N14" s="1108" t="s">
        <v>48</v>
      </c>
    </row>
    <row r="15" spans="1:14" ht="15" customHeight="1" x14ac:dyDescent="0.2">
      <c r="A15" s="1087" t="s">
        <v>560</v>
      </c>
      <c r="B15" s="1087" t="s">
        <v>1050</v>
      </c>
      <c r="C15" s="1071" t="s">
        <v>1436</v>
      </c>
      <c r="D15" s="1095" t="s">
        <v>1423</v>
      </c>
      <c r="E15" s="1075" t="s">
        <v>561</v>
      </c>
      <c r="F15" s="1075" t="s">
        <v>562</v>
      </c>
      <c r="G15" s="1095" t="s">
        <v>196</v>
      </c>
      <c r="H15" s="1095" t="s">
        <v>206</v>
      </c>
      <c r="I15" s="1095" t="s">
        <v>619</v>
      </c>
      <c r="J15" s="1073" t="s">
        <v>567</v>
      </c>
      <c r="K15" s="1073" t="s">
        <v>567</v>
      </c>
      <c r="L15" s="1079">
        <v>63999</v>
      </c>
      <c r="M15" s="1087" t="s">
        <v>1050</v>
      </c>
      <c r="N15" s="1108" t="s">
        <v>1047</v>
      </c>
    </row>
    <row r="16" spans="1:14" ht="15" customHeight="1" x14ac:dyDescent="0.2">
      <c r="A16" s="1087" t="s">
        <v>560</v>
      </c>
      <c r="B16" s="1087" t="s">
        <v>1050</v>
      </c>
      <c r="C16" s="1071" t="s">
        <v>789</v>
      </c>
      <c r="D16" s="1095" t="s">
        <v>790</v>
      </c>
      <c r="E16" s="1083" t="s">
        <v>561</v>
      </c>
      <c r="F16" s="1083" t="s">
        <v>562</v>
      </c>
      <c r="G16" s="1083" t="s">
        <v>196</v>
      </c>
      <c r="H16" s="1096" t="s">
        <v>208</v>
      </c>
      <c r="I16" s="1095" t="s">
        <v>619</v>
      </c>
      <c r="J16" s="1073" t="s">
        <v>567</v>
      </c>
      <c r="K16" s="1073" t="s">
        <v>567</v>
      </c>
      <c r="L16" s="1079">
        <v>63999</v>
      </c>
      <c r="M16" s="1087" t="s">
        <v>1050</v>
      </c>
      <c r="N16" s="1108" t="s">
        <v>789</v>
      </c>
    </row>
    <row r="17" spans="1:14" ht="15" customHeight="1" x14ac:dyDescent="0.2">
      <c r="A17" s="1087" t="s">
        <v>560</v>
      </c>
      <c r="B17" s="1087" t="s">
        <v>1050</v>
      </c>
      <c r="C17" s="1071" t="s">
        <v>378</v>
      </c>
      <c r="D17" s="1095" t="s">
        <v>566</v>
      </c>
      <c r="E17" s="1083" t="s">
        <v>561</v>
      </c>
      <c r="F17" s="1083" t="s">
        <v>562</v>
      </c>
      <c r="G17" s="1083" t="s">
        <v>196</v>
      </c>
      <c r="H17" s="1096" t="s">
        <v>208</v>
      </c>
      <c r="I17" s="1095" t="s">
        <v>619</v>
      </c>
      <c r="J17" s="1073" t="s">
        <v>567</v>
      </c>
      <c r="K17" s="1073" t="s">
        <v>567</v>
      </c>
      <c r="L17" s="1079">
        <v>63999</v>
      </c>
      <c r="M17" s="1087" t="s">
        <v>1050</v>
      </c>
      <c r="N17" s="1108" t="s">
        <v>378</v>
      </c>
    </row>
    <row r="18" spans="1:14" ht="15" customHeight="1" x14ac:dyDescent="0.2">
      <c r="A18" s="1087" t="s">
        <v>560</v>
      </c>
      <c r="B18" s="1087" t="s">
        <v>1050</v>
      </c>
      <c r="C18" s="1071" t="s">
        <v>108</v>
      </c>
      <c r="D18" s="1095" t="s">
        <v>108</v>
      </c>
      <c r="E18" s="1083" t="s">
        <v>561</v>
      </c>
      <c r="F18" s="1083" t="s">
        <v>562</v>
      </c>
      <c r="G18" s="1083" t="s">
        <v>196</v>
      </c>
      <c r="H18" s="1096" t="s">
        <v>208</v>
      </c>
      <c r="I18" s="1095" t="s">
        <v>619</v>
      </c>
      <c r="J18" s="1073" t="s">
        <v>567</v>
      </c>
      <c r="K18" s="1073" t="s">
        <v>567</v>
      </c>
      <c r="L18" s="1079">
        <v>63999</v>
      </c>
      <c r="M18" s="1087" t="s">
        <v>1050</v>
      </c>
      <c r="N18" s="1108" t="s">
        <v>108</v>
      </c>
    </row>
    <row r="19" spans="1:14" ht="15" customHeight="1" x14ac:dyDescent="0.2">
      <c r="A19" s="1087" t="s">
        <v>560</v>
      </c>
      <c r="B19" s="1087" t="s">
        <v>1050</v>
      </c>
      <c r="C19" s="1071" t="s">
        <v>74</v>
      </c>
      <c r="D19" s="1095" t="s">
        <v>74</v>
      </c>
      <c r="E19" s="1083" t="s">
        <v>561</v>
      </c>
      <c r="F19" s="1083" t="s">
        <v>562</v>
      </c>
      <c r="G19" s="1083" t="s">
        <v>196</v>
      </c>
      <c r="H19" s="1096" t="s">
        <v>208</v>
      </c>
      <c r="I19" s="1095" t="s">
        <v>619</v>
      </c>
      <c r="J19" s="1073" t="s">
        <v>567</v>
      </c>
      <c r="K19" s="1073" t="s">
        <v>567</v>
      </c>
      <c r="L19" s="1079">
        <v>63999</v>
      </c>
      <c r="M19" s="1087" t="s">
        <v>1050</v>
      </c>
      <c r="N19" s="1108" t="s">
        <v>74</v>
      </c>
    </row>
    <row r="20" spans="1:14" ht="15" customHeight="1" x14ac:dyDescent="0.2">
      <c r="A20" s="1087" t="s">
        <v>560</v>
      </c>
      <c r="B20" s="1087" t="s">
        <v>1050</v>
      </c>
      <c r="C20" s="1071" t="s">
        <v>1865</v>
      </c>
      <c r="D20" s="1095" t="s">
        <v>1865</v>
      </c>
      <c r="E20" s="1083" t="s">
        <v>561</v>
      </c>
      <c r="F20" s="1083" t="s">
        <v>562</v>
      </c>
      <c r="G20" s="1083" t="s">
        <v>196</v>
      </c>
      <c r="H20" s="1096" t="s">
        <v>208</v>
      </c>
      <c r="I20" s="1095" t="s">
        <v>1887</v>
      </c>
      <c r="J20" s="1073" t="s">
        <v>567</v>
      </c>
      <c r="K20" s="1073" t="s">
        <v>567</v>
      </c>
      <c r="L20" s="1079">
        <v>63999</v>
      </c>
      <c r="M20" s="1087" t="s">
        <v>1050</v>
      </c>
      <c r="N20" s="1074" t="s">
        <v>1894</v>
      </c>
    </row>
    <row r="21" spans="1:14" ht="15" customHeight="1" x14ac:dyDescent="0.2">
      <c r="A21" s="1087" t="s">
        <v>560</v>
      </c>
      <c r="B21" s="1087" t="s">
        <v>1050</v>
      </c>
      <c r="C21" s="1071" t="s">
        <v>1437</v>
      </c>
      <c r="D21" s="1095" t="s">
        <v>621</v>
      </c>
      <c r="E21" s="1075">
        <v>-75</v>
      </c>
      <c r="F21" s="1098">
        <v>75</v>
      </c>
      <c r="G21" s="1095" t="s">
        <v>187</v>
      </c>
      <c r="H21" s="1096" t="s">
        <v>208</v>
      </c>
      <c r="I21" s="1095" t="s">
        <v>112</v>
      </c>
      <c r="J21" s="1079">
        <v>9</v>
      </c>
      <c r="K21" s="1079">
        <v>6</v>
      </c>
      <c r="L21" s="1073" t="s">
        <v>567</v>
      </c>
      <c r="M21" s="1087" t="s">
        <v>1050</v>
      </c>
      <c r="N21" s="1108" t="s">
        <v>67</v>
      </c>
    </row>
    <row r="22" spans="1:14" ht="15" customHeight="1" x14ac:dyDescent="0.2">
      <c r="A22" s="1087" t="s">
        <v>560</v>
      </c>
      <c r="B22" s="1087" t="s">
        <v>1050</v>
      </c>
      <c r="C22" s="1071" t="s">
        <v>1443</v>
      </c>
      <c r="D22" s="1095" t="s">
        <v>622</v>
      </c>
      <c r="E22" s="1075">
        <v>-180</v>
      </c>
      <c r="F22" s="1098">
        <v>180</v>
      </c>
      <c r="G22" s="1095" t="s">
        <v>187</v>
      </c>
      <c r="H22" s="1096" t="s">
        <v>208</v>
      </c>
      <c r="I22" s="1095" t="s">
        <v>112</v>
      </c>
      <c r="J22" s="1079">
        <v>9</v>
      </c>
      <c r="K22" s="1079">
        <v>6</v>
      </c>
      <c r="L22" s="1073" t="s">
        <v>567</v>
      </c>
      <c r="M22" s="1087" t="s">
        <v>1050</v>
      </c>
      <c r="N22" s="1108" t="s">
        <v>68</v>
      </c>
    </row>
    <row r="23" spans="1:14" ht="15" customHeight="1" x14ac:dyDescent="0.2">
      <c r="A23" s="1087" t="s">
        <v>560</v>
      </c>
      <c r="B23" s="1087" t="s">
        <v>1050</v>
      </c>
      <c r="C23" s="1071" t="s">
        <v>1438</v>
      </c>
      <c r="D23" s="1095" t="s">
        <v>705</v>
      </c>
      <c r="E23" s="1075">
        <v>-50</v>
      </c>
      <c r="F23" s="1098">
        <v>5000</v>
      </c>
      <c r="G23" s="1095" t="s">
        <v>211</v>
      </c>
      <c r="H23" s="1096" t="s">
        <v>208</v>
      </c>
      <c r="I23" s="1095" t="s">
        <v>618</v>
      </c>
      <c r="J23" s="1073" t="s">
        <v>567</v>
      </c>
      <c r="K23" s="1073" t="s">
        <v>567</v>
      </c>
      <c r="L23" s="1073" t="s">
        <v>567</v>
      </c>
      <c r="M23" s="1087" t="s">
        <v>1050</v>
      </c>
      <c r="N23" s="1108" t="s">
        <v>1899</v>
      </c>
    </row>
    <row r="24" spans="1:14" ht="15" customHeight="1" x14ac:dyDescent="0.2">
      <c r="A24" s="1087" t="s">
        <v>560</v>
      </c>
      <c r="B24" s="1087" t="s">
        <v>1050</v>
      </c>
      <c r="C24" s="1071" t="s">
        <v>1439</v>
      </c>
      <c r="D24" s="1095" t="s">
        <v>625</v>
      </c>
      <c r="E24" s="1075">
        <v>10</v>
      </c>
      <c r="F24" s="1098">
        <v>5000</v>
      </c>
      <c r="G24" s="1095" t="s">
        <v>41</v>
      </c>
      <c r="H24" s="1096" t="s">
        <v>208</v>
      </c>
      <c r="I24" s="1095" t="s">
        <v>112</v>
      </c>
      <c r="J24" s="1079">
        <v>9</v>
      </c>
      <c r="K24" s="1079">
        <v>1</v>
      </c>
      <c r="L24" s="1073" t="s">
        <v>567</v>
      </c>
      <c r="M24" s="1087" t="s">
        <v>1050</v>
      </c>
      <c r="N24" s="1108" t="s">
        <v>1900</v>
      </c>
    </row>
    <row r="25" spans="1:14" ht="15" customHeight="1" x14ac:dyDescent="0.2">
      <c r="A25" s="1087" t="s">
        <v>560</v>
      </c>
      <c r="B25" s="1087" t="s">
        <v>1050</v>
      </c>
      <c r="C25" s="1071" t="s">
        <v>1440</v>
      </c>
      <c r="D25" s="1095" t="s">
        <v>1009</v>
      </c>
      <c r="E25" s="1075">
        <v>-10</v>
      </c>
      <c r="F25" s="1098">
        <v>30</v>
      </c>
      <c r="G25" s="1095" t="s">
        <v>1010</v>
      </c>
      <c r="H25" s="1096" t="s">
        <v>208</v>
      </c>
      <c r="I25" s="1095" t="s">
        <v>112</v>
      </c>
      <c r="J25" s="1079">
        <v>9</v>
      </c>
      <c r="K25" s="1079">
        <v>1</v>
      </c>
      <c r="L25" s="1073" t="s">
        <v>567</v>
      </c>
      <c r="M25" s="1087" t="s">
        <v>1050</v>
      </c>
      <c r="N25" s="1108" t="s">
        <v>1901</v>
      </c>
    </row>
    <row r="26" spans="1:14" ht="15" customHeight="1" x14ac:dyDescent="0.2">
      <c r="A26" s="1087" t="s">
        <v>560</v>
      </c>
      <c r="B26" s="1087" t="s">
        <v>1050</v>
      </c>
      <c r="C26" s="1071" t="s">
        <v>1441</v>
      </c>
      <c r="D26" s="1095" t="s">
        <v>212</v>
      </c>
      <c r="E26" s="1083" t="s">
        <v>561</v>
      </c>
      <c r="F26" s="1083" t="s">
        <v>562</v>
      </c>
      <c r="G26" s="1083" t="s">
        <v>196</v>
      </c>
      <c r="H26" s="1096" t="s">
        <v>208</v>
      </c>
      <c r="I26" s="1095" t="s">
        <v>619</v>
      </c>
      <c r="J26" s="1073" t="s">
        <v>567</v>
      </c>
      <c r="K26" s="1073" t="s">
        <v>567</v>
      </c>
      <c r="L26" s="1079">
        <v>63999</v>
      </c>
      <c r="M26" s="1087" t="s">
        <v>1050</v>
      </c>
      <c r="N26" s="1108" t="s">
        <v>1902</v>
      </c>
    </row>
    <row r="27" spans="1:14" ht="15" customHeight="1" x14ac:dyDescent="0.2">
      <c r="A27" s="1087" t="s">
        <v>560</v>
      </c>
      <c r="B27" s="1087" t="s">
        <v>1050</v>
      </c>
      <c r="C27" s="1071" t="s">
        <v>1442</v>
      </c>
      <c r="D27" s="1095" t="s">
        <v>213</v>
      </c>
      <c r="E27" s="1083" t="s">
        <v>561</v>
      </c>
      <c r="F27" s="1083" t="s">
        <v>562</v>
      </c>
      <c r="G27" s="1083" t="s">
        <v>196</v>
      </c>
      <c r="H27" s="1096" t="s">
        <v>208</v>
      </c>
      <c r="I27" s="1095" t="s">
        <v>619</v>
      </c>
      <c r="J27" s="1073" t="s">
        <v>567</v>
      </c>
      <c r="K27" s="1073" t="s">
        <v>567</v>
      </c>
      <c r="L27" s="1079">
        <v>63999</v>
      </c>
      <c r="M27" s="1087" t="s">
        <v>1050</v>
      </c>
      <c r="N27" s="1108" t="s">
        <v>1903</v>
      </c>
    </row>
    <row r="28" spans="1:14" ht="15" customHeight="1" x14ac:dyDescent="0.2">
      <c r="A28" s="1089" t="s">
        <v>567</v>
      </c>
      <c r="B28" s="1089" t="s">
        <v>567</v>
      </c>
      <c r="C28" s="1089" t="s">
        <v>567</v>
      </c>
      <c r="D28" s="1089" t="s">
        <v>567</v>
      </c>
      <c r="E28" s="1089" t="s">
        <v>567</v>
      </c>
      <c r="F28" s="1089" t="s">
        <v>567</v>
      </c>
      <c r="G28" s="1089" t="s">
        <v>567</v>
      </c>
      <c r="H28" s="1089" t="s">
        <v>567</v>
      </c>
      <c r="I28" s="1089" t="s">
        <v>567</v>
      </c>
      <c r="J28" s="1081" t="s">
        <v>567</v>
      </c>
      <c r="K28" s="1081" t="s">
        <v>567</v>
      </c>
      <c r="L28" s="1081" t="s">
        <v>567</v>
      </c>
      <c r="M28" s="1089" t="s">
        <v>567</v>
      </c>
      <c r="N28" s="1089" t="s">
        <v>567</v>
      </c>
    </row>
    <row r="29" spans="1:14" ht="15" customHeight="1" x14ac:dyDescent="0.2">
      <c r="A29" s="1087" t="s">
        <v>560</v>
      </c>
      <c r="B29" s="1087" t="s">
        <v>214</v>
      </c>
      <c r="C29" s="1071" t="s">
        <v>1431</v>
      </c>
      <c r="D29" s="1095" t="s">
        <v>205</v>
      </c>
      <c r="E29" s="1075" t="s">
        <v>561</v>
      </c>
      <c r="F29" s="1075" t="s">
        <v>562</v>
      </c>
      <c r="G29" s="1095" t="s">
        <v>196</v>
      </c>
      <c r="H29" s="1095" t="s">
        <v>206</v>
      </c>
      <c r="I29" s="1095" t="s">
        <v>619</v>
      </c>
      <c r="J29" s="1073" t="s">
        <v>567</v>
      </c>
      <c r="K29" s="1073" t="s">
        <v>567</v>
      </c>
      <c r="L29" s="1079">
        <v>63999</v>
      </c>
      <c r="M29" s="1087" t="s">
        <v>214</v>
      </c>
      <c r="N29" s="1083" t="s">
        <v>111</v>
      </c>
    </row>
    <row r="30" spans="1:14" ht="15" customHeight="1" x14ac:dyDescent="0.2">
      <c r="A30" s="1087" t="s">
        <v>560</v>
      </c>
      <c r="B30" s="1087" t="s">
        <v>214</v>
      </c>
      <c r="C30" s="1071" t="s">
        <v>1447</v>
      </c>
      <c r="D30" s="1095" t="s">
        <v>215</v>
      </c>
      <c r="E30" s="1083" t="s">
        <v>561</v>
      </c>
      <c r="F30" s="1083" t="s">
        <v>562</v>
      </c>
      <c r="G30" s="1083" t="s">
        <v>196</v>
      </c>
      <c r="H30" s="1096" t="s">
        <v>208</v>
      </c>
      <c r="I30" s="1095" t="s">
        <v>619</v>
      </c>
      <c r="J30" s="1073" t="s">
        <v>567</v>
      </c>
      <c r="K30" s="1073" t="s">
        <v>567</v>
      </c>
      <c r="L30" s="1079">
        <v>63999</v>
      </c>
      <c r="M30" s="1087" t="s">
        <v>214</v>
      </c>
      <c r="N30" s="1083" t="s">
        <v>1904</v>
      </c>
    </row>
    <row r="31" spans="1:14" ht="15" customHeight="1" x14ac:dyDescent="0.2">
      <c r="A31" s="1087" t="s">
        <v>560</v>
      </c>
      <c r="B31" s="1087" t="s">
        <v>214</v>
      </c>
      <c r="C31" s="1071" t="s">
        <v>1446</v>
      </c>
      <c r="D31" s="1095" t="s">
        <v>216</v>
      </c>
      <c r="E31" s="1083" t="s">
        <v>561</v>
      </c>
      <c r="F31" s="1083" t="s">
        <v>562</v>
      </c>
      <c r="G31" s="1083" t="s">
        <v>196</v>
      </c>
      <c r="H31" s="1096" t="s">
        <v>208</v>
      </c>
      <c r="I31" s="1095" t="s">
        <v>619</v>
      </c>
      <c r="J31" s="1073" t="s">
        <v>567</v>
      </c>
      <c r="K31" s="1073" t="s">
        <v>567</v>
      </c>
      <c r="L31" s="1079">
        <v>63999</v>
      </c>
      <c r="M31" s="1087" t="s">
        <v>214</v>
      </c>
      <c r="N31" s="1083" t="s">
        <v>1905</v>
      </c>
    </row>
    <row r="32" spans="1:14" ht="15" customHeight="1" x14ac:dyDescent="0.2">
      <c r="A32" s="1087" t="s">
        <v>560</v>
      </c>
      <c r="B32" s="1087" t="s">
        <v>214</v>
      </c>
      <c r="C32" s="1071" t="s">
        <v>1445</v>
      </c>
      <c r="D32" s="1095" t="s">
        <v>217</v>
      </c>
      <c r="E32" s="1083" t="s">
        <v>561</v>
      </c>
      <c r="F32" s="1083" t="s">
        <v>562</v>
      </c>
      <c r="G32" s="1083" t="s">
        <v>196</v>
      </c>
      <c r="H32" s="1096" t="s">
        <v>208</v>
      </c>
      <c r="I32" s="1095" t="s">
        <v>619</v>
      </c>
      <c r="J32" s="1073" t="s">
        <v>567</v>
      </c>
      <c r="K32" s="1073" t="s">
        <v>567</v>
      </c>
      <c r="L32" s="1079">
        <v>63999</v>
      </c>
      <c r="M32" s="1087" t="s">
        <v>214</v>
      </c>
      <c r="N32" s="1083" t="s">
        <v>1906</v>
      </c>
    </row>
    <row r="33" spans="1:14" ht="15" customHeight="1" x14ac:dyDescent="0.2">
      <c r="A33" s="1087" t="s">
        <v>560</v>
      </c>
      <c r="B33" s="1087" t="s">
        <v>214</v>
      </c>
      <c r="C33" s="1071" t="s">
        <v>144</v>
      </c>
      <c r="D33" s="1095" t="s">
        <v>144</v>
      </c>
      <c r="E33" s="1083" t="s">
        <v>561</v>
      </c>
      <c r="F33" s="1083" t="s">
        <v>562</v>
      </c>
      <c r="G33" s="1083" t="s">
        <v>196</v>
      </c>
      <c r="H33" s="1096" t="s">
        <v>208</v>
      </c>
      <c r="I33" s="1095" t="s">
        <v>619</v>
      </c>
      <c r="J33" s="1073" t="s">
        <v>567</v>
      </c>
      <c r="K33" s="1073" t="s">
        <v>567</v>
      </c>
      <c r="L33" s="1079">
        <v>63999</v>
      </c>
      <c r="M33" s="1087" t="s">
        <v>214</v>
      </c>
      <c r="N33" s="1083" t="s">
        <v>144</v>
      </c>
    </row>
    <row r="34" spans="1:14" ht="15" customHeight="1" x14ac:dyDescent="0.2">
      <c r="A34" s="1087" t="s">
        <v>560</v>
      </c>
      <c r="B34" s="1087" t="s">
        <v>214</v>
      </c>
      <c r="C34" s="1071" t="s">
        <v>2239</v>
      </c>
      <c r="D34" s="1095" t="s">
        <v>218</v>
      </c>
      <c r="E34" s="1083" t="s">
        <v>561</v>
      </c>
      <c r="F34" s="1083" t="s">
        <v>562</v>
      </c>
      <c r="G34" s="1083" t="s">
        <v>196</v>
      </c>
      <c r="H34" s="1096" t="s">
        <v>208</v>
      </c>
      <c r="I34" s="1095" t="s">
        <v>619</v>
      </c>
      <c r="J34" s="1073" t="s">
        <v>567</v>
      </c>
      <c r="K34" s="1073" t="s">
        <v>567</v>
      </c>
      <c r="L34" s="1079">
        <v>63999</v>
      </c>
      <c r="M34" s="1087" t="s">
        <v>214</v>
      </c>
      <c r="N34" s="1083" t="s">
        <v>1907</v>
      </c>
    </row>
    <row r="35" spans="1:14" ht="15" customHeight="1" x14ac:dyDescent="0.2">
      <c r="A35" s="1087" t="s">
        <v>560</v>
      </c>
      <c r="B35" s="1087" t="s">
        <v>214</v>
      </c>
      <c r="C35" s="1071" t="s">
        <v>1444</v>
      </c>
      <c r="D35" s="1095" t="s">
        <v>219</v>
      </c>
      <c r="E35" s="1083" t="s">
        <v>561</v>
      </c>
      <c r="F35" s="1083" t="s">
        <v>562</v>
      </c>
      <c r="G35" s="1083" t="s">
        <v>196</v>
      </c>
      <c r="H35" s="1096" t="s">
        <v>208</v>
      </c>
      <c r="I35" s="1095" t="s">
        <v>619</v>
      </c>
      <c r="J35" s="1073" t="s">
        <v>567</v>
      </c>
      <c r="K35" s="1073" t="s">
        <v>567</v>
      </c>
      <c r="L35" s="1079">
        <v>63999</v>
      </c>
      <c r="M35" s="1087" t="s">
        <v>214</v>
      </c>
      <c r="N35" s="1083" t="s">
        <v>1908</v>
      </c>
    </row>
    <row r="36" spans="1:14" ht="15" customHeight="1" x14ac:dyDescent="0.2">
      <c r="A36" s="1087" t="s">
        <v>560</v>
      </c>
      <c r="B36" s="1087" t="s">
        <v>214</v>
      </c>
      <c r="C36" s="1071" t="s">
        <v>220</v>
      </c>
      <c r="D36" s="1095" t="s">
        <v>220</v>
      </c>
      <c r="E36" s="1083" t="s">
        <v>561</v>
      </c>
      <c r="F36" s="1083" t="s">
        <v>562</v>
      </c>
      <c r="G36" s="1083" t="s">
        <v>196</v>
      </c>
      <c r="H36" s="1096" t="s">
        <v>208</v>
      </c>
      <c r="I36" s="1095" t="s">
        <v>619</v>
      </c>
      <c r="J36" s="1073" t="s">
        <v>567</v>
      </c>
      <c r="K36" s="1073" t="s">
        <v>567</v>
      </c>
      <c r="L36" s="1079">
        <v>63999</v>
      </c>
      <c r="M36" s="1087" t="s">
        <v>214</v>
      </c>
      <c r="N36" s="1083" t="s">
        <v>1909</v>
      </c>
    </row>
    <row r="37" spans="1:14" ht="15" customHeight="1" x14ac:dyDescent="0.2">
      <c r="A37" s="1087" t="s">
        <v>560</v>
      </c>
      <c r="B37" s="1087" t="s">
        <v>214</v>
      </c>
      <c r="C37" s="1071" t="s">
        <v>145</v>
      </c>
      <c r="D37" s="1095" t="s">
        <v>145</v>
      </c>
      <c r="E37" s="1083" t="s">
        <v>561</v>
      </c>
      <c r="F37" s="1083" t="s">
        <v>562</v>
      </c>
      <c r="G37" s="1083" t="s">
        <v>196</v>
      </c>
      <c r="H37" s="1096" t="s">
        <v>208</v>
      </c>
      <c r="I37" s="1095" t="s">
        <v>619</v>
      </c>
      <c r="J37" s="1073" t="s">
        <v>567</v>
      </c>
      <c r="K37" s="1073" t="s">
        <v>567</v>
      </c>
      <c r="L37" s="1079">
        <v>63999</v>
      </c>
      <c r="M37" s="1087" t="s">
        <v>214</v>
      </c>
      <c r="N37" s="1083" t="s">
        <v>145</v>
      </c>
    </row>
    <row r="38" spans="1:14" ht="15" customHeight="1" x14ac:dyDescent="0.2">
      <c r="A38" s="1087" t="s">
        <v>560</v>
      </c>
      <c r="B38" s="1087" t="s">
        <v>214</v>
      </c>
      <c r="C38" s="1071" t="s">
        <v>1448</v>
      </c>
      <c r="D38" s="1095" t="s">
        <v>221</v>
      </c>
      <c r="E38" s="1097">
        <v>1</v>
      </c>
      <c r="F38" s="1097">
        <f ca="1">TODAY()</f>
        <v>42886</v>
      </c>
      <c r="G38" s="1095" t="s">
        <v>116</v>
      </c>
      <c r="H38" s="1096" t="s">
        <v>208</v>
      </c>
      <c r="I38" s="1095" t="s">
        <v>565</v>
      </c>
      <c r="J38" s="1073" t="s">
        <v>567</v>
      </c>
      <c r="K38" s="1073" t="s">
        <v>567</v>
      </c>
      <c r="L38" s="1073" t="s">
        <v>567</v>
      </c>
      <c r="M38" s="1087" t="s">
        <v>214</v>
      </c>
      <c r="N38" s="1083" t="s">
        <v>1910</v>
      </c>
    </row>
    <row r="39" spans="1:14" ht="15" customHeight="1" x14ac:dyDescent="0.2">
      <c r="A39" s="1087" t="s">
        <v>560</v>
      </c>
      <c r="B39" s="1087" t="s">
        <v>214</v>
      </c>
      <c r="C39" s="1071" t="s">
        <v>146</v>
      </c>
      <c r="D39" s="1095" t="s">
        <v>146</v>
      </c>
      <c r="E39" s="1083" t="s">
        <v>561</v>
      </c>
      <c r="F39" s="1083" t="s">
        <v>562</v>
      </c>
      <c r="G39" s="1083" t="s">
        <v>196</v>
      </c>
      <c r="H39" s="1096" t="s">
        <v>208</v>
      </c>
      <c r="I39" s="1095" t="s">
        <v>619</v>
      </c>
      <c r="J39" s="1073" t="s">
        <v>567</v>
      </c>
      <c r="K39" s="1073" t="s">
        <v>567</v>
      </c>
      <c r="L39" s="1079">
        <v>63999</v>
      </c>
      <c r="M39" s="1087" t="s">
        <v>214</v>
      </c>
      <c r="N39" s="1083" t="s">
        <v>146</v>
      </c>
    </row>
    <row r="40" spans="1:14" ht="15" customHeight="1" x14ac:dyDescent="0.2">
      <c r="A40" s="1087" t="s">
        <v>560</v>
      </c>
      <c r="B40" s="1087" t="s">
        <v>214</v>
      </c>
      <c r="C40" s="1071" t="s">
        <v>222</v>
      </c>
      <c r="D40" s="1095" t="s">
        <v>222</v>
      </c>
      <c r="E40" s="1083" t="s">
        <v>561</v>
      </c>
      <c r="F40" s="1083" t="s">
        <v>562</v>
      </c>
      <c r="G40" s="1083" t="s">
        <v>196</v>
      </c>
      <c r="H40" s="1096" t="s">
        <v>208</v>
      </c>
      <c r="I40" s="1095" t="s">
        <v>619</v>
      </c>
      <c r="J40" s="1073" t="s">
        <v>567</v>
      </c>
      <c r="K40" s="1073" t="s">
        <v>567</v>
      </c>
      <c r="L40" s="1079">
        <v>63999</v>
      </c>
      <c r="M40" s="1087" t="s">
        <v>214</v>
      </c>
      <c r="N40" s="1083" t="s">
        <v>1911</v>
      </c>
    </row>
    <row r="41" spans="1:14" ht="15" customHeight="1" x14ac:dyDescent="0.2">
      <c r="A41" s="1087" t="s">
        <v>560</v>
      </c>
      <c r="B41" s="1087" t="s">
        <v>214</v>
      </c>
      <c r="C41" s="1071" t="s">
        <v>147</v>
      </c>
      <c r="D41" s="1095" t="s">
        <v>223</v>
      </c>
      <c r="E41" s="1083" t="s">
        <v>561</v>
      </c>
      <c r="F41" s="1083" t="s">
        <v>562</v>
      </c>
      <c r="G41" s="1083" t="s">
        <v>196</v>
      </c>
      <c r="H41" s="1096" t="s">
        <v>208</v>
      </c>
      <c r="I41" s="1095" t="s">
        <v>619</v>
      </c>
      <c r="J41" s="1073" t="s">
        <v>567</v>
      </c>
      <c r="K41" s="1073" t="s">
        <v>567</v>
      </c>
      <c r="L41" s="1079">
        <v>63999</v>
      </c>
      <c r="M41" s="1087" t="s">
        <v>214</v>
      </c>
      <c r="N41" s="1083" t="s">
        <v>147</v>
      </c>
    </row>
    <row r="42" spans="1:14" ht="15" customHeight="1" x14ac:dyDescent="0.2">
      <c r="A42" s="1087" t="s">
        <v>560</v>
      </c>
      <c r="B42" s="1087" t="s">
        <v>214</v>
      </c>
      <c r="C42" s="1071" t="s">
        <v>1449</v>
      </c>
      <c r="D42" s="1095" t="s">
        <v>224</v>
      </c>
      <c r="E42" s="1083" t="s">
        <v>561</v>
      </c>
      <c r="F42" s="1083" t="s">
        <v>562</v>
      </c>
      <c r="G42" s="1083" t="s">
        <v>196</v>
      </c>
      <c r="H42" s="1096" t="s">
        <v>208</v>
      </c>
      <c r="I42" s="1095" t="s">
        <v>619</v>
      </c>
      <c r="J42" s="1073" t="s">
        <v>567</v>
      </c>
      <c r="K42" s="1073" t="s">
        <v>567</v>
      </c>
      <c r="L42" s="1079">
        <v>63999</v>
      </c>
      <c r="M42" s="1087" t="s">
        <v>214</v>
      </c>
      <c r="N42" s="1083" t="s">
        <v>1912</v>
      </c>
    </row>
    <row r="43" spans="1:14" ht="15" customHeight="1" x14ac:dyDescent="0.2">
      <c r="A43" s="1087" t="s">
        <v>560</v>
      </c>
      <c r="B43" s="1087" t="s">
        <v>214</v>
      </c>
      <c r="C43" s="1071" t="s">
        <v>1450</v>
      </c>
      <c r="D43" s="1095" t="s">
        <v>225</v>
      </c>
      <c r="E43" s="1083" t="s">
        <v>561</v>
      </c>
      <c r="F43" s="1083" t="s">
        <v>562</v>
      </c>
      <c r="G43" s="1083" t="s">
        <v>196</v>
      </c>
      <c r="H43" s="1096" t="s">
        <v>208</v>
      </c>
      <c r="I43" s="1095" t="s">
        <v>619</v>
      </c>
      <c r="J43" s="1073" t="s">
        <v>567</v>
      </c>
      <c r="K43" s="1073" t="s">
        <v>567</v>
      </c>
      <c r="L43" s="1079">
        <v>63999</v>
      </c>
      <c r="M43" s="1087" t="s">
        <v>214</v>
      </c>
      <c r="N43" s="1083" t="s">
        <v>1913</v>
      </c>
    </row>
    <row r="44" spans="1:14" ht="15" customHeight="1" x14ac:dyDescent="0.2">
      <c r="A44" s="1089" t="s">
        <v>567</v>
      </c>
      <c r="B44" s="1089" t="s">
        <v>567</v>
      </c>
      <c r="C44" s="1089" t="s">
        <v>567</v>
      </c>
      <c r="D44" s="1089" t="s">
        <v>567</v>
      </c>
      <c r="E44" s="1089" t="s">
        <v>567</v>
      </c>
      <c r="F44" s="1089" t="s">
        <v>567</v>
      </c>
      <c r="G44" s="1089" t="s">
        <v>567</v>
      </c>
      <c r="H44" s="1089" t="s">
        <v>567</v>
      </c>
      <c r="I44" s="1089" t="s">
        <v>567</v>
      </c>
      <c r="J44" s="1081" t="s">
        <v>567</v>
      </c>
      <c r="K44" s="1081" t="s">
        <v>567</v>
      </c>
      <c r="L44" s="1081" t="s">
        <v>567</v>
      </c>
      <c r="M44" s="1089" t="s">
        <v>567</v>
      </c>
      <c r="N44" s="1089" t="s">
        <v>567</v>
      </c>
    </row>
    <row r="45" spans="1:14" ht="15" customHeight="1" x14ac:dyDescent="0.2">
      <c r="A45" s="1087" t="s">
        <v>560</v>
      </c>
      <c r="B45" s="1087" t="s">
        <v>226</v>
      </c>
      <c r="C45" s="1071" t="s">
        <v>1431</v>
      </c>
      <c r="D45" s="1095" t="s">
        <v>205</v>
      </c>
      <c r="E45" s="1075" t="s">
        <v>561</v>
      </c>
      <c r="F45" s="1075" t="s">
        <v>562</v>
      </c>
      <c r="G45" s="1095" t="s">
        <v>196</v>
      </c>
      <c r="H45" s="1095" t="s">
        <v>206</v>
      </c>
      <c r="I45" s="1095" t="s">
        <v>619</v>
      </c>
      <c r="J45" s="1073" t="s">
        <v>567</v>
      </c>
      <c r="K45" s="1073" t="s">
        <v>567</v>
      </c>
      <c r="L45" s="1079">
        <v>63999</v>
      </c>
      <c r="M45" s="1087" t="s">
        <v>226</v>
      </c>
      <c r="N45" s="1083" t="s">
        <v>111</v>
      </c>
    </row>
    <row r="46" spans="1:14" ht="15" customHeight="1" x14ac:dyDescent="0.2">
      <c r="A46" s="1087" t="s">
        <v>560</v>
      </c>
      <c r="B46" s="1087" t="s">
        <v>226</v>
      </c>
      <c r="C46" s="1071" t="s">
        <v>1452</v>
      </c>
      <c r="D46" s="1095" t="s">
        <v>903</v>
      </c>
      <c r="E46" s="1075">
        <v>1940</v>
      </c>
      <c r="F46" s="1099">
        <v>3000</v>
      </c>
      <c r="G46" s="1095" t="s">
        <v>1838</v>
      </c>
      <c r="H46" s="1096" t="s">
        <v>208</v>
      </c>
      <c r="I46" s="1095" t="s">
        <v>618</v>
      </c>
      <c r="J46" s="1073" t="s">
        <v>567</v>
      </c>
      <c r="K46" s="1073" t="s">
        <v>567</v>
      </c>
      <c r="L46" s="1073" t="s">
        <v>567</v>
      </c>
      <c r="M46" s="1087" t="s">
        <v>226</v>
      </c>
      <c r="N46" s="1083" t="s">
        <v>1917</v>
      </c>
    </row>
    <row r="47" spans="1:14" ht="15" customHeight="1" x14ac:dyDescent="0.2">
      <c r="A47" s="1087" t="s">
        <v>560</v>
      </c>
      <c r="B47" s="1087" t="s">
        <v>226</v>
      </c>
      <c r="C47" s="1071" t="s">
        <v>1453</v>
      </c>
      <c r="D47" s="1095" t="s">
        <v>227</v>
      </c>
      <c r="E47" s="1083" t="s">
        <v>561</v>
      </c>
      <c r="F47" s="1083" t="s">
        <v>562</v>
      </c>
      <c r="G47" s="1083" t="s">
        <v>196</v>
      </c>
      <c r="H47" s="1096" t="s">
        <v>208</v>
      </c>
      <c r="I47" s="1095" t="s">
        <v>619</v>
      </c>
      <c r="J47" s="1073" t="s">
        <v>567</v>
      </c>
      <c r="K47" s="1073" t="s">
        <v>567</v>
      </c>
      <c r="L47" s="1079">
        <v>63999</v>
      </c>
      <c r="M47" s="1087" t="s">
        <v>226</v>
      </c>
      <c r="N47" s="1083" t="s">
        <v>148</v>
      </c>
    </row>
    <row r="48" spans="1:14" ht="15" customHeight="1" x14ac:dyDescent="0.2">
      <c r="A48" s="1087" t="s">
        <v>560</v>
      </c>
      <c r="B48" s="1087" t="s">
        <v>226</v>
      </c>
      <c r="C48" s="1071" t="s">
        <v>895</v>
      </c>
      <c r="D48" s="1095" t="s">
        <v>900</v>
      </c>
      <c r="E48" s="1083" t="s">
        <v>561</v>
      </c>
      <c r="F48" s="1083" t="s">
        <v>562</v>
      </c>
      <c r="G48" s="1083" t="s">
        <v>196</v>
      </c>
      <c r="H48" s="1096" t="s">
        <v>208</v>
      </c>
      <c r="I48" s="1095" t="s">
        <v>619</v>
      </c>
      <c r="J48" s="1073" t="s">
        <v>567</v>
      </c>
      <c r="K48" s="1073" t="s">
        <v>567</v>
      </c>
      <c r="L48" s="1079">
        <v>63999</v>
      </c>
      <c r="M48" s="1087" t="s">
        <v>226</v>
      </c>
      <c r="N48" s="1083" t="s">
        <v>895</v>
      </c>
    </row>
    <row r="49" spans="1:14" ht="15" customHeight="1" x14ac:dyDescent="0.2">
      <c r="A49" s="1087" t="s">
        <v>560</v>
      </c>
      <c r="B49" s="1087" t="s">
        <v>226</v>
      </c>
      <c r="C49" s="1071" t="s">
        <v>1451</v>
      </c>
      <c r="D49" s="1095" t="s">
        <v>901</v>
      </c>
      <c r="E49" s="1083" t="s">
        <v>561</v>
      </c>
      <c r="F49" s="1083" t="s">
        <v>562</v>
      </c>
      <c r="G49" s="1083" t="s">
        <v>196</v>
      </c>
      <c r="H49" s="1096" t="s">
        <v>208</v>
      </c>
      <c r="I49" s="1095" t="s">
        <v>619</v>
      </c>
      <c r="J49" s="1073" t="s">
        <v>567</v>
      </c>
      <c r="K49" s="1073" t="s">
        <v>567</v>
      </c>
      <c r="L49" s="1079">
        <v>63999</v>
      </c>
      <c r="M49" s="1087" t="s">
        <v>226</v>
      </c>
      <c r="N49" s="1083" t="s">
        <v>1914</v>
      </c>
    </row>
    <row r="50" spans="1:14" ht="15" customHeight="1" x14ac:dyDescent="0.2">
      <c r="A50" s="1087" t="s">
        <v>560</v>
      </c>
      <c r="B50" s="1087" t="s">
        <v>226</v>
      </c>
      <c r="C50" s="1071" t="s">
        <v>902</v>
      </c>
      <c r="D50" s="1095" t="s">
        <v>902</v>
      </c>
      <c r="E50" s="1083" t="s">
        <v>561</v>
      </c>
      <c r="F50" s="1083" t="s">
        <v>562</v>
      </c>
      <c r="G50" s="1083" t="s">
        <v>196</v>
      </c>
      <c r="H50" s="1096" t="s">
        <v>208</v>
      </c>
      <c r="I50" s="1095" t="s">
        <v>619</v>
      </c>
      <c r="J50" s="1073" t="s">
        <v>567</v>
      </c>
      <c r="K50" s="1073" t="s">
        <v>567</v>
      </c>
      <c r="L50" s="1079">
        <v>63999</v>
      </c>
      <c r="M50" s="1087" t="s">
        <v>226</v>
      </c>
      <c r="N50" s="1083" t="s">
        <v>1915</v>
      </c>
    </row>
    <row r="51" spans="1:14" ht="15" customHeight="1" x14ac:dyDescent="0.2">
      <c r="A51" s="1087" t="s">
        <v>560</v>
      </c>
      <c r="B51" s="1087" t="s">
        <v>226</v>
      </c>
      <c r="C51" s="1071" t="s">
        <v>1454</v>
      </c>
      <c r="D51" s="1095" t="s">
        <v>1035</v>
      </c>
      <c r="E51" s="1083" t="s">
        <v>561</v>
      </c>
      <c r="F51" s="1083" t="s">
        <v>562</v>
      </c>
      <c r="G51" s="1083" t="s">
        <v>196</v>
      </c>
      <c r="H51" s="1096" t="s">
        <v>208</v>
      </c>
      <c r="I51" s="1095" t="s">
        <v>619</v>
      </c>
      <c r="J51" s="1073" t="s">
        <v>567</v>
      </c>
      <c r="K51" s="1073" t="s">
        <v>567</v>
      </c>
      <c r="L51" s="1079">
        <v>63999</v>
      </c>
      <c r="M51" s="1087" t="s">
        <v>226</v>
      </c>
      <c r="N51" s="1083" t="s">
        <v>1916</v>
      </c>
    </row>
    <row r="52" spans="1:14" ht="15" customHeight="1" x14ac:dyDescent="0.2">
      <c r="A52" s="1087" t="s">
        <v>560</v>
      </c>
      <c r="B52" s="1087" t="s">
        <v>226</v>
      </c>
      <c r="C52" s="1071" t="s">
        <v>896</v>
      </c>
      <c r="D52" s="1095" t="s">
        <v>906</v>
      </c>
      <c r="E52" s="1083" t="s">
        <v>561</v>
      </c>
      <c r="F52" s="1083" t="s">
        <v>562</v>
      </c>
      <c r="G52" s="1083" t="s">
        <v>196</v>
      </c>
      <c r="H52" s="1096" t="s">
        <v>208</v>
      </c>
      <c r="I52" s="1095" t="s">
        <v>619</v>
      </c>
      <c r="J52" s="1073" t="s">
        <v>567</v>
      </c>
      <c r="K52" s="1073" t="s">
        <v>567</v>
      </c>
      <c r="L52" s="1079">
        <v>63999</v>
      </c>
      <c r="M52" s="1087" t="s">
        <v>226</v>
      </c>
      <c r="N52" s="1083" t="s">
        <v>896</v>
      </c>
    </row>
    <row r="53" spans="1:14" ht="15" customHeight="1" x14ac:dyDescent="0.2">
      <c r="A53" s="1087" t="s">
        <v>560</v>
      </c>
      <c r="B53" s="1087" t="s">
        <v>226</v>
      </c>
      <c r="C53" s="1071" t="s">
        <v>897</v>
      </c>
      <c r="D53" s="1095" t="s">
        <v>904</v>
      </c>
      <c r="E53" s="1083" t="s">
        <v>561</v>
      </c>
      <c r="F53" s="1083" t="s">
        <v>562</v>
      </c>
      <c r="G53" s="1083" t="s">
        <v>196</v>
      </c>
      <c r="H53" s="1096" t="s">
        <v>208</v>
      </c>
      <c r="I53" s="1095" t="s">
        <v>619</v>
      </c>
      <c r="J53" s="1073" t="s">
        <v>567</v>
      </c>
      <c r="K53" s="1073" t="s">
        <v>567</v>
      </c>
      <c r="L53" s="1079">
        <v>63999</v>
      </c>
      <c r="M53" s="1087" t="s">
        <v>226</v>
      </c>
      <c r="N53" s="1083" t="s">
        <v>897</v>
      </c>
    </row>
    <row r="54" spans="1:14" ht="15" customHeight="1" x14ac:dyDescent="0.2">
      <c r="A54" s="1087" t="s">
        <v>560</v>
      </c>
      <c r="B54" s="1087" t="s">
        <v>226</v>
      </c>
      <c r="C54" s="1071" t="s">
        <v>1455</v>
      </c>
      <c r="D54" s="1095" t="s">
        <v>905</v>
      </c>
      <c r="E54" s="1083" t="s">
        <v>561</v>
      </c>
      <c r="F54" s="1083" t="s">
        <v>562</v>
      </c>
      <c r="G54" s="1083" t="s">
        <v>196</v>
      </c>
      <c r="H54" s="1096" t="s">
        <v>208</v>
      </c>
      <c r="I54" s="1095" t="s">
        <v>619</v>
      </c>
      <c r="J54" s="1073" t="s">
        <v>567</v>
      </c>
      <c r="K54" s="1073" t="s">
        <v>567</v>
      </c>
      <c r="L54" s="1079">
        <v>63999</v>
      </c>
      <c r="M54" s="1087" t="s">
        <v>226</v>
      </c>
      <c r="N54" s="1083" t="s">
        <v>1918</v>
      </c>
    </row>
    <row r="55" spans="1:14" ht="15" customHeight="1" x14ac:dyDescent="0.2">
      <c r="A55" s="1089" t="s">
        <v>567</v>
      </c>
      <c r="B55" s="1089" t="s">
        <v>567</v>
      </c>
      <c r="C55" s="1089" t="s">
        <v>567</v>
      </c>
      <c r="D55" s="1089" t="s">
        <v>567</v>
      </c>
      <c r="E55" s="1089" t="s">
        <v>567</v>
      </c>
      <c r="F55" s="1089" t="s">
        <v>567</v>
      </c>
      <c r="G55" s="1089" t="s">
        <v>567</v>
      </c>
      <c r="H55" s="1089" t="s">
        <v>567</v>
      </c>
      <c r="I55" s="1089" t="s">
        <v>567</v>
      </c>
      <c r="J55" s="1081" t="s">
        <v>567</v>
      </c>
      <c r="K55" s="1081" t="s">
        <v>567</v>
      </c>
      <c r="L55" s="1081" t="s">
        <v>567</v>
      </c>
      <c r="M55" s="1089" t="s">
        <v>567</v>
      </c>
      <c r="N55" s="1089" t="s">
        <v>567</v>
      </c>
    </row>
    <row r="56" spans="1:14" ht="15" customHeight="1" x14ac:dyDescent="0.2">
      <c r="A56" s="1087" t="s">
        <v>560</v>
      </c>
      <c r="B56" s="1087" t="s">
        <v>228</v>
      </c>
      <c r="C56" s="1071" t="s">
        <v>1456</v>
      </c>
      <c r="D56" s="1095" t="s">
        <v>229</v>
      </c>
      <c r="E56" s="1083" t="s">
        <v>561</v>
      </c>
      <c r="F56" s="1083" t="s">
        <v>562</v>
      </c>
      <c r="G56" s="1083" t="s">
        <v>196</v>
      </c>
      <c r="H56" s="1095" t="s">
        <v>206</v>
      </c>
      <c r="I56" s="1095" t="s">
        <v>619</v>
      </c>
      <c r="J56" s="1073" t="s">
        <v>567</v>
      </c>
      <c r="K56" s="1073" t="s">
        <v>567</v>
      </c>
      <c r="L56" s="1079">
        <v>63999</v>
      </c>
      <c r="M56" s="1087" t="s">
        <v>228</v>
      </c>
      <c r="N56" s="1083" t="s">
        <v>152</v>
      </c>
    </row>
    <row r="57" spans="1:14" ht="15" customHeight="1" x14ac:dyDescent="0.2">
      <c r="A57" s="1087" t="s">
        <v>560</v>
      </c>
      <c r="B57" s="1087" t="s">
        <v>228</v>
      </c>
      <c r="C57" s="1071" t="s">
        <v>1434</v>
      </c>
      <c r="D57" s="1095" t="s">
        <v>35</v>
      </c>
      <c r="E57" s="1097">
        <v>1</v>
      </c>
      <c r="F57" s="1097">
        <f ca="1">TODAY()</f>
        <v>42886</v>
      </c>
      <c r="G57" s="1095" t="s">
        <v>116</v>
      </c>
      <c r="H57" s="1095" t="s">
        <v>206</v>
      </c>
      <c r="I57" s="1095" t="s">
        <v>565</v>
      </c>
      <c r="J57" s="1073" t="s">
        <v>567</v>
      </c>
      <c r="K57" s="1073" t="s">
        <v>567</v>
      </c>
      <c r="L57" s="1073" t="s">
        <v>567</v>
      </c>
      <c r="M57" s="1087" t="s">
        <v>228</v>
      </c>
      <c r="N57" s="1083" t="s">
        <v>1919</v>
      </c>
    </row>
    <row r="58" spans="1:14" ht="15" customHeight="1" x14ac:dyDescent="0.2">
      <c r="A58" s="1087" t="s">
        <v>560</v>
      </c>
      <c r="B58" s="1087" t="s">
        <v>228</v>
      </c>
      <c r="C58" s="1071" t="s">
        <v>1457</v>
      </c>
      <c r="D58" s="1095" t="s">
        <v>230</v>
      </c>
      <c r="E58" s="1083" t="s">
        <v>561</v>
      </c>
      <c r="F58" s="1083" t="s">
        <v>562</v>
      </c>
      <c r="G58" s="1083" t="s">
        <v>196</v>
      </c>
      <c r="H58" s="1096" t="s">
        <v>208</v>
      </c>
      <c r="I58" s="1095" t="s">
        <v>619</v>
      </c>
      <c r="J58" s="1073" t="s">
        <v>567</v>
      </c>
      <c r="K58" s="1073" t="s">
        <v>567</v>
      </c>
      <c r="L58" s="1079">
        <v>63999</v>
      </c>
      <c r="M58" s="1087" t="s">
        <v>228</v>
      </c>
      <c r="N58" s="1083" t="s">
        <v>1920</v>
      </c>
    </row>
    <row r="59" spans="1:14" ht="15" customHeight="1" x14ac:dyDescent="0.2">
      <c r="A59" s="1087" t="s">
        <v>560</v>
      </c>
      <c r="B59" s="1087" t="s">
        <v>228</v>
      </c>
      <c r="C59" s="1071" t="s">
        <v>1458</v>
      </c>
      <c r="D59" s="1095" t="s">
        <v>997</v>
      </c>
      <c r="E59" s="1083" t="s">
        <v>561</v>
      </c>
      <c r="F59" s="1083" t="s">
        <v>562</v>
      </c>
      <c r="G59" s="1083" t="s">
        <v>196</v>
      </c>
      <c r="H59" s="1095" t="s">
        <v>206</v>
      </c>
      <c r="I59" s="1095" t="s">
        <v>619</v>
      </c>
      <c r="J59" s="1073" t="s">
        <v>567</v>
      </c>
      <c r="K59" s="1073" t="s">
        <v>567</v>
      </c>
      <c r="L59" s="1079">
        <v>63999</v>
      </c>
      <c r="M59" s="1087" t="s">
        <v>228</v>
      </c>
      <c r="N59" s="1083" t="s">
        <v>128</v>
      </c>
    </row>
    <row r="60" spans="1:14" ht="15" customHeight="1" x14ac:dyDescent="0.2">
      <c r="A60" s="1087" t="s">
        <v>560</v>
      </c>
      <c r="B60" s="1087" t="s">
        <v>228</v>
      </c>
      <c r="C60" s="1071" t="s">
        <v>1459</v>
      </c>
      <c r="D60" s="1095" t="s">
        <v>69</v>
      </c>
      <c r="E60" s="1083" t="s">
        <v>561</v>
      </c>
      <c r="F60" s="1083" t="s">
        <v>562</v>
      </c>
      <c r="G60" s="1083" t="s">
        <v>196</v>
      </c>
      <c r="H60" s="1095" t="s">
        <v>206</v>
      </c>
      <c r="I60" s="1095" t="s">
        <v>619</v>
      </c>
      <c r="J60" s="1073" t="s">
        <v>567</v>
      </c>
      <c r="K60" s="1073" t="s">
        <v>567</v>
      </c>
      <c r="L60" s="1079">
        <v>63999</v>
      </c>
      <c r="M60" s="1087" t="s">
        <v>228</v>
      </c>
      <c r="N60" s="1083" t="s">
        <v>129</v>
      </c>
    </row>
    <row r="61" spans="1:14" ht="15" customHeight="1" x14ac:dyDescent="0.2">
      <c r="A61" s="1087" t="s">
        <v>560</v>
      </c>
      <c r="B61" s="1087" t="s">
        <v>228</v>
      </c>
      <c r="C61" s="1071" t="s">
        <v>1460</v>
      </c>
      <c r="D61" s="1095" t="s">
        <v>998</v>
      </c>
      <c r="E61" s="1083" t="s">
        <v>561</v>
      </c>
      <c r="F61" s="1083" t="s">
        <v>562</v>
      </c>
      <c r="G61" s="1083" t="s">
        <v>196</v>
      </c>
      <c r="H61" s="1095" t="s">
        <v>206</v>
      </c>
      <c r="I61" s="1095" t="s">
        <v>619</v>
      </c>
      <c r="J61" s="1073" t="s">
        <v>567</v>
      </c>
      <c r="K61" s="1073" t="s">
        <v>567</v>
      </c>
      <c r="L61" s="1079">
        <v>63999</v>
      </c>
      <c r="M61" s="1087" t="s">
        <v>228</v>
      </c>
      <c r="N61" s="1083" t="s">
        <v>1921</v>
      </c>
    </row>
    <row r="62" spans="1:14" ht="15" customHeight="1" x14ac:dyDescent="0.2">
      <c r="A62" s="1087" t="s">
        <v>560</v>
      </c>
      <c r="B62" s="1087" t="s">
        <v>228</v>
      </c>
      <c r="C62" s="1071" t="s">
        <v>1461</v>
      </c>
      <c r="D62" s="1095" t="s">
        <v>706</v>
      </c>
      <c r="E62" s="1083" t="s">
        <v>561</v>
      </c>
      <c r="F62" s="1083" t="s">
        <v>562</v>
      </c>
      <c r="G62" s="1083" t="s">
        <v>196</v>
      </c>
      <c r="H62" s="1095" t="s">
        <v>206</v>
      </c>
      <c r="I62" s="1095" t="s">
        <v>619</v>
      </c>
      <c r="J62" s="1073" t="s">
        <v>567</v>
      </c>
      <c r="K62" s="1073" t="s">
        <v>567</v>
      </c>
      <c r="L62" s="1079">
        <v>63999</v>
      </c>
      <c r="M62" s="1087" t="s">
        <v>228</v>
      </c>
      <c r="N62" s="1083" t="s">
        <v>466</v>
      </c>
    </row>
    <row r="63" spans="1:14" ht="15" customHeight="1" x14ac:dyDescent="0.2">
      <c r="A63" s="1087" t="s">
        <v>560</v>
      </c>
      <c r="B63" s="1087" t="s">
        <v>228</v>
      </c>
      <c r="C63" s="1071" t="s">
        <v>2240</v>
      </c>
      <c r="D63" s="1095" t="s">
        <v>999</v>
      </c>
      <c r="E63" s="1083" t="s">
        <v>561</v>
      </c>
      <c r="F63" s="1083" t="s">
        <v>562</v>
      </c>
      <c r="G63" s="1083" t="s">
        <v>196</v>
      </c>
      <c r="H63" s="1095" t="s">
        <v>206</v>
      </c>
      <c r="I63" s="1095" t="s">
        <v>619</v>
      </c>
      <c r="J63" s="1073" t="s">
        <v>567</v>
      </c>
      <c r="K63" s="1073" t="s">
        <v>567</v>
      </c>
      <c r="L63" s="1079">
        <v>63999</v>
      </c>
      <c r="M63" s="1087" t="s">
        <v>228</v>
      </c>
      <c r="N63" s="1083" t="s">
        <v>342</v>
      </c>
    </row>
    <row r="64" spans="1:14" ht="15" customHeight="1" x14ac:dyDescent="0.2">
      <c r="A64" s="1087" t="s">
        <v>560</v>
      </c>
      <c r="B64" s="1087" t="s">
        <v>228</v>
      </c>
      <c r="C64" s="1071" t="s">
        <v>1462</v>
      </c>
      <c r="D64" s="1095" t="s">
        <v>1000</v>
      </c>
      <c r="E64" s="1083" t="s">
        <v>561</v>
      </c>
      <c r="F64" s="1083" t="s">
        <v>562</v>
      </c>
      <c r="G64" s="1083" t="s">
        <v>196</v>
      </c>
      <c r="H64" s="1095" t="s">
        <v>206</v>
      </c>
      <c r="I64" s="1095" t="s">
        <v>619</v>
      </c>
      <c r="J64" s="1073" t="s">
        <v>567</v>
      </c>
      <c r="K64" s="1073" t="s">
        <v>567</v>
      </c>
      <c r="L64" s="1079">
        <v>63999</v>
      </c>
      <c r="M64" s="1087" t="s">
        <v>228</v>
      </c>
      <c r="N64" s="1083" t="s">
        <v>377</v>
      </c>
    </row>
    <row r="65" spans="1:14" ht="15" customHeight="1" x14ac:dyDescent="0.2">
      <c r="A65" s="1087" t="s">
        <v>560</v>
      </c>
      <c r="B65" s="1087" t="s">
        <v>228</v>
      </c>
      <c r="C65" s="1071" t="s">
        <v>993</v>
      </c>
      <c r="D65" s="1095" t="s">
        <v>993</v>
      </c>
      <c r="E65" s="1083" t="s">
        <v>561</v>
      </c>
      <c r="F65" s="1083" t="s">
        <v>562</v>
      </c>
      <c r="G65" s="1083" t="s">
        <v>196</v>
      </c>
      <c r="H65" s="1095" t="s">
        <v>206</v>
      </c>
      <c r="I65" s="1095" t="s">
        <v>619</v>
      </c>
      <c r="J65" s="1073" t="s">
        <v>567</v>
      </c>
      <c r="K65" s="1073" t="s">
        <v>567</v>
      </c>
      <c r="L65" s="1079">
        <v>63999</v>
      </c>
      <c r="M65" s="1087" t="s">
        <v>228</v>
      </c>
      <c r="N65" s="1083" t="s">
        <v>70</v>
      </c>
    </row>
    <row r="66" spans="1:14" ht="15" customHeight="1" x14ac:dyDescent="0.2">
      <c r="A66" s="1087" t="s">
        <v>560</v>
      </c>
      <c r="B66" s="1087" t="s">
        <v>228</v>
      </c>
      <c r="C66" s="1071" t="s">
        <v>36</v>
      </c>
      <c r="D66" s="1095" t="s">
        <v>994</v>
      </c>
      <c r="E66" s="1075" t="s">
        <v>140</v>
      </c>
      <c r="F66" s="1095" t="s">
        <v>141</v>
      </c>
      <c r="G66" s="1095" t="s">
        <v>196</v>
      </c>
      <c r="H66" s="1095" t="s">
        <v>206</v>
      </c>
      <c r="I66" s="1095" t="s">
        <v>568</v>
      </c>
      <c r="J66" s="1073" t="s">
        <v>567</v>
      </c>
      <c r="K66" s="1073" t="s">
        <v>567</v>
      </c>
      <c r="L66" s="1079">
        <v>63999</v>
      </c>
      <c r="M66" s="1087" t="s">
        <v>228</v>
      </c>
      <c r="N66" s="1083" t="s">
        <v>36</v>
      </c>
    </row>
    <row r="67" spans="1:14" ht="15" customHeight="1" x14ac:dyDescent="0.2">
      <c r="A67" s="1087" t="s">
        <v>560</v>
      </c>
      <c r="B67" s="1087" t="s">
        <v>228</v>
      </c>
      <c r="C67" s="1071" t="s">
        <v>996</v>
      </c>
      <c r="D67" s="1095" t="s">
        <v>996</v>
      </c>
      <c r="E67" s="1083" t="s">
        <v>561</v>
      </c>
      <c r="F67" s="1083" t="s">
        <v>562</v>
      </c>
      <c r="G67" s="1083" t="s">
        <v>196</v>
      </c>
      <c r="H67" s="1095" t="s">
        <v>206</v>
      </c>
      <c r="I67" s="1095" t="s">
        <v>619</v>
      </c>
      <c r="J67" s="1073" t="s">
        <v>567</v>
      </c>
      <c r="K67" s="1073" t="s">
        <v>567</v>
      </c>
      <c r="L67" s="1079">
        <v>63999</v>
      </c>
      <c r="M67" s="1087" t="s">
        <v>228</v>
      </c>
      <c r="N67" s="1083" t="s">
        <v>139</v>
      </c>
    </row>
    <row r="68" spans="1:14" ht="15" customHeight="1" x14ac:dyDescent="0.2">
      <c r="A68" s="1087" t="s">
        <v>560</v>
      </c>
      <c r="B68" s="1087" t="s">
        <v>228</v>
      </c>
      <c r="C68" s="1071" t="s">
        <v>1463</v>
      </c>
      <c r="D68" s="1095" t="s">
        <v>995</v>
      </c>
      <c r="E68" s="1083" t="s">
        <v>561</v>
      </c>
      <c r="F68" s="1083" t="s">
        <v>562</v>
      </c>
      <c r="G68" s="1083" t="s">
        <v>196</v>
      </c>
      <c r="H68" s="1095" t="s">
        <v>206</v>
      </c>
      <c r="I68" s="1095" t="s">
        <v>619</v>
      </c>
      <c r="J68" s="1073" t="s">
        <v>567</v>
      </c>
      <c r="K68" s="1073" t="s">
        <v>567</v>
      </c>
      <c r="L68" s="1079">
        <v>63999</v>
      </c>
      <c r="M68" s="1087" t="s">
        <v>228</v>
      </c>
      <c r="N68" s="1083" t="s">
        <v>155</v>
      </c>
    </row>
    <row r="69" spans="1:14" ht="15" customHeight="1" x14ac:dyDescent="0.2">
      <c r="A69" s="1087" t="s">
        <v>560</v>
      </c>
      <c r="B69" s="1087" t="s">
        <v>228</v>
      </c>
      <c r="C69" s="1071" t="s">
        <v>2295</v>
      </c>
      <c r="D69" s="1095" t="s">
        <v>2295</v>
      </c>
      <c r="E69" s="1108" t="s">
        <v>561</v>
      </c>
      <c r="F69" s="1108" t="s">
        <v>562</v>
      </c>
      <c r="G69" s="1108" t="s">
        <v>196</v>
      </c>
      <c r="H69" s="1095" t="s">
        <v>206</v>
      </c>
      <c r="I69" s="1095" t="s">
        <v>619</v>
      </c>
      <c r="J69" s="1073" t="s">
        <v>567</v>
      </c>
      <c r="K69" s="1073" t="s">
        <v>567</v>
      </c>
      <c r="L69" s="1079"/>
      <c r="M69" s="1087"/>
      <c r="N69" s="1108"/>
    </row>
    <row r="70" spans="1:14" ht="15" customHeight="1" x14ac:dyDescent="0.2">
      <c r="A70" s="1087" t="s">
        <v>560</v>
      </c>
      <c r="B70" s="1087" t="s">
        <v>228</v>
      </c>
      <c r="C70" s="1071" t="s">
        <v>2296</v>
      </c>
      <c r="D70" s="1095" t="s">
        <v>2297</v>
      </c>
      <c r="E70" s="1108" t="s">
        <v>561</v>
      </c>
      <c r="F70" s="1108" t="s">
        <v>562</v>
      </c>
      <c r="G70" s="1108" t="s">
        <v>196</v>
      </c>
      <c r="H70" s="1095" t="s">
        <v>206</v>
      </c>
      <c r="I70" s="1095" t="s">
        <v>619</v>
      </c>
      <c r="J70" s="1073" t="s">
        <v>567</v>
      </c>
      <c r="K70" s="1073" t="s">
        <v>567</v>
      </c>
      <c r="L70" s="1079"/>
      <c r="M70" s="1087"/>
      <c r="N70" s="1108"/>
    </row>
    <row r="71" spans="1:14" ht="15" customHeight="1" x14ac:dyDescent="0.2">
      <c r="A71" s="1089" t="s">
        <v>567</v>
      </c>
      <c r="B71" s="1089" t="s">
        <v>567</v>
      </c>
      <c r="C71" s="1089" t="s">
        <v>567</v>
      </c>
      <c r="D71" s="1089" t="s">
        <v>567</v>
      </c>
      <c r="E71" s="1089" t="s">
        <v>567</v>
      </c>
      <c r="F71" s="1089" t="s">
        <v>567</v>
      </c>
      <c r="G71" s="1089" t="s">
        <v>567</v>
      </c>
      <c r="H71" s="1089" t="s">
        <v>567</v>
      </c>
      <c r="I71" s="1089" t="s">
        <v>567</v>
      </c>
      <c r="J71" s="1081" t="s">
        <v>567</v>
      </c>
      <c r="K71" s="1081" t="s">
        <v>567</v>
      </c>
      <c r="L71" s="1081" t="s">
        <v>567</v>
      </c>
      <c r="M71" s="1089" t="s">
        <v>567</v>
      </c>
      <c r="N71" s="1089" t="s">
        <v>567</v>
      </c>
    </row>
    <row r="72" spans="1:14" ht="15" customHeight="1" x14ac:dyDescent="0.2">
      <c r="A72" s="1087" t="s">
        <v>560</v>
      </c>
      <c r="B72" s="1087" t="s">
        <v>542</v>
      </c>
      <c r="C72" s="1071" t="s">
        <v>569</v>
      </c>
      <c r="D72" s="1095" t="s">
        <v>569</v>
      </c>
      <c r="E72" s="1075" t="s">
        <v>561</v>
      </c>
      <c r="F72" s="1075" t="s">
        <v>562</v>
      </c>
      <c r="G72" s="1095" t="s">
        <v>196</v>
      </c>
      <c r="H72" s="1095" t="s">
        <v>206</v>
      </c>
      <c r="I72" s="1095" t="s">
        <v>619</v>
      </c>
      <c r="J72" s="1073" t="s">
        <v>567</v>
      </c>
      <c r="K72" s="1073" t="s">
        <v>567</v>
      </c>
      <c r="L72" s="1079">
        <v>63999</v>
      </c>
      <c r="M72" s="1087" t="s">
        <v>542</v>
      </c>
      <c r="N72" s="1083" t="s">
        <v>1922</v>
      </c>
    </row>
    <row r="73" spans="1:14" ht="15" customHeight="1" x14ac:dyDescent="0.2">
      <c r="A73" s="1087" t="s">
        <v>560</v>
      </c>
      <c r="B73" s="1087" t="s">
        <v>542</v>
      </c>
      <c r="C73" s="1071" t="s">
        <v>1749</v>
      </c>
      <c r="D73" s="1095" t="s">
        <v>231</v>
      </c>
      <c r="E73" s="1075" t="s">
        <v>561</v>
      </c>
      <c r="F73" s="1075" t="s">
        <v>562</v>
      </c>
      <c r="G73" s="1095" t="s">
        <v>196</v>
      </c>
      <c r="H73" s="1096" t="s">
        <v>208</v>
      </c>
      <c r="I73" s="1095" t="s">
        <v>619</v>
      </c>
      <c r="J73" s="1073" t="s">
        <v>567</v>
      </c>
      <c r="K73" s="1073" t="s">
        <v>567</v>
      </c>
      <c r="L73" s="1079">
        <v>63999</v>
      </c>
      <c r="M73" s="1087" t="s">
        <v>542</v>
      </c>
      <c r="N73" s="1083" t="s">
        <v>1923</v>
      </c>
    </row>
    <row r="74" spans="1:14" ht="15" customHeight="1" x14ac:dyDescent="0.2">
      <c r="A74" s="1087" t="s">
        <v>560</v>
      </c>
      <c r="B74" s="1087" t="s">
        <v>542</v>
      </c>
      <c r="C74" s="1071" t="s">
        <v>570</v>
      </c>
      <c r="D74" s="1095" t="s">
        <v>570</v>
      </c>
      <c r="E74" s="1075" t="s">
        <v>561</v>
      </c>
      <c r="F74" s="1075" t="s">
        <v>562</v>
      </c>
      <c r="G74" s="1095" t="s">
        <v>196</v>
      </c>
      <c r="H74" s="1095" t="s">
        <v>206</v>
      </c>
      <c r="I74" s="1095" t="s">
        <v>619</v>
      </c>
      <c r="J74" s="1073" t="s">
        <v>567</v>
      </c>
      <c r="K74" s="1073" t="s">
        <v>567</v>
      </c>
      <c r="L74" s="1079">
        <v>63999</v>
      </c>
      <c r="M74" s="1087" t="s">
        <v>542</v>
      </c>
      <c r="N74" s="1083" t="s">
        <v>153</v>
      </c>
    </row>
    <row r="75" spans="1:14" ht="15" customHeight="1" x14ac:dyDescent="0.2">
      <c r="A75" s="1087" t="s">
        <v>560</v>
      </c>
      <c r="B75" s="1087" t="s">
        <v>542</v>
      </c>
      <c r="C75" s="1071" t="s">
        <v>1751</v>
      </c>
      <c r="D75" s="1095" t="s">
        <v>232</v>
      </c>
      <c r="E75" s="1075" t="s">
        <v>561</v>
      </c>
      <c r="F75" s="1075" t="s">
        <v>562</v>
      </c>
      <c r="G75" s="1095" t="s">
        <v>196</v>
      </c>
      <c r="H75" s="1096" t="s">
        <v>208</v>
      </c>
      <c r="I75" s="1095" t="s">
        <v>619</v>
      </c>
      <c r="J75" s="1073" t="s">
        <v>567</v>
      </c>
      <c r="K75" s="1073" t="s">
        <v>567</v>
      </c>
      <c r="L75" s="1079">
        <v>63999</v>
      </c>
      <c r="M75" s="1087" t="s">
        <v>542</v>
      </c>
      <c r="N75" s="1083" t="s">
        <v>1924</v>
      </c>
    </row>
    <row r="76" spans="1:14" ht="15" customHeight="1" x14ac:dyDescent="0.2">
      <c r="A76" s="1087" t="s">
        <v>560</v>
      </c>
      <c r="B76" s="1087" t="s">
        <v>542</v>
      </c>
      <c r="C76" s="1071" t="s">
        <v>571</v>
      </c>
      <c r="D76" s="1095" t="s">
        <v>571</v>
      </c>
      <c r="E76" s="1075" t="s">
        <v>561</v>
      </c>
      <c r="F76" s="1075" t="s">
        <v>562</v>
      </c>
      <c r="G76" s="1095" t="s">
        <v>196</v>
      </c>
      <c r="H76" s="1095" t="s">
        <v>206</v>
      </c>
      <c r="I76" s="1095" t="s">
        <v>619</v>
      </c>
      <c r="J76" s="1073" t="s">
        <v>567</v>
      </c>
      <c r="K76" s="1073" t="s">
        <v>567</v>
      </c>
      <c r="L76" s="1079">
        <v>63999</v>
      </c>
      <c r="M76" s="1087" t="s">
        <v>542</v>
      </c>
      <c r="N76" s="1083" t="s">
        <v>1925</v>
      </c>
    </row>
    <row r="77" spans="1:14" ht="15" customHeight="1" x14ac:dyDescent="0.2">
      <c r="A77" s="1087" t="s">
        <v>560</v>
      </c>
      <c r="B77" s="1087" t="s">
        <v>542</v>
      </c>
      <c r="C77" s="1071" t="s">
        <v>1752</v>
      </c>
      <c r="D77" s="1095" t="s">
        <v>233</v>
      </c>
      <c r="E77" s="1075" t="s">
        <v>561</v>
      </c>
      <c r="F77" s="1075" t="s">
        <v>562</v>
      </c>
      <c r="G77" s="1095" t="s">
        <v>196</v>
      </c>
      <c r="H77" s="1096" t="s">
        <v>208</v>
      </c>
      <c r="I77" s="1095" t="s">
        <v>619</v>
      </c>
      <c r="J77" s="1073" t="s">
        <v>567</v>
      </c>
      <c r="K77" s="1073" t="s">
        <v>567</v>
      </c>
      <c r="L77" s="1079">
        <v>63999</v>
      </c>
      <c r="M77" s="1087" t="s">
        <v>542</v>
      </c>
      <c r="N77" s="1083" t="s">
        <v>1926</v>
      </c>
    </row>
    <row r="78" spans="1:14" ht="15" customHeight="1" x14ac:dyDescent="0.2">
      <c r="A78" s="1087" t="s">
        <v>560</v>
      </c>
      <c r="B78" s="1087" t="s">
        <v>542</v>
      </c>
      <c r="C78" s="1071" t="s">
        <v>572</v>
      </c>
      <c r="D78" s="1095" t="s">
        <v>572</v>
      </c>
      <c r="E78" s="1075" t="s">
        <v>561</v>
      </c>
      <c r="F78" s="1075" t="s">
        <v>562</v>
      </c>
      <c r="G78" s="1095" t="s">
        <v>196</v>
      </c>
      <c r="H78" s="1095" t="s">
        <v>206</v>
      </c>
      <c r="I78" s="1095" t="s">
        <v>619</v>
      </c>
      <c r="J78" s="1073" t="s">
        <v>567</v>
      </c>
      <c r="K78" s="1073" t="s">
        <v>567</v>
      </c>
      <c r="L78" s="1079">
        <v>63999</v>
      </c>
      <c r="M78" s="1087" t="s">
        <v>542</v>
      </c>
      <c r="N78" s="1083" t="s">
        <v>1927</v>
      </c>
    </row>
    <row r="79" spans="1:14" ht="15" customHeight="1" x14ac:dyDescent="0.2">
      <c r="A79" s="1087" t="s">
        <v>560</v>
      </c>
      <c r="B79" s="1087" t="s">
        <v>542</v>
      </c>
      <c r="C79" s="1071" t="s">
        <v>1753</v>
      </c>
      <c r="D79" s="1095" t="s">
        <v>234</v>
      </c>
      <c r="E79" s="1075" t="s">
        <v>561</v>
      </c>
      <c r="F79" s="1075" t="s">
        <v>562</v>
      </c>
      <c r="G79" s="1095" t="s">
        <v>196</v>
      </c>
      <c r="H79" s="1096" t="s">
        <v>208</v>
      </c>
      <c r="I79" s="1095" t="s">
        <v>619</v>
      </c>
      <c r="J79" s="1073" t="s">
        <v>567</v>
      </c>
      <c r="K79" s="1073" t="s">
        <v>567</v>
      </c>
      <c r="L79" s="1079">
        <v>63999</v>
      </c>
      <c r="M79" s="1087" t="s">
        <v>542</v>
      </c>
      <c r="N79" s="1083" t="s">
        <v>1928</v>
      </c>
    </row>
    <row r="80" spans="1:14" ht="15" customHeight="1" x14ac:dyDescent="0.2">
      <c r="A80" s="1087" t="s">
        <v>560</v>
      </c>
      <c r="B80" s="1087" t="s">
        <v>542</v>
      </c>
      <c r="C80" s="1071" t="s">
        <v>573</v>
      </c>
      <c r="D80" s="1095" t="s">
        <v>573</v>
      </c>
      <c r="E80" s="1075" t="s">
        <v>561</v>
      </c>
      <c r="F80" s="1075" t="s">
        <v>562</v>
      </c>
      <c r="G80" s="1095" t="s">
        <v>196</v>
      </c>
      <c r="H80" s="1095" t="s">
        <v>206</v>
      </c>
      <c r="I80" s="1095" t="s">
        <v>619</v>
      </c>
      <c r="J80" s="1073" t="s">
        <v>567</v>
      </c>
      <c r="K80" s="1073" t="s">
        <v>567</v>
      </c>
      <c r="L80" s="1079">
        <v>63999</v>
      </c>
      <c r="M80" s="1087" t="s">
        <v>542</v>
      </c>
      <c r="N80" s="1083" t="s">
        <v>1929</v>
      </c>
    </row>
    <row r="81" spans="1:14" ht="15" customHeight="1" x14ac:dyDescent="0.2">
      <c r="A81" s="1087" t="s">
        <v>560</v>
      </c>
      <c r="B81" s="1087" t="s">
        <v>542</v>
      </c>
      <c r="C81" s="1071" t="s">
        <v>1754</v>
      </c>
      <c r="D81" s="1095" t="s">
        <v>235</v>
      </c>
      <c r="E81" s="1075" t="s">
        <v>561</v>
      </c>
      <c r="F81" s="1075" t="s">
        <v>562</v>
      </c>
      <c r="G81" s="1095" t="s">
        <v>196</v>
      </c>
      <c r="H81" s="1096" t="s">
        <v>208</v>
      </c>
      <c r="I81" s="1095" t="s">
        <v>619</v>
      </c>
      <c r="J81" s="1073" t="s">
        <v>567</v>
      </c>
      <c r="K81" s="1073" t="s">
        <v>567</v>
      </c>
      <c r="L81" s="1079">
        <v>63999</v>
      </c>
      <c r="M81" s="1087" t="s">
        <v>542</v>
      </c>
      <c r="N81" s="1083" t="s">
        <v>1930</v>
      </c>
    </row>
    <row r="82" spans="1:14" ht="15" customHeight="1" x14ac:dyDescent="0.2">
      <c r="A82" s="1087" t="s">
        <v>560</v>
      </c>
      <c r="B82" s="1087" t="s">
        <v>542</v>
      </c>
      <c r="C82" s="1071" t="s">
        <v>1495</v>
      </c>
      <c r="D82" s="1095" t="s">
        <v>574</v>
      </c>
      <c r="E82" s="1083" t="s">
        <v>561</v>
      </c>
      <c r="F82" s="1083" t="s">
        <v>562</v>
      </c>
      <c r="G82" s="1083" t="s">
        <v>196</v>
      </c>
      <c r="H82" s="1095" t="s">
        <v>206</v>
      </c>
      <c r="I82" s="1095" t="s">
        <v>619</v>
      </c>
      <c r="J82" s="1073" t="s">
        <v>567</v>
      </c>
      <c r="K82" s="1073" t="s">
        <v>567</v>
      </c>
      <c r="L82" s="1079">
        <v>63999</v>
      </c>
      <c r="M82" s="1087" t="s">
        <v>542</v>
      </c>
      <c r="N82" s="1083" t="s">
        <v>154</v>
      </c>
    </row>
    <row r="83" spans="1:14" ht="15" customHeight="1" x14ac:dyDescent="0.2">
      <c r="A83" s="1087" t="s">
        <v>560</v>
      </c>
      <c r="B83" s="1087" t="s">
        <v>542</v>
      </c>
      <c r="C83" s="1071" t="s">
        <v>1456</v>
      </c>
      <c r="D83" s="1095" t="s">
        <v>229</v>
      </c>
      <c r="E83" s="1083" t="s">
        <v>561</v>
      </c>
      <c r="F83" s="1083" t="s">
        <v>562</v>
      </c>
      <c r="G83" s="1083" t="s">
        <v>196</v>
      </c>
      <c r="H83" s="1096" t="s">
        <v>208</v>
      </c>
      <c r="I83" s="1095" t="s">
        <v>619</v>
      </c>
      <c r="J83" s="1073" t="s">
        <v>567</v>
      </c>
      <c r="K83" s="1073" t="s">
        <v>567</v>
      </c>
      <c r="L83" s="1079">
        <v>63999</v>
      </c>
      <c r="M83" s="1087" t="s">
        <v>542</v>
      </c>
      <c r="N83" s="1083" t="s">
        <v>152</v>
      </c>
    </row>
    <row r="84" spans="1:14" ht="15" customHeight="1" x14ac:dyDescent="0.2">
      <c r="A84" s="1087" t="s">
        <v>560</v>
      </c>
      <c r="B84" s="1087" t="s">
        <v>542</v>
      </c>
      <c r="C84" s="1071" t="s">
        <v>1436</v>
      </c>
      <c r="D84" s="1095" t="s">
        <v>1423</v>
      </c>
      <c r="E84" s="1075" t="s">
        <v>561</v>
      </c>
      <c r="F84" s="1075" t="s">
        <v>562</v>
      </c>
      <c r="G84" s="1095" t="s">
        <v>196</v>
      </c>
      <c r="H84" s="1095" t="s">
        <v>206</v>
      </c>
      <c r="I84" s="1095" t="s">
        <v>619</v>
      </c>
      <c r="J84" s="1073" t="s">
        <v>567</v>
      </c>
      <c r="K84" s="1073" t="s">
        <v>567</v>
      </c>
      <c r="L84" s="1079">
        <v>63999</v>
      </c>
      <c r="M84" s="1087" t="s">
        <v>542</v>
      </c>
      <c r="N84" s="1083" t="s">
        <v>1047</v>
      </c>
    </row>
    <row r="85" spans="1:14" ht="15" customHeight="1" x14ac:dyDescent="0.2">
      <c r="A85" s="1087" t="s">
        <v>560</v>
      </c>
      <c r="B85" s="1087" t="s">
        <v>542</v>
      </c>
      <c r="C85" s="1071" t="s">
        <v>1434</v>
      </c>
      <c r="D85" s="1095" t="s">
        <v>209</v>
      </c>
      <c r="E85" s="1097">
        <v>1</v>
      </c>
      <c r="F85" s="1097">
        <f t="shared" ref="F85:F86" ca="1" si="0">TODAY()</f>
        <v>42886</v>
      </c>
      <c r="G85" s="1095" t="s">
        <v>116</v>
      </c>
      <c r="H85" s="1096" t="s">
        <v>208</v>
      </c>
      <c r="I85" s="1095" t="s">
        <v>565</v>
      </c>
      <c r="J85" s="1073" t="s">
        <v>567</v>
      </c>
      <c r="K85" s="1073" t="s">
        <v>567</v>
      </c>
      <c r="L85" s="1073" t="s">
        <v>567</v>
      </c>
      <c r="M85" s="1087" t="s">
        <v>542</v>
      </c>
      <c r="N85" s="1083" t="s">
        <v>1919</v>
      </c>
    </row>
    <row r="86" spans="1:14" ht="15" customHeight="1" x14ac:dyDescent="0.2">
      <c r="A86" s="1087" t="s">
        <v>560</v>
      </c>
      <c r="B86" s="1087" t="s">
        <v>542</v>
      </c>
      <c r="C86" s="1071" t="s">
        <v>1435</v>
      </c>
      <c r="D86" s="1095" t="s">
        <v>210</v>
      </c>
      <c r="E86" s="1097">
        <v>1</v>
      </c>
      <c r="F86" s="1097">
        <f t="shared" ca="1" si="0"/>
        <v>42886</v>
      </c>
      <c r="G86" s="1095" t="s">
        <v>116</v>
      </c>
      <c r="H86" s="1096" t="s">
        <v>208</v>
      </c>
      <c r="I86" s="1095" t="s">
        <v>565</v>
      </c>
      <c r="J86" s="1073" t="s">
        <v>567</v>
      </c>
      <c r="K86" s="1073" t="s">
        <v>567</v>
      </c>
      <c r="L86" s="1073" t="s">
        <v>567</v>
      </c>
      <c r="M86" s="1087" t="s">
        <v>542</v>
      </c>
      <c r="N86" s="1083" t="s">
        <v>1931</v>
      </c>
    </row>
    <row r="87" spans="1:14" ht="15" customHeight="1" x14ac:dyDescent="0.2">
      <c r="A87" s="1087" t="s">
        <v>560</v>
      </c>
      <c r="B87" s="1087" t="s">
        <v>542</v>
      </c>
      <c r="C87" s="1071" t="s">
        <v>1464</v>
      </c>
      <c r="D87" s="1095" t="s">
        <v>236</v>
      </c>
      <c r="E87" s="1083" t="s">
        <v>561</v>
      </c>
      <c r="F87" s="1083" t="s">
        <v>562</v>
      </c>
      <c r="G87" s="1083" t="s">
        <v>196</v>
      </c>
      <c r="H87" s="1096" t="s">
        <v>208</v>
      </c>
      <c r="I87" s="1095" t="s">
        <v>619</v>
      </c>
      <c r="J87" s="1073" t="s">
        <v>567</v>
      </c>
      <c r="K87" s="1073" t="s">
        <v>567</v>
      </c>
      <c r="L87" s="1079">
        <v>63999</v>
      </c>
      <c r="M87" s="1087" t="s">
        <v>542</v>
      </c>
      <c r="N87" s="1083" t="s">
        <v>1932</v>
      </c>
    </row>
    <row r="88" spans="1:14" ht="15" customHeight="1" x14ac:dyDescent="0.2">
      <c r="A88" s="1087" t="s">
        <v>560</v>
      </c>
      <c r="B88" s="1087" t="s">
        <v>542</v>
      </c>
      <c r="C88" s="1071" t="s">
        <v>1465</v>
      </c>
      <c r="D88" s="1095" t="s">
        <v>237</v>
      </c>
      <c r="E88" s="1083" t="s">
        <v>561</v>
      </c>
      <c r="F88" s="1083" t="s">
        <v>562</v>
      </c>
      <c r="G88" s="1083" t="s">
        <v>196</v>
      </c>
      <c r="H88" s="1096" t="s">
        <v>208</v>
      </c>
      <c r="I88" s="1095" t="s">
        <v>619</v>
      </c>
      <c r="J88" s="1073" t="s">
        <v>567</v>
      </c>
      <c r="K88" s="1073" t="s">
        <v>567</v>
      </c>
      <c r="L88" s="1079">
        <v>63999</v>
      </c>
      <c r="M88" s="1087" t="s">
        <v>542</v>
      </c>
      <c r="N88" s="1083" t="s">
        <v>1933</v>
      </c>
    </row>
    <row r="89" spans="1:14" ht="15" customHeight="1" x14ac:dyDescent="0.2">
      <c r="A89" s="1087" t="s">
        <v>560</v>
      </c>
      <c r="B89" s="1087" t="s">
        <v>542</v>
      </c>
      <c r="C89" s="1071" t="s">
        <v>1466</v>
      </c>
      <c r="D89" s="1095" t="s">
        <v>575</v>
      </c>
      <c r="E89" s="1083" t="s">
        <v>561</v>
      </c>
      <c r="F89" s="1083" t="s">
        <v>562</v>
      </c>
      <c r="G89" s="1083" t="s">
        <v>196</v>
      </c>
      <c r="H89" s="1096" t="s">
        <v>208</v>
      </c>
      <c r="I89" s="1095" t="s">
        <v>619</v>
      </c>
      <c r="J89" s="1073" t="s">
        <v>567</v>
      </c>
      <c r="K89" s="1073" t="s">
        <v>567</v>
      </c>
      <c r="L89" s="1079">
        <v>63999</v>
      </c>
      <c r="M89" s="1087" t="s">
        <v>542</v>
      </c>
      <c r="N89" s="1083" t="s">
        <v>1934</v>
      </c>
    </row>
    <row r="90" spans="1:14" ht="15" customHeight="1" x14ac:dyDescent="0.2">
      <c r="A90" s="1087" t="s">
        <v>560</v>
      </c>
      <c r="B90" s="1087" t="s">
        <v>542</v>
      </c>
      <c r="C90" s="1071" t="s">
        <v>1467</v>
      </c>
      <c r="D90" s="1095" t="s">
        <v>238</v>
      </c>
      <c r="E90" s="1083" t="s">
        <v>561</v>
      </c>
      <c r="F90" s="1083" t="s">
        <v>562</v>
      </c>
      <c r="G90" s="1083" t="s">
        <v>196</v>
      </c>
      <c r="H90" s="1096" t="s">
        <v>208</v>
      </c>
      <c r="I90" s="1095" t="s">
        <v>619</v>
      </c>
      <c r="J90" s="1073" t="s">
        <v>567</v>
      </c>
      <c r="K90" s="1073" t="s">
        <v>567</v>
      </c>
      <c r="L90" s="1079">
        <v>63999</v>
      </c>
      <c r="M90" s="1087" t="s">
        <v>542</v>
      </c>
      <c r="N90" s="1083" t="s">
        <v>126</v>
      </c>
    </row>
    <row r="91" spans="1:14" ht="15" customHeight="1" x14ac:dyDescent="0.2">
      <c r="A91" s="1087" t="s">
        <v>560</v>
      </c>
      <c r="B91" s="1087" t="s">
        <v>542</v>
      </c>
      <c r="C91" s="1071" t="s">
        <v>67</v>
      </c>
      <c r="D91" s="1095" t="s">
        <v>621</v>
      </c>
      <c r="E91" s="1075">
        <v>-75</v>
      </c>
      <c r="F91" s="1098">
        <v>75</v>
      </c>
      <c r="G91" s="1095" t="s">
        <v>187</v>
      </c>
      <c r="H91" s="1096" t="s">
        <v>208</v>
      </c>
      <c r="I91" s="1095" t="s">
        <v>112</v>
      </c>
      <c r="J91" s="1079">
        <v>9</v>
      </c>
      <c r="K91" s="1079">
        <v>6</v>
      </c>
      <c r="L91" s="1073" t="s">
        <v>567</v>
      </c>
      <c r="M91" s="1087" t="s">
        <v>542</v>
      </c>
      <c r="N91" s="1083" t="s">
        <v>67</v>
      </c>
    </row>
    <row r="92" spans="1:14" ht="15" customHeight="1" x14ac:dyDescent="0.2">
      <c r="A92" s="1087" t="s">
        <v>560</v>
      </c>
      <c r="B92" s="1087" t="s">
        <v>542</v>
      </c>
      <c r="C92" s="1071" t="s">
        <v>68</v>
      </c>
      <c r="D92" s="1095" t="s">
        <v>622</v>
      </c>
      <c r="E92" s="1075">
        <v>-180</v>
      </c>
      <c r="F92" s="1098">
        <v>180</v>
      </c>
      <c r="G92" s="1095" t="s">
        <v>187</v>
      </c>
      <c r="H92" s="1096" t="s">
        <v>208</v>
      </c>
      <c r="I92" s="1095" t="s">
        <v>112</v>
      </c>
      <c r="J92" s="1079">
        <v>9</v>
      </c>
      <c r="K92" s="1079">
        <v>6</v>
      </c>
      <c r="L92" s="1073" t="s">
        <v>567</v>
      </c>
      <c r="M92" s="1087" t="s">
        <v>542</v>
      </c>
      <c r="N92" s="1083" t="s">
        <v>68</v>
      </c>
    </row>
    <row r="93" spans="1:14" ht="15" customHeight="1" x14ac:dyDescent="0.2">
      <c r="A93" s="1087" t="s">
        <v>560</v>
      </c>
      <c r="B93" s="1087" t="s">
        <v>542</v>
      </c>
      <c r="C93" s="1071" t="s">
        <v>1469</v>
      </c>
      <c r="D93" s="1095" t="s">
        <v>239</v>
      </c>
      <c r="E93" s="1075">
        <v>0</v>
      </c>
      <c r="F93" s="1098">
        <v>10</v>
      </c>
      <c r="G93" s="1095" t="s">
        <v>134</v>
      </c>
      <c r="H93" s="1096" t="s">
        <v>208</v>
      </c>
      <c r="I93" s="1095" t="s">
        <v>618</v>
      </c>
      <c r="J93" s="1073" t="s">
        <v>567</v>
      </c>
      <c r="K93" s="1073" t="s">
        <v>567</v>
      </c>
      <c r="L93" s="1073" t="s">
        <v>567</v>
      </c>
      <c r="M93" s="1087" t="s">
        <v>542</v>
      </c>
      <c r="N93" s="1083" t="s">
        <v>127</v>
      </c>
    </row>
    <row r="94" spans="1:14" ht="15" customHeight="1" x14ac:dyDescent="0.2">
      <c r="A94" s="1087" t="s">
        <v>560</v>
      </c>
      <c r="B94" s="1087" t="s">
        <v>542</v>
      </c>
      <c r="C94" s="1071" t="s">
        <v>1468</v>
      </c>
      <c r="D94" s="1095" t="s">
        <v>240</v>
      </c>
      <c r="E94" s="1075">
        <v>0</v>
      </c>
      <c r="F94" s="1098">
        <v>999999</v>
      </c>
      <c r="G94" s="1095" t="s">
        <v>2228</v>
      </c>
      <c r="H94" s="1096" t="s">
        <v>208</v>
      </c>
      <c r="I94" s="1095" t="s">
        <v>112</v>
      </c>
      <c r="J94" s="1079">
        <v>9</v>
      </c>
      <c r="K94" s="1079">
        <v>1</v>
      </c>
      <c r="L94" s="1073" t="s">
        <v>567</v>
      </c>
      <c r="M94" s="1087" t="s">
        <v>542</v>
      </c>
      <c r="N94" s="1083" t="s">
        <v>1935</v>
      </c>
    </row>
    <row r="95" spans="1:14" ht="15" customHeight="1" x14ac:dyDescent="0.2">
      <c r="A95" s="1089" t="s">
        <v>567</v>
      </c>
      <c r="B95" s="1089" t="s">
        <v>567</v>
      </c>
      <c r="C95" s="1089" t="s">
        <v>567</v>
      </c>
      <c r="D95" s="1089" t="s">
        <v>567</v>
      </c>
      <c r="E95" s="1089" t="s">
        <v>567</v>
      </c>
      <c r="F95" s="1089" t="s">
        <v>567</v>
      </c>
      <c r="G95" s="1089" t="s">
        <v>567</v>
      </c>
      <c r="H95" s="1089" t="s">
        <v>567</v>
      </c>
      <c r="I95" s="1089" t="s">
        <v>567</v>
      </c>
      <c r="J95" s="1081" t="s">
        <v>567</v>
      </c>
      <c r="K95" s="1081" t="s">
        <v>567</v>
      </c>
      <c r="L95" s="1081" t="s">
        <v>567</v>
      </c>
      <c r="M95" s="1089" t="s">
        <v>567</v>
      </c>
      <c r="N95" s="1089" t="s">
        <v>567</v>
      </c>
    </row>
    <row r="96" spans="1:14" ht="15" customHeight="1" x14ac:dyDescent="0.2">
      <c r="A96" s="1085" t="s">
        <v>576</v>
      </c>
      <c r="B96" s="1085" t="s">
        <v>506</v>
      </c>
      <c r="C96" s="1071" t="s">
        <v>1431</v>
      </c>
      <c r="D96" s="1095" t="s">
        <v>205</v>
      </c>
      <c r="E96" s="1075" t="s">
        <v>561</v>
      </c>
      <c r="F96" s="1075" t="s">
        <v>562</v>
      </c>
      <c r="G96" s="1095" t="s">
        <v>196</v>
      </c>
      <c r="H96" s="1095" t="s">
        <v>206</v>
      </c>
      <c r="I96" s="1095" t="s">
        <v>619</v>
      </c>
      <c r="J96" s="1073" t="s">
        <v>567</v>
      </c>
      <c r="K96" s="1073" t="s">
        <v>567</v>
      </c>
      <c r="L96" s="1073" t="s">
        <v>567</v>
      </c>
      <c r="M96" s="1085" t="s">
        <v>506</v>
      </c>
      <c r="N96" s="1083" t="s">
        <v>111</v>
      </c>
    </row>
    <row r="97" spans="1:14" ht="15" customHeight="1" x14ac:dyDescent="0.2">
      <c r="A97" s="1085" t="s">
        <v>576</v>
      </c>
      <c r="B97" s="1085" t="s">
        <v>506</v>
      </c>
      <c r="C97" s="1071" t="s">
        <v>1436</v>
      </c>
      <c r="D97" s="1095" t="s">
        <v>1423</v>
      </c>
      <c r="E97" s="1075" t="s">
        <v>561</v>
      </c>
      <c r="F97" s="1075" t="s">
        <v>562</v>
      </c>
      <c r="G97" s="1095" t="s">
        <v>196</v>
      </c>
      <c r="H97" s="1095" t="s">
        <v>206</v>
      </c>
      <c r="I97" s="1095" t="s">
        <v>619</v>
      </c>
      <c r="J97" s="1073" t="s">
        <v>567</v>
      </c>
      <c r="K97" s="1073" t="s">
        <v>567</v>
      </c>
      <c r="L97" s="1079">
        <v>63999</v>
      </c>
      <c r="M97" s="1085" t="s">
        <v>506</v>
      </c>
      <c r="N97" s="1083" t="s">
        <v>1047</v>
      </c>
    </row>
    <row r="98" spans="1:14" ht="15" customHeight="1" x14ac:dyDescent="0.2">
      <c r="A98" s="1085" t="s">
        <v>576</v>
      </c>
      <c r="B98" s="1085" t="s">
        <v>506</v>
      </c>
      <c r="C98" s="1071" t="s">
        <v>35</v>
      </c>
      <c r="D98" s="1095" t="s">
        <v>35</v>
      </c>
      <c r="E98" s="1097">
        <v>1</v>
      </c>
      <c r="F98" s="1097">
        <f ca="1">TODAY()</f>
        <v>42886</v>
      </c>
      <c r="G98" s="1095" t="s">
        <v>116</v>
      </c>
      <c r="H98" s="1095" t="s">
        <v>206</v>
      </c>
      <c r="I98" s="1095" t="s">
        <v>565</v>
      </c>
      <c r="J98" s="1073" t="s">
        <v>567</v>
      </c>
      <c r="K98" s="1073" t="s">
        <v>567</v>
      </c>
      <c r="L98" s="1073" t="s">
        <v>567</v>
      </c>
      <c r="M98" s="1085" t="s">
        <v>506</v>
      </c>
      <c r="N98" s="1083" t="s">
        <v>35</v>
      </c>
    </row>
    <row r="99" spans="1:14" ht="15" customHeight="1" x14ac:dyDescent="0.2">
      <c r="A99" s="1085" t="s">
        <v>576</v>
      </c>
      <c r="B99" s="1085" t="s">
        <v>506</v>
      </c>
      <c r="C99" s="1071" t="s">
        <v>1470</v>
      </c>
      <c r="D99" s="1095" t="s">
        <v>246</v>
      </c>
      <c r="E99" s="1083" t="s">
        <v>561</v>
      </c>
      <c r="F99" s="1083" t="s">
        <v>562</v>
      </c>
      <c r="G99" s="1083" t="s">
        <v>196</v>
      </c>
      <c r="H99" s="1096" t="s">
        <v>208</v>
      </c>
      <c r="I99" s="1095" t="s">
        <v>619</v>
      </c>
      <c r="J99" s="1073" t="s">
        <v>567</v>
      </c>
      <c r="K99" s="1073" t="s">
        <v>567</v>
      </c>
      <c r="L99" s="1073" t="s">
        <v>567</v>
      </c>
      <c r="M99" s="1085" t="s">
        <v>506</v>
      </c>
      <c r="N99" s="1083" t="s">
        <v>1936</v>
      </c>
    </row>
    <row r="100" spans="1:14" ht="15" customHeight="1" x14ac:dyDescent="0.2">
      <c r="A100" s="1085" t="s">
        <v>576</v>
      </c>
      <c r="B100" s="1085" t="s">
        <v>506</v>
      </c>
      <c r="C100" s="1071" t="s">
        <v>1471</v>
      </c>
      <c r="D100" s="1095" t="s">
        <v>247</v>
      </c>
      <c r="E100" s="1075">
        <v>-75</v>
      </c>
      <c r="F100" s="1098">
        <v>75</v>
      </c>
      <c r="G100" s="1095" t="s">
        <v>187</v>
      </c>
      <c r="H100" s="1095" t="s">
        <v>206</v>
      </c>
      <c r="I100" s="1095" t="s">
        <v>112</v>
      </c>
      <c r="J100" s="1079">
        <v>9</v>
      </c>
      <c r="K100" s="1079">
        <v>6</v>
      </c>
      <c r="L100" s="1073" t="s">
        <v>567</v>
      </c>
      <c r="M100" s="1085" t="s">
        <v>506</v>
      </c>
      <c r="N100" s="1083" t="s">
        <v>1937</v>
      </c>
    </row>
    <row r="101" spans="1:14" ht="15" customHeight="1" x14ac:dyDescent="0.2">
      <c r="A101" s="1085" t="s">
        <v>576</v>
      </c>
      <c r="B101" s="1085" t="s">
        <v>506</v>
      </c>
      <c r="C101" s="1071" t="s">
        <v>1472</v>
      </c>
      <c r="D101" s="1095" t="s">
        <v>248</v>
      </c>
      <c r="E101" s="1075">
        <v>-180</v>
      </c>
      <c r="F101" s="1098">
        <v>180</v>
      </c>
      <c r="G101" s="1095" t="s">
        <v>187</v>
      </c>
      <c r="H101" s="1095" t="s">
        <v>206</v>
      </c>
      <c r="I101" s="1095" t="s">
        <v>112</v>
      </c>
      <c r="J101" s="1079">
        <v>9</v>
      </c>
      <c r="K101" s="1079">
        <v>6</v>
      </c>
      <c r="L101" s="1073" t="s">
        <v>567</v>
      </c>
      <c r="M101" s="1085" t="s">
        <v>506</v>
      </c>
      <c r="N101" s="1083" t="s">
        <v>1938</v>
      </c>
    </row>
    <row r="102" spans="1:14" ht="15" customHeight="1" x14ac:dyDescent="0.2">
      <c r="A102" s="1085" t="s">
        <v>576</v>
      </c>
      <c r="B102" s="1085" t="s">
        <v>506</v>
      </c>
      <c r="C102" s="1071" t="s">
        <v>1473</v>
      </c>
      <c r="D102" s="1095" t="s">
        <v>249</v>
      </c>
      <c r="E102" s="1075">
        <v>-50</v>
      </c>
      <c r="F102" s="1098">
        <v>5000</v>
      </c>
      <c r="G102" s="1095" t="s">
        <v>211</v>
      </c>
      <c r="H102" s="1095" t="s">
        <v>206</v>
      </c>
      <c r="I102" s="1095" t="s">
        <v>618</v>
      </c>
      <c r="J102" s="1073" t="s">
        <v>567</v>
      </c>
      <c r="K102" s="1073" t="s">
        <v>567</v>
      </c>
      <c r="L102" s="1073" t="s">
        <v>567</v>
      </c>
      <c r="M102" s="1085" t="s">
        <v>506</v>
      </c>
      <c r="N102" s="1083" t="s">
        <v>1939</v>
      </c>
    </row>
    <row r="103" spans="1:14" ht="15" customHeight="1" x14ac:dyDescent="0.2">
      <c r="A103" s="1085" t="s">
        <v>576</v>
      </c>
      <c r="B103" s="1085" t="s">
        <v>506</v>
      </c>
      <c r="C103" s="1071" t="s">
        <v>1474</v>
      </c>
      <c r="D103" s="1095" t="s">
        <v>250</v>
      </c>
      <c r="E103" s="1075">
        <v>1</v>
      </c>
      <c r="F103" s="1098">
        <v>10000</v>
      </c>
      <c r="G103" s="1095" t="s">
        <v>211</v>
      </c>
      <c r="H103" s="1095" t="s">
        <v>206</v>
      </c>
      <c r="I103" s="1095" t="s">
        <v>112</v>
      </c>
      <c r="J103" s="1079">
        <v>10</v>
      </c>
      <c r="K103" s="1079">
        <v>0</v>
      </c>
      <c r="L103" s="1073" t="s">
        <v>567</v>
      </c>
      <c r="M103" s="1085" t="s">
        <v>506</v>
      </c>
      <c r="N103" s="1083" t="s">
        <v>1940</v>
      </c>
    </row>
    <row r="104" spans="1:14" ht="15" customHeight="1" x14ac:dyDescent="0.2">
      <c r="A104" s="1085" t="s">
        <v>576</v>
      </c>
      <c r="B104" s="1085" t="s">
        <v>506</v>
      </c>
      <c r="C104" s="1071" t="s">
        <v>1475</v>
      </c>
      <c r="D104" s="1095" t="s">
        <v>623</v>
      </c>
      <c r="E104" s="1083" t="s">
        <v>561</v>
      </c>
      <c r="F104" s="1083" t="s">
        <v>562</v>
      </c>
      <c r="G104" s="1095" t="s">
        <v>251</v>
      </c>
      <c r="H104" s="1095" t="s">
        <v>206</v>
      </c>
      <c r="I104" s="1095" t="s">
        <v>619</v>
      </c>
      <c r="J104" s="1073" t="s">
        <v>567</v>
      </c>
      <c r="K104" s="1073" t="s">
        <v>567</v>
      </c>
      <c r="L104" s="1079">
        <v>63999</v>
      </c>
      <c r="M104" s="1085" t="s">
        <v>506</v>
      </c>
      <c r="N104" s="1083" t="s">
        <v>1941</v>
      </c>
    </row>
    <row r="105" spans="1:14" ht="15" customHeight="1" x14ac:dyDescent="0.2">
      <c r="A105" s="1085" t="s">
        <v>576</v>
      </c>
      <c r="B105" s="1085" t="s">
        <v>506</v>
      </c>
      <c r="C105" s="1071" t="s">
        <v>1476</v>
      </c>
      <c r="D105" s="1095" t="s">
        <v>252</v>
      </c>
      <c r="E105" s="1083" t="s">
        <v>561</v>
      </c>
      <c r="F105" s="1083" t="s">
        <v>562</v>
      </c>
      <c r="G105" s="1095" t="s">
        <v>196</v>
      </c>
      <c r="H105" s="1096" t="s">
        <v>208</v>
      </c>
      <c r="I105" s="1095" t="s">
        <v>619</v>
      </c>
      <c r="J105" s="1073" t="s">
        <v>567</v>
      </c>
      <c r="K105" s="1073" t="s">
        <v>567</v>
      </c>
      <c r="L105" s="1079">
        <v>63999</v>
      </c>
      <c r="M105" s="1085" t="s">
        <v>506</v>
      </c>
      <c r="N105" s="1083" t="s">
        <v>1942</v>
      </c>
    </row>
    <row r="106" spans="1:14" ht="15" customHeight="1" x14ac:dyDescent="0.2">
      <c r="A106" s="1089" t="s">
        <v>567</v>
      </c>
      <c r="B106" s="1089" t="s">
        <v>567</v>
      </c>
      <c r="C106" s="1089" t="s">
        <v>567</v>
      </c>
      <c r="D106" s="1089" t="s">
        <v>567</v>
      </c>
      <c r="E106" s="1089" t="s">
        <v>567</v>
      </c>
      <c r="F106" s="1089" t="s">
        <v>567</v>
      </c>
      <c r="G106" s="1089" t="s">
        <v>567</v>
      </c>
      <c r="H106" s="1089" t="s">
        <v>567</v>
      </c>
      <c r="I106" s="1089" t="s">
        <v>567</v>
      </c>
      <c r="J106" s="1081" t="s">
        <v>567</v>
      </c>
      <c r="K106" s="1081" t="s">
        <v>567</v>
      </c>
      <c r="L106" s="1081" t="s">
        <v>567</v>
      </c>
      <c r="M106" s="1089" t="s">
        <v>567</v>
      </c>
      <c r="N106" s="1089" t="s">
        <v>567</v>
      </c>
    </row>
    <row r="107" spans="1:14" ht="15" customHeight="1" x14ac:dyDescent="0.2">
      <c r="A107" s="1085" t="s">
        <v>576</v>
      </c>
      <c r="B107" s="1085" t="s">
        <v>507</v>
      </c>
      <c r="C107" s="1071" t="s">
        <v>1431</v>
      </c>
      <c r="D107" s="1095" t="s">
        <v>205</v>
      </c>
      <c r="E107" s="1083" t="s">
        <v>561</v>
      </c>
      <c r="F107" s="1083" t="s">
        <v>562</v>
      </c>
      <c r="G107" s="1083" t="s">
        <v>196</v>
      </c>
      <c r="H107" s="1095" t="s">
        <v>206</v>
      </c>
      <c r="I107" s="1095" t="s">
        <v>619</v>
      </c>
      <c r="J107" s="1073" t="s">
        <v>567</v>
      </c>
      <c r="K107" s="1073" t="s">
        <v>567</v>
      </c>
      <c r="L107" s="1079">
        <v>63999</v>
      </c>
      <c r="M107" s="1085" t="s">
        <v>507</v>
      </c>
      <c r="N107" s="1083" t="s">
        <v>111</v>
      </c>
    </row>
    <row r="108" spans="1:14" ht="15" customHeight="1" x14ac:dyDescent="0.2">
      <c r="A108" s="1085" t="s">
        <v>576</v>
      </c>
      <c r="B108" s="1085" t="s">
        <v>507</v>
      </c>
      <c r="C108" s="1071" t="s">
        <v>1436</v>
      </c>
      <c r="D108" s="1095" t="s">
        <v>1423</v>
      </c>
      <c r="E108" s="1075" t="s">
        <v>561</v>
      </c>
      <c r="F108" s="1075" t="s">
        <v>562</v>
      </c>
      <c r="G108" s="1095" t="s">
        <v>196</v>
      </c>
      <c r="H108" s="1095" t="s">
        <v>206</v>
      </c>
      <c r="I108" s="1095" t="s">
        <v>619</v>
      </c>
      <c r="J108" s="1073" t="s">
        <v>567</v>
      </c>
      <c r="K108" s="1073" t="s">
        <v>567</v>
      </c>
      <c r="L108" s="1079">
        <v>63999</v>
      </c>
      <c r="M108" s="1085" t="s">
        <v>507</v>
      </c>
      <c r="N108" s="1083" t="s">
        <v>1047</v>
      </c>
    </row>
    <row r="109" spans="1:14" ht="15" customHeight="1" x14ac:dyDescent="0.2">
      <c r="A109" s="1085" t="s">
        <v>576</v>
      </c>
      <c r="B109" s="1085" t="s">
        <v>507</v>
      </c>
      <c r="C109" s="1071" t="s">
        <v>1477</v>
      </c>
      <c r="D109" s="1095" t="s">
        <v>35</v>
      </c>
      <c r="E109" s="1097">
        <v>1</v>
      </c>
      <c r="F109" s="1097">
        <f ca="1">TODAY()</f>
        <v>42886</v>
      </c>
      <c r="G109" s="1095" t="s">
        <v>116</v>
      </c>
      <c r="H109" s="1095" t="s">
        <v>206</v>
      </c>
      <c r="I109" s="1095" t="s">
        <v>565</v>
      </c>
      <c r="J109" s="1073" t="s">
        <v>567</v>
      </c>
      <c r="K109" s="1073" t="s">
        <v>567</v>
      </c>
      <c r="L109" s="1073" t="s">
        <v>567</v>
      </c>
      <c r="M109" s="1085" t="s">
        <v>507</v>
      </c>
      <c r="N109" s="1083" t="s">
        <v>1943</v>
      </c>
    </row>
    <row r="110" spans="1:14" ht="15" customHeight="1" x14ac:dyDescent="0.2">
      <c r="A110" s="1085" t="s">
        <v>576</v>
      </c>
      <c r="B110" s="1085" t="s">
        <v>507</v>
      </c>
      <c r="C110" s="1071" t="s">
        <v>1470</v>
      </c>
      <c r="D110" s="1095" t="s">
        <v>246</v>
      </c>
      <c r="E110" s="1083" t="s">
        <v>561</v>
      </c>
      <c r="F110" s="1083" t="s">
        <v>562</v>
      </c>
      <c r="G110" s="1083" t="s">
        <v>196</v>
      </c>
      <c r="H110" s="1095" t="s">
        <v>206</v>
      </c>
      <c r="I110" s="1095" t="s">
        <v>619</v>
      </c>
      <c r="J110" s="1073" t="s">
        <v>567</v>
      </c>
      <c r="K110" s="1073" t="s">
        <v>567</v>
      </c>
      <c r="L110" s="1079">
        <v>63999</v>
      </c>
      <c r="M110" s="1085" t="s">
        <v>507</v>
      </c>
      <c r="N110" s="1083" t="s">
        <v>1944</v>
      </c>
    </row>
    <row r="111" spans="1:14" ht="15" customHeight="1" x14ac:dyDescent="0.2">
      <c r="A111" s="1085" t="s">
        <v>576</v>
      </c>
      <c r="B111" s="1085" t="s">
        <v>507</v>
      </c>
      <c r="C111" s="1071" t="s">
        <v>1478</v>
      </c>
      <c r="D111" s="1095" t="s">
        <v>969</v>
      </c>
      <c r="E111" s="1075">
        <v>-20</v>
      </c>
      <c r="F111" s="1098">
        <v>40</v>
      </c>
      <c r="G111" s="1095" t="s">
        <v>1010</v>
      </c>
      <c r="H111" s="1096" t="s">
        <v>208</v>
      </c>
      <c r="I111" s="1095" t="s">
        <v>112</v>
      </c>
      <c r="J111" s="1079">
        <v>9</v>
      </c>
      <c r="K111" s="1079">
        <v>2</v>
      </c>
      <c r="L111" s="1073" t="s">
        <v>567</v>
      </c>
      <c r="M111" s="1085" t="s">
        <v>507</v>
      </c>
      <c r="N111" s="1083" t="s">
        <v>1945</v>
      </c>
    </row>
    <row r="112" spans="1:14" ht="15" customHeight="1" x14ac:dyDescent="0.2">
      <c r="A112" s="1085" t="s">
        <v>576</v>
      </c>
      <c r="B112" s="1085" t="s">
        <v>507</v>
      </c>
      <c r="C112" s="1071" t="s">
        <v>1479</v>
      </c>
      <c r="D112" s="1095" t="s">
        <v>970</v>
      </c>
      <c r="E112" s="1075">
        <v>-20</v>
      </c>
      <c r="F112" s="1098">
        <v>40</v>
      </c>
      <c r="G112" s="1095" t="s">
        <v>1010</v>
      </c>
      <c r="H112" s="1096" t="s">
        <v>208</v>
      </c>
      <c r="I112" s="1095" t="s">
        <v>112</v>
      </c>
      <c r="J112" s="1079">
        <v>9</v>
      </c>
      <c r="K112" s="1079">
        <v>2</v>
      </c>
      <c r="L112" s="1073" t="s">
        <v>567</v>
      </c>
      <c r="M112" s="1085" t="s">
        <v>507</v>
      </c>
      <c r="N112" s="1083" t="s">
        <v>1946</v>
      </c>
    </row>
    <row r="113" spans="1:14" ht="15" customHeight="1" x14ac:dyDescent="0.2">
      <c r="A113" s="1085" t="s">
        <v>576</v>
      </c>
      <c r="B113" s="1085" t="s">
        <v>507</v>
      </c>
      <c r="C113" s="1071" t="s">
        <v>1480</v>
      </c>
      <c r="D113" s="1095" t="s">
        <v>253</v>
      </c>
      <c r="E113" s="1075">
        <v>0</v>
      </c>
      <c r="F113" s="1098">
        <v>250</v>
      </c>
      <c r="G113" s="1095" t="s">
        <v>115</v>
      </c>
      <c r="H113" s="1096" t="s">
        <v>208</v>
      </c>
      <c r="I113" s="1095" t="s">
        <v>112</v>
      </c>
      <c r="J113" s="1079">
        <v>9</v>
      </c>
      <c r="K113" s="1079">
        <v>2</v>
      </c>
      <c r="L113" s="1073" t="s">
        <v>567</v>
      </c>
      <c r="M113" s="1085" t="s">
        <v>507</v>
      </c>
      <c r="N113" s="1083" t="s">
        <v>1947</v>
      </c>
    </row>
    <row r="114" spans="1:14" ht="15" customHeight="1" x14ac:dyDescent="0.2">
      <c r="A114" s="1085" t="s">
        <v>576</v>
      </c>
      <c r="B114" s="1085" t="s">
        <v>507</v>
      </c>
      <c r="C114" s="1071" t="s">
        <v>1481</v>
      </c>
      <c r="D114" s="1095" t="s">
        <v>624</v>
      </c>
      <c r="E114" s="1075">
        <v>-999</v>
      </c>
      <c r="F114" s="1075">
        <v>-999</v>
      </c>
      <c r="G114" s="1095" t="s">
        <v>254</v>
      </c>
      <c r="H114" s="1096" t="s">
        <v>208</v>
      </c>
      <c r="I114" s="1095" t="s">
        <v>618</v>
      </c>
      <c r="J114" s="1073" t="s">
        <v>567</v>
      </c>
      <c r="K114" s="1073" t="s">
        <v>567</v>
      </c>
      <c r="L114" s="1073" t="s">
        <v>567</v>
      </c>
      <c r="M114" s="1085" t="s">
        <v>507</v>
      </c>
      <c r="N114" s="1083" t="s">
        <v>1948</v>
      </c>
    </row>
    <row r="115" spans="1:14" ht="15" customHeight="1" x14ac:dyDescent="0.2">
      <c r="A115" s="1085" t="s">
        <v>576</v>
      </c>
      <c r="B115" s="1085" t="s">
        <v>507</v>
      </c>
      <c r="C115" s="1071" t="s">
        <v>1482</v>
      </c>
      <c r="D115" s="1095" t="s">
        <v>255</v>
      </c>
      <c r="E115" s="1075">
        <v>0</v>
      </c>
      <c r="F115" s="1098">
        <v>100</v>
      </c>
      <c r="G115" s="1095" t="s">
        <v>40</v>
      </c>
      <c r="H115" s="1096" t="s">
        <v>208</v>
      </c>
      <c r="I115" s="1095" t="s">
        <v>618</v>
      </c>
      <c r="J115" s="1073" t="s">
        <v>567</v>
      </c>
      <c r="K115" s="1073" t="s">
        <v>567</v>
      </c>
      <c r="L115" s="1073" t="s">
        <v>567</v>
      </c>
      <c r="M115" s="1085" t="s">
        <v>507</v>
      </c>
      <c r="N115" s="1083" t="s">
        <v>1949</v>
      </c>
    </row>
    <row r="116" spans="1:14" ht="15" customHeight="1" x14ac:dyDescent="0.2">
      <c r="A116" s="1085" t="s">
        <v>576</v>
      </c>
      <c r="B116" s="1085" t="s">
        <v>507</v>
      </c>
      <c r="C116" s="1071" t="s">
        <v>1483</v>
      </c>
      <c r="D116" s="1095" t="s">
        <v>256</v>
      </c>
      <c r="E116" s="1075">
        <v>-20</v>
      </c>
      <c r="F116" s="1098">
        <v>40</v>
      </c>
      <c r="G116" s="1095" t="s">
        <v>1010</v>
      </c>
      <c r="H116" s="1096" t="s">
        <v>208</v>
      </c>
      <c r="I116" s="1095" t="s">
        <v>112</v>
      </c>
      <c r="J116" s="1079">
        <v>9</v>
      </c>
      <c r="K116" s="1079">
        <v>2</v>
      </c>
      <c r="L116" s="1073" t="s">
        <v>567</v>
      </c>
      <c r="M116" s="1085" t="s">
        <v>507</v>
      </c>
      <c r="N116" s="1083" t="s">
        <v>1950</v>
      </c>
    </row>
    <row r="117" spans="1:14" ht="15" customHeight="1" x14ac:dyDescent="0.2">
      <c r="A117" s="1085" t="s">
        <v>576</v>
      </c>
      <c r="B117" s="1085" t="s">
        <v>507</v>
      </c>
      <c r="C117" s="1071" t="s">
        <v>1484</v>
      </c>
      <c r="D117" s="1095" t="s">
        <v>257</v>
      </c>
      <c r="E117" s="1075">
        <v>0</v>
      </c>
      <c r="F117" s="1098">
        <v>30</v>
      </c>
      <c r="G117" s="1095" t="s">
        <v>42</v>
      </c>
      <c r="H117" s="1096" t="s">
        <v>208</v>
      </c>
      <c r="I117" s="1095" t="s">
        <v>112</v>
      </c>
      <c r="J117" s="1079">
        <v>9</v>
      </c>
      <c r="K117" s="1079">
        <v>2</v>
      </c>
      <c r="L117" s="1073" t="s">
        <v>567</v>
      </c>
      <c r="M117" s="1085" t="s">
        <v>507</v>
      </c>
      <c r="N117" s="1083" t="s">
        <v>1951</v>
      </c>
    </row>
    <row r="118" spans="1:14" ht="15" customHeight="1" x14ac:dyDescent="0.2">
      <c r="A118" s="1085" t="s">
        <v>576</v>
      </c>
      <c r="B118" s="1085" t="s">
        <v>507</v>
      </c>
      <c r="C118" s="1071" t="s">
        <v>1485</v>
      </c>
      <c r="D118" s="1095" t="s">
        <v>258</v>
      </c>
      <c r="E118" s="1075">
        <v>0</v>
      </c>
      <c r="F118" s="1098">
        <v>55</v>
      </c>
      <c r="G118" s="1095" t="s">
        <v>2229</v>
      </c>
      <c r="H118" s="1096" t="s">
        <v>208</v>
      </c>
      <c r="I118" s="1095" t="s">
        <v>112</v>
      </c>
      <c r="J118" s="1079">
        <v>9</v>
      </c>
      <c r="K118" s="1079">
        <v>2</v>
      </c>
      <c r="L118" s="1073" t="s">
        <v>567</v>
      </c>
      <c r="M118" s="1085" t="s">
        <v>507</v>
      </c>
      <c r="N118" s="1083" t="s">
        <v>1952</v>
      </c>
    </row>
    <row r="119" spans="1:14" ht="15" customHeight="1" x14ac:dyDescent="0.2">
      <c r="A119" s="1085" t="s">
        <v>576</v>
      </c>
      <c r="B119" s="1085" t="s">
        <v>507</v>
      </c>
      <c r="C119" s="1071" t="s">
        <v>1486</v>
      </c>
      <c r="D119" s="1095" t="s">
        <v>259</v>
      </c>
      <c r="E119" s="1075">
        <v>0</v>
      </c>
      <c r="F119" s="1098">
        <v>55</v>
      </c>
      <c r="G119" s="1095" t="s">
        <v>2229</v>
      </c>
      <c r="H119" s="1096" t="s">
        <v>208</v>
      </c>
      <c r="I119" s="1095" t="s">
        <v>112</v>
      </c>
      <c r="J119" s="1079">
        <v>9</v>
      </c>
      <c r="K119" s="1079">
        <v>2</v>
      </c>
      <c r="L119" s="1073" t="s">
        <v>567</v>
      </c>
      <c r="M119" s="1085" t="s">
        <v>507</v>
      </c>
      <c r="N119" s="1083" t="s">
        <v>1953</v>
      </c>
    </row>
    <row r="120" spans="1:14" ht="15" customHeight="1" x14ac:dyDescent="0.2">
      <c r="A120" s="1085" t="s">
        <v>576</v>
      </c>
      <c r="B120" s="1085" t="s">
        <v>507</v>
      </c>
      <c r="C120" s="1071" t="s">
        <v>1487</v>
      </c>
      <c r="D120" s="1095" t="s">
        <v>971</v>
      </c>
      <c r="E120" s="1075">
        <v>-20</v>
      </c>
      <c r="F120" s="1098">
        <v>40</v>
      </c>
      <c r="G120" s="1095" t="s">
        <v>1010</v>
      </c>
      <c r="H120" s="1096" t="s">
        <v>208</v>
      </c>
      <c r="I120" s="1095" t="s">
        <v>112</v>
      </c>
      <c r="J120" s="1079">
        <v>9</v>
      </c>
      <c r="K120" s="1079">
        <v>2</v>
      </c>
      <c r="L120" s="1073" t="s">
        <v>567</v>
      </c>
      <c r="M120" s="1085" t="s">
        <v>507</v>
      </c>
      <c r="N120" s="1083" t="s">
        <v>1954</v>
      </c>
    </row>
    <row r="121" spans="1:14" ht="15" customHeight="1" x14ac:dyDescent="0.2">
      <c r="A121" s="1085" t="s">
        <v>576</v>
      </c>
      <c r="B121" s="1085" t="s">
        <v>507</v>
      </c>
      <c r="C121" s="1071" t="s">
        <v>1488</v>
      </c>
      <c r="D121" s="1095" t="s">
        <v>972</v>
      </c>
      <c r="E121" s="1075">
        <v>-20</v>
      </c>
      <c r="F121" s="1098">
        <v>40</v>
      </c>
      <c r="G121" s="1095" t="s">
        <v>1010</v>
      </c>
      <c r="H121" s="1096" t="s">
        <v>208</v>
      </c>
      <c r="I121" s="1095" t="s">
        <v>112</v>
      </c>
      <c r="J121" s="1079">
        <v>9</v>
      </c>
      <c r="K121" s="1079">
        <v>2</v>
      </c>
      <c r="L121" s="1073" t="s">
        <v>567</v>
      </c>
      <c r="M121" s="1085" t="s">
        <v>507</v>
      </c>
      <c r="N121" s="1083" t="s">
        <v>1955</v>
      </c>
    </row>
    <row r="122" spans="1:14" ht="15" customHeight="1" x14ac:dyDescent="0.2">
      <c r="A122" s="1085" t="s">
        <v>576</v>
      </c>
      <c r="B122" s="1085" t="s">
        <v>507</v>
      </c>
      <c r="C122" s="1071" t="s">
        <v>1489</v>
      </c>
      <c r="D122" s="1095" t="s">
        <v>260</v>
      </c>
      <c r="E122" s="1075">
        <v>0</v>
      </c>
      <c r="F122" s="1098">
        <v>360</v>
      </c>
      <c r="G122" s="1095" t="s">
        <v>261</v>
      </c>
      <c r="H122" s="1096" t="s">
        <v>208</v>
      </c>
      <c r="I122" s="1095" t="s">
        <v>618</v>
      </c>
      <c r="J122" s="1073" t="s">
        <v>567</v>
      </c>
      <c r="K122" s="1073" t="s">
        <v>567</v>
      </c>
      <c r="L122" s="1073" t="s">
        <v>567</v>
      </c>
      <c r="M122" s="1085" t="s">
        <v>507</v>
      </c>
      <c r="N122" s="1083" t="s">
        <v>1956</v>
      </c>
    </row>
    <row r="123" spans="1:14" ht="15" customHeight="1" x14ac:dyDescent="0.2">
      <c r="A123" s="1085" t="s">
        <v>576</v>
      </c>
      <c r="B123" s="1085" t="s">
        <v>507</v>
      </c>
      <c r="C123" s="1071" t="s">
        <v>1490</v>
      </c>
      <c r="D123" s="1095" t="s">
        <v>262</v>
      </c>
      <c r="E123" s="1075">
        <v>0</v>
      </c>
      <c r="F123" s="1098">
        <v>15</v>
      </c>
      <c r="G123" s="1095" t="s">
        <v>115</v>
      </c>
      <c r="H123" s="1096" t="s">
        <v>208</v>
      </c>
      <c r="I123" s="1095" t="s">
        <v>112</v>
      </c>
      <c r="J123" s="1079">
        <v>10</v>
      </c>
      <c r="K123" s="1079">
        <v>0</v>
      </c>
      <c r="L123" s="1073" t="s">
        <v>567</v>
      </c>
      <c r="M123" s="1085" t="s">
        <v>507</v>
      </c>
      <c r="N123" s="1083" t="s">
        <v>1957</v>
      </c>
    </row>
    <row r="124" spans="1:14" ht="15" customHeight="1" x14ac:dyDescent="0.2">
      <c r="A124" s="1085" t="s">
        <v>576</v>
      </c>
      <c r="B124" s="1085" t="s">
        <v>507</v>
      </c>
      <c r="C124" s="1071" t="s">
        <v>1491</v>
      </c>
      <c r="D124" s="1095" t="s">
        <v>263</v>
      </c>
      <c r="E124" s="1075">
        <v>0</v>
      </c>
      <c r="F124" s="1098">
        <v>15</v>
      </c>
      <c r="G124" s="1095" t="s">
        <v>115</v>
      </c>
      <c r="H124" s="1096" t="s">
        <v>208</v>
      </c>
      <c r="I124" s="1095" t="s">
        <v>112</v>
      </c>
      <c r="J124" s="1079">
        <v>10</v>
      </c>
      <c r="K124" s="1079">
        <v>0</v>
      </c>
      <c r="L124" s="1073" t="s">
        <v>567</v>
      </c>
      <c r="M124" s="1085" t="s">
        <v>507</v>
      </c>
      <c r="N124" s="1083" t="s">
        <v>1958</v>
      </c>
    </row>
    <row r="125" spans="1:14" ht="15" customHeight="1" x14ac:dyDescent="0.2">
      <c r="A125" s="1085" t="s">
        <v>576</v>
      </c>
      <c r="B125" s="1085" t="s">
        <v>507</v>
      </c>
      <c r="C125" s="1071" t="s">
        <v>1492</v>
      </c>
      <c r="D125" s="1095" t="s">
        <v>264</v>
      </c>
      <c r="E125" s="1075">
        <v>0</v>
      </c>
      <c r="F125" s="1098">
        <v>0.5</v>
      </c>
      <c r="G125" s="1095" t="s">
        <v>114</v>
      </c>
      <c r="H125" s="1096" t="s">
        <v>208</v>
      </c>
      <c r="I125" s="1095" t="s">
        <v>112</v>
      </c>
      <c r="J125" s="1079">
        <v>10</v>
      </c>
      <c r="K125" s="1079">
        <v>0</v>
      </c>
      <c r="L125" s="1073" t="s">
        <v>567</v>
      </c>
      <c r="M125" s="1085" t="s">
        <v>507</v>
      </c>
      <c r="N125" s="1083" t="s">
        <v>1959</v>
      </c>
    </row>
    <row r="126" spans="1:14" ht="15" customHeight="1" x14ac:dyDescent="0.2">
      <c r="A126" s="1085" t="s">
        <v>576</v>
      </c>
      <c r="B126" s="1085" t="s">
        <v>507</v>
      </c>
      <c r="C126" s="1071" t="s">
        <v>1493</v>
      </c>
      <c r="D126" s="1095" t="s">
        <v>265</v>
      </c>
      <c r="E126" s="1075">
        <v>0</v>
      </c>
      <c r="F126" s="1098">
        <v>55</v>
      </c>
      <c r="G126" s="1095" t="s">
        <v>2229</v>
      </c>
      <c r="H126" s="1096" t="s">
        <v>208</v>
      </c>
      <c r="I126" s="1095" t="s">
        <v>112</v>
      </c>
      <c r="J126" s="1079">
        <v>9</v>
      </c>
      <c r="K126" s="1079">
        <v>2</v>
      </c>
      <c r="L126" s="1073" t="s">
        <v>567</v>
      </c>
      <c r="M126" s="1085" t="s">
        <v>507</v>
      </c>
      <c r="N126" s="1083" t="s">
        <v>1960</v>
      </c>
    </row>
    <row r="127" spans="1:14" ht="15" customHeight="1" x14ac:dyDescent="0.2">
      <c r="A127" s="1085" t="s">
        <v>576</v>
      </c>
      <c r="B127" s="1085" t="s">
        <v>507</v>
      </c>
      <c r="C127" s="1071" t="s">
        <v>1494</v>
      </c>
      <c r="D127" s="1095" t="s">
        <v>266</v>
      </c>
      <c r="E127" s="1075">
        <v>0</v>
      </c>
      <c r="F127" s="1098">
        <v>1000</v>
      </c>
      <c r="G127" s="1095" t="s">
        <v>115</v>
      </c>
      <c r="H127" s="1096" t="s">
        <v>208</v>
      </c>
      <c r="I127" s="1095" t="s">
        <v>112</v>
      </c>
      <c r="J127" s="1079">
        <v>10</v>
      </c>
      <c r="K127" s="1079">
        <v>0</v>
      </c>
      <c r="L127" s="1073" t="s">
        <v>567</v>
      </c>
      <c r="M127" s="1085" t="s">
        <v>507</v>
      </c>
      <c r="N127" s="1083" t="s">
        <v>1961</v>
      </c>
    </row>
    <row r="128" spans="1:14" ht="15" customHeight="1" x14ac:dyDescent="0.2">
      <c r="A128" s="1089" t="s">
        <v>567</v>
      </c>
      <c r="B128" s="1089" t="s">
        <v>567</v>
      </c>
      <c r="C128" s="1089" t="s">
        <v>567</v>
      </c>
      <c r="D128" s="1089" t="s">
        <v>567</v>
      </c>
      <c r="E128" s="1089" t="s">
        <v>567</v>
      </c>
      <c r="F128" s="1089" t="s">
        <v>567</v>
      </c>
      <c r="G128" s="1089" t="s">
        <v>567</v>
      </c>
      <c r="H128" s="1089" t="s">
        <v>567</v>
      </c>
      <c r="I128" s="1089" t="s">
        <v>567</v>
      </c>
      <c r="J128" s="1081" t="s">
        <v>567</v>
      </c>
      <c r="K128" s="1081" t="s">
        <v>567</v>
      </c>
      <c r="L128" s="1081" t="s">
        <v>567</v>
      </c>
      <c r="M128" s="1089" t="s">
        <v>567</v>
      </c>
      <c r="N128" s="1089" t="s">
        <v>567</v>
      </c>
    </row>
    <row r="129" spans="1:14" ht="15" customHeight="1" x14ac:dyDescent="0.2">
      <c r="A129" s="1086" t="s">
        <v>577</v>
      </c>
      <c r="B129" s="1086" t="s">
        <v>599</v>
      </c>
      <c r="C129" s="1071" t="s">
        <v>1495</v>
      </c>
      <c r="D129" s="1095" t="s">
        <v>574</v>
      </c>
      <c r="E129" s="1083" t="s">
        <v>561</v>
      </c>
      <c r="F129" s="1083" t="s">
        <v>562</v>
      </c>
      <c r="G129" s="1083" t="s">
        <v>196</v>
      </c>
      <c r="H129" s="1095" t="s">
        <v>206</v>
      </c>
      <c r="I129" s="1095" t="s">
        <v>619</v>
      </c>
      <c r="J129" s="1073" t="s">
        <v>567</v>
      </c>
      <c r="K129" s="1073" t="s">
        <v>567</v>
      </c>
      <c r="L129" s="1079">
        <v>63999</v>
      </c>
      <c r="M129" s="1086" t="s">
        <v>599</v>
      </c>
      <c r="N129" s="1083" t="s">
        <v>154</v>
      </c>
    </row>
    <row r="130" spans="1:14" ht="15" customHeight="1" x14ac:dyDescent="0.2">
      <c r="A130" s="1086" t="s">
        <v>577</v>
      </c>
      <c r="B130" s="1086" t="s">
        <v>599</v>
      </c>
      <c r="C130" s="1071" t="s">
        <v>35</v>
      </c>
      <c r="D130" s="1095" t="s">
        <v>35</v>
      </c>
      <c r="E130" s="1097">
        <v>1</v>
      </c>
      <c r="F130" s="1097">
        <f ca="1">TODAY()</f>
        <v>42886</v>
      </c>
      <c r="G130" s="1095" t="s">
        <v>116</v>
      </c>
      <c r="H130" s="1095" t="s">
        <v>206</v>
      </c>
      <c r="I130" s="1095" t="s">
        <v>565</v>
      </c>
      <c r="J130" s="1073" t="s">
        <v>567</v>
      </c>
      <c r="K130" s="1073" t="s">
        <v>567</v>
      </c>
      <c r="L130" s="1073" t="s">
        <v>567</v>
      </c>
      <c r="M130" s="1086" t="s">
        <v>599</v>
      </c>
      <c r="N130" s="1083" t="s">
        <v>35</v>
      </c>
    </row>
    <row r="131" spans="1:14" ht="15" customHeight="1" x14ac:dyDescent="0.2">
      <c r="A131" s="1086" t="s">
        <v>577</v>
      </c>
      <c r="B131" s="1086" t="s">
        <v>599</v>
      </c>
      <c r="C131" s="1071" t="s">
        <v>1456</v>
      </c>
      <c r="D131" s="1095" t="s">
        <v>229</v>
      </c>
      <c r="E131" s="1083" t="s">
        <v>561</v>
      </c>
      <c r="F131" s="1083" t="s">
        <v>562</v>
      </c>
      <c r="G131" s="1083" t="s">
        <v>196</v>
      </c>
      <c r="H131" s="1096" t="s">
        <v>208</v>
      </c>
      <c r="I131" s="1095" t="s">
        <v>619</v>
      </c>
      <c r="J131" s="1073" t="s">
        <v>567</v>
      </c>
      <c r="K131" s="1073" t="s">
        <v>567</v>
      </c>
      <c r="L131" s="1079">
        <v>63999</v>
      </c>
      <c r="M131" s="1086" t="s">
        <v>599</v>
      </c>
      <c r="N131" s="1083" t="s">
        <v>152</v>
      </c>
    </row>
    <row r="132" spans="1:14" ht="15" customHeight="1" x14ac:dyDescent="0.2">
      <c r="A132" s="1086" t="s">
        <v>577</v>
      </c>
      <c r="B132" s="1086" t="s">
        <v>599</v>
      </c>
      <c r="C132" s="1071" t="s">
        <v>77</v>
      </c>
      <c r="D132" s="1095" t="s">
        <v>267</v>
      </c>
      <c r="E132" s="1083" t="s">
        <v>561</v>
      </c>
      <c r="F132" s="1083" t="s">
        <v>562</v>
      </c>
      <c r="G132" s="1083" t="s">
        <v>196</v>
      </c>
      <c r="H132" s="1096" t="s">
        <v>208</v>
      </c>
      <c r="I132" s="1095" t="s">
        <v>619</v>
      </c>
      <c r="J132" s="1073" t="s">
        <v>567</v>
      </c>
      <c r="K132" s="1073" t="s">
        <v>567</v>
      </c>
      <c r="L132" s="1079">
        <v>63999</v>
      </c>
      <c r="M132" s="1086" t="s">
        <v>599</v>
      </c>
      <c r="N132" s="1083" t="s">
        <v>77</v>
      </c>
    </row>
    <row r="133" spans="1:14" ht="15" customHeight="1" x14ac:dyDescent="0.2">
      <c r="A133" s="1086" t="s">
        <v>577</v>
      </c>
      <c r="B133" s="1086" t="s">
        <v>599</v>
      </c>
      <c r="C133" s="1071" t="s">
        <v>1496</v>
      </c>
      <c r="D133" s="1095" t="s">
        <v>991</v>
      </c>
      <c r="E133" s="1083" t="s">
        <v>561</v>
      </c>
      <c r="F133" s="1083" t="s">
        <v>562</v>
      </c>
      <c r="G133" s="1083" t="s">
        <v>196</v>
      </c>
      <c r="H133" s="1096" t="s">
        <v>208</v>
      </c>
      <c r="I133" s="1095" t="s">
        <v>619</v>
      </c>
      <c r="J133" s="1073" t="s">
        <v>567</v>
      </c>
      <c r="K133" s="1073" t="s">
        <v>567</v>
      </c>
      <c r="L133" s="1079">
        <v>63999</v>
      </c>
      <c r="M133" s="1086" t="s">
        <v>599</v>
      </c>
      <c r="N133" s="1083" t="s">
        <v>468</v>
      </c>
    </row>
    <row r="134" spans="1:14" ht="15" customHeight="1" x14ac:dyDescent="0.2">
      <c r="A134" s="1086" t="s">
        <v>577</v>
      </c>
      <c r="B134" s="1086" t="s">
        <v>599</v>
      </c>
      <c r="C134" s="1071" t="s">
        <v>1500</v>
      </c>
      <c r="D134" s="1095" t="s">
        <v>908</v>
      </c>
      <c r="E134" s="1075">
        <v>0</v>
      </c>
      <c r="F134" s="1098">
        <v>50</v>
      </c>
      <c r="G134" s="1095" t="s">
        <v>46</v>
      </c>
      <c r="H134" s="1096" t="s">
        <v>208</v>
      </c>
      <c r="I134" s="1095" t="s">
        <v>112</v>
      </c>
      <c r="J134" s="1079">
        <v>9</v>
      </c>
      <c r="K134" s="1079">
        <v>3</v>
      </c>
      <c r="L134" s="1073" t="s">
        <v>567</v>
      </c>
      <c r="M134" s="1086" t="s">
        <v>599</v>
      </c>
      <c r="N134" s="1083" t="s">
        <v>1962</v>
      </c>
    </row>
    <row r="135" spans="1:14" ht="15" customHeight="1" x14ac:dyDescent="0.2">
      <c r="A135" s="1086" t="s">
        <v>577</v>
      </c>
      <c r="B135" s="1086" t="s">
        <v>599</v>
      </c>
      <c r="C135" s="1071" t="s">
        <v>1497</v>
      </c>
      <c r="D135" s="1095" t="s">
        <v>992</v>
      </c>
      <c r="E135" s="1083" t="s">
        <v>561</v>
      </c>
      <c r="F135" s="1083" t="s">
        <v>562</v>
      </c>
      <c r="G135" s="1083" t="s">
        <v>196</v>
      </c>
      <c r="H135" s="1096" t="s">
        <v>208</v>
      </c>
      <c r="I135" s="1095" t="s">
        <v>619</v>
      </c>
      <c r="J135" s="1073" t="s">
        <v>567</v>
      </c>
      <c r="K135" s="1073" t="s">
        <v>567</v>
      </c>
      <c r="L135" s="1079">
        <v>63999</v>
      </c>
      <c r="M135" s="1086" t="s">
        <v>599</v>
      </c>
      <c r="N135" s="1083" t="s">
        <v>279</v>
      </c>
    </row>
    <row r="136" spans="1:14" ht="15" customHeight="1" x14ac:dyDescent="0.2">
      <c r="A136" s="1086" t="s">
        <v>577</v>
      </c>
      <c r="B136" s="1086" t="s">
        <v>599</v>
      </c>
      <c r="C136" s="1071" t="s">
        <v>1498</v>
      </c>
      <c r="D136" s="1095" t="s">
        <v>1036</v>
      </c>
      <c r="E136" s="1075">
        <v>0</v>
      </c>
      <c r="F136" s="1095">
        <v>500</v>
      </c>
      <c r="G136" s="1095" t="s">
        <v>275</v>
      </c>
      <c r="H136" s="1096" t="s">
        <v>208</v>
      </c>
      <c r="I136" s="1095" t="s">
        <v>112</v>
      </c>
      <c r="J136" s="1079">
        <v>9</v>
      </c>
      <c r="K136" s="1079">
        <v>3</v>
      </c>
      <c r="L136" s="1073" t="s">
        <v>567</v>
      </c>
      <c r="M136" s="1086" t="s">
        <v>599</v>
      </c>
      <c r="N136" s="1083" t="s">
        <v>1963</v>
      </c>
    </row>
    <row r="137" spans="1:14" ht="15" customHeight="1" x14ac:dyDescent="0.2">
      <c r="A137" s="1086" t="s">
        <v>577</v>
      </c>
      <c r="B137" s="1086" t="s">
        <v>599</v>
      </c>
      <c r="C137" s="1071" t="s">
        <v>1499</v>
      </c>
      <c r="D137" s="1095" t="s">
        <v>280</v>
      </c>
      <c r="E137" s="1075">
        <v>0</v>
      </c>
      <c r="F137" s="1095">
        <v>500</v>
      </c>
      <c r="G137" s="1095" t="s">
        <v>91</v>
      </c>
      <c r="H137" s="1096" t="s">
        <v>208</v>
      </c>
      <c r="I137" s="1095" t="s">
        <v>112</v>
      </c>
      <c r="J137" s="1079">
        <v>9</v>
      </c>
      <c r="K137" s="1079">
        <v>3</v>
      </c>
      <c r="L137" s="1073" t="s">
        <v>567</v>
      </c>
      <c r="M137" s="1086" t="s">
        <v>599</v>
      </c>
      <c r="N137" s="1083" t="s">
        <v>1964</v>
      </c>
    </row>
    <row r="138" spans="1:14" ht="15" customHeight="1" x14ac:dyDescent="0.2">
      <c r="A138" s="1086" t="s">
        <v>577</v>
      </c>
      <c r="B138" s="1086" t="s">
        <v>599</v>
      </c>
      <c r="C138" s="1071" t="s">
        <v>1501</v>
      </c>
      <c r="D138" s="1095" t="s">
        <v>281</v>
      </c>
      <c r="E138" s="1075">
        <v>0</v>
      </c>
      <c r="F138" s="1095">
        <v>500</v>
      </c>
      <c r="G138" s="1095" t="s">
        <v>185</v>
      </c>
      <c r="H138" s="1096" t="s">
        <v>208</v>
      </c>
      <c r="I138" s="1095" t="s">
        <v>112</v>
      </c>
      <c r="J138" s="1079">
        <v>9</v>
      </c>
      <c r="K138" s="1079">
        <v>3</v>
      </c>
      <c r="L138" s="1073" t="s">
        <v>567</v>
      </c>
      <c r="M138" s="1086" t="s">
        <v>599</v>
      </c>
      <c r="N138" s="1083" t="s">
        <v>1965</v>
      </c>
    </row>
    <row r="139" spans="1:14" ht="15" customHeight="1" x14ac:dyDescent="0.2">
      <c r="A139" s="1086" t="s">
        <v>577</v>
      </c>
      <c r="B139" s="1086" t="s">
        <v>599</v>
      </c>
      <c r="C139" s="1071" t="s">
        <v>1502</v>
      </c>
      <c r="D139" s="1095" t="s">
        <v>282</v>
      </c>
      <c r="E139" s="1075">
        <v>0</v>
      </c>
      <c r="F139" s="1095">
        <v>500</v>
      </c>
      <c r="G139" s="1095" t="s">
        <v>186</v>
      </c>
      <c r="H139" s="1096" t="s">
        <v>208</v>
      </c>
      <c r="I139" s="1095" t="s">
        <v>112</v>
      </c>
      <c r="J139" s="1079">
        <v>9</v>
      </c>
      <c r="K139" s="1079">
        <v>3</v>
      </c>
      <c r="L139" s="1073" t="s">
        <v>567</v>
      </c>
      <c r="M139" s="1086" t="s">
        <v>599</v>
      </c>
      <c r="N139" s="1083" t="s">
        <v>1966</v>
      </c>
    </row>
    <row r="140" spans="1:14" ht="15" customHeight="1" x14ac:dyDescent="0.2">
      <c r="A140" s="1086" t="s">
        <v>577</v>
      </c>
      <c r="B140" s="1086" t="s">
        <v>599</v>
      </c>
      <c r="C140" s="1071" t="s">
        <v>1503</v>
      </c>
      <c r="D140" s="1095" t="s">
        <v>704</v>
      </c>
      <c r="E140" s="1075">
        <v>0</v>
      </c>
      <c r="F140" s="1098"/>
      <c r="G140" s="1095" t="s">
        <v>275</v>
      </c>
      <c r="H140" s="1096" t="s">
        <v>208</v>
      </c>
      <c r="I140" s="1095" t="s">
        <v>112</v>
      </c>
      <c r="J140" s="1079">
        <v>9</v>
      </c>
      <c r="K140" s="1079">
        <v>3</v>
      </c>
      <c r="L140" s="1073" t="s">
        <v>567</v>
      </c>
      <c r="M140" s="1086" t="s">
        <v>599</v>
      </c>
      <c r="N140" s="1083" t="s">
        <v>1967</v>
      </c>
    </row>
    <row r="141" spans="1:14" ht="15" customHeight="1" x14ac:dyDescent="0.2">
      <c r="A141" s="1086" t="s">
        <v>577</v>
      </c>
      <c r="B141" s="1086" t="s">
        <v>599</v>
      </c>
      <c r="C141" s="1071" t="s">
        <v>1504</v>
      </c>
      <c r="D141" s="1095" t="s">
        <v>283</v>
      </c>
      <c r="E141" s="1083" t="s">
        <v>561</v>
      </c>
      <c r="F141" s="1083" t="s">
        <v>562</v>
      </c>
      <c r="G141" s="1083" t="s">
        <v>196</v>
      </c>
      <c r="H141" s="1096" t="s">
        <v>208</v>
      </c>
      <c r="I141" s="1095" t="s">
        <v>619</v>
      </c>
      <c r="J141" s="1073" t="s">
        <v>567</v>
      </c>
      <c r="K141" s="1073" t="s">
        <v>567</v>
      </c>
      <c r="L141" s="1079">
        <v>63999</v>
      </c>
      <c r="M141" s="1086" t="s">
        <v>599</v>
      </c>
      <c r="N141" s="1083" t="s">
        <v>488</v>
      </c>
    </row>
    <row r="142" spans="1:14" ht="15" customHeight="1" x14ac:dyDescent="0.2">
      <c r="A142" s="1086" t="s">
        <v>577</v>
      </c>
      <c r="B142" s="1086" t="s">
        <v>599</v>
      </c>
      <c r="C142" s="1071" t="s">
        <v>1505</v>
      </c>
      <c r="D142" s="1095" t="s">
        <v>284</v>
      </c>
      <c r="E142" s="1083" t="s">
        <v>561</v>
      </c>
      <c r="F142" s="1083" t="s">
        <v>562</v>
      </c>
      <c r="G142" s="1083" t="s">
        <v>196</v>
      </c>
      <c r="H142" s="1096" t="s">
        <v>208</v>
      </c>
      <c r="I142" s="1095" t="s">
        <v>619</v>
      </c>
      <c r="J142" s="1073" t="s">
        <v>567</v>
      </c>
      <c r="K142" s="1073" t="s">
        <v>567</v>
      </c>
      <c r="L142" s="1079">
        <v>63999</v>
      </c>
      <c r="M142" s="1086" t="s">
        <v>599</v>
      </c>
      <c r="N142" s="1083" t="s">
        <v>1968</v>
      </c>
    </row>
    <row r="143" spans="1:14" ht="15" customHeight="1" x14ac:dyDescent="0.2">
      <c r="A143" s="1086" t="s">
        <v>577</v>
      </c>
      <c r="B143" s="1086" t="s">
        <v>599</v>
      </c>
      <c r="C143" s="1071" t="s">
        <v>1506</v>
      </c>
      <c r="D143" s="1095" t="s">
        <v>285</v>
      </c>
      <c r="E143" s="1083" t="s">
        <v>561</v>
      </c>
      <c r="F143" s="1083" t="s">
        <v>562</v>
      </c>
      <c r="G143" s="1083" t="s">
        <v>196</v>
      </c>
      <c r="H143" s="1096" t="s">
        <v>208</v>
      </c>
      <c r="I143" s="1095" t="s">
        <v>112</v>
      </c>
      <c r="J143" s="1079">
        <v>9</v>
      </c>
      <c r="K143" s="1079">
        <v>3</v>
      </c>
      <c r="L143" s="1073" t="s">
        <v>567</v>
      </c>
      <c r="M143" s="1086" t="s">
        <v>599</v>
      </c>
      <c r="N143" s="1083" t="s">
        <v>183</v>
      </c>
    </row>
    <row r="144" spans="1:14" ht="15" customHeight="1" x14ac:dyDescent="0.2">
      <c r="A144" s="1086" t="s">
        <v>577</v>
      </c>
      <c r="B144" s="1086" t="s">
        <v>599</v>
      </c>
      <c r="C144" s="1071" t="s">
        <v>1507</v>
      </c>
      <c r="D144" s="1095" t="s">
        <v>286</v>
      </c>
      <c r="E144" s="1075">
        <v>0</v>
      </c>
      <c r="F144" s="1098">
        <v>10</v>
      </c>
      <c r="G144" s="1095" t="s">
        <v>46</v>
      </c>
      <c r="H144" s="1096" t="s">
        <v>208</v>
      </c>
      <c r="I144" s="1095" t="s">
        <v>112</v>
      </c>
      <c r="J144" s="1079">
        <v>9</v>
      </c>
      <c r="K144" s="1079">
        <v>3</v>
      </c>
      <c r="L144" s="1073" t="s">
        <v>567</v>
      </c>
      <c r="M144" s="1086" t="s">
        <v>599</v>
      </c>
      <c r="N144" s="1083" t="s">
        <v>1969</v>
      </c>
    </row>
    <row r="145" spans="1:14" ht="15" customHeight="1" x14ac:dyDescent="0.2">
      <c r="A145" s="1086" t="s">
        <v>577</v>
      </c>
      <c r="B145" s="1086" t="s">
        <v>599</v>
      </c>
      <c r="C145" s="1071" t="s">
        <v>1508</v>
      </c>
      <c r="D145" s="1095" t="s">
        <v>287</v>
      </c>
      <c r="E145" s="1083" t="s">
        <v>561</v>
      </c>
      <c r="F145" s="1083" t="s">
        <v>562</v>
      </c>
      <c r="G145" s="1083" t="s">
        <v>196</v>
      </c>
      <c r="H145" s="1096" t="s">
        <v>208</v>
      </c>
      <c r="I145" s="1095" t="s">
        <v>619</v>
      </c>
      <c r="J145" s="1073" t="s">
        <v>567</v>
      </c>
      <c r="K145" s="1073" t="s">
        <v>567</v>
      </c>
      <c r="L145" s="1079">
        <v>63999</v>
      </c>
      <c r="M145" s="1086" t="s">
        <v>599</v>
      </c>
      <c r="N145" s="1083" t="s">
        <v>120</v>
      </c>
    </row>
    <row r="146" spans="1:14" ht="15" customHeight="1" x14ac:dyDescent="0.2">
      <c r="A146" s="1086" t="s">
        <v>577</v>
      </c>
      <c r="B146" s="1086" t="s">
        <v>599</v>
      </c>
      <c r="C146" s="1071" t="s">
        <v>1759</v>
      </c>
      <c r="D146" s="1095" t="s">
        <v>288</v>
      </c>
      <c r="E146" s="1075">
        <v>0</v>
      </c>
      <c r="F146" s="1098">
        <v>1000</v>
      </c>
      <c r="G146" s="1095" t="s">
        <v>66</v>
      </c>
      <c r="H146" s="1096" t="s">
        <v>208</v>
      </c>
      <c r="I146" s="1095" t="s">
        <v>112</v>
      </c>
      <c r="J146" s="1079">
        <v>9</v>
      </c>
      <c r="K146" s="1079">
        <v>3</v>
      </c>
      <c r="L146" s="1073" t="s">
        <v>567</v>
      </c>
      <c r="M146" s="1086" t="s">
        <v>599</v>
      </c>
      <c r="N146" s="1083" t="s">
        <v>1970</v>
      </c>
    </row>
    <row r="147" spans="1:14" ht="15" customHeight="1" x14ac:dyDescent="0.2">
      <c r="A147" s="1089" t="s">
        <v>567</v>
      </c>
      <c r="B147" s="1089" t="s">
        <v>567</v>
      </c>
      <c r="C147" s="1089" t="s">
        <v>567</v>
      </c>
      <c r="D147" s="1089" t="s">
        <v>567</v>
      </c>
      <c r="E147" s="1089" t="s">
        <v>567</v>
      </c>
      <c r="F147" s="1089" t="s">
        <v>567</v>
      </c>
      <c r="G147" s="1089" t="s">
        <v>567</v>
      </c>
      <c r="H147" s="1089" t="s">
        <v>567</v>
      </c>
      <c r="I147" s="1089" t="s">
        <v>567</v>
      </c>
      <c r="J147" s="1081" t="s">
        <v>567</v>
      </c>
      <c r="K147" s="1081" t="s">
        <v>567</v>
      </c>
      <c r="L147" s="1081" t="s">
        <v>567</v>
      </c>
      <c r="M147" s="1089" t="s">
        <v>567</v>
      </c>
      <c r="N147" s="1089" t="s">
        <v>567</v>
      </c>
    </row>
    <row r="148" spans="1:14" ht="15" customHeight="1" x14ac:dyDescent="0.2">
      <c r="A148" s="1086" t="s">
        <v>577</v>
      </c>
      <c r="B148" s="1086" t="s">
        <v>600</v>
      </c>
      <c r="C148" s="1071" t="s">
        <v>1495</v>
      </c>
      <c r="D148" s="1095" t="s">
        <v>574</v>
      </c>
      <c r="E148" s="1083" t="s">
        <v>561</v>
      </c>
      <c r="F148" s="1083" t="s">
        <v>562</v>
      </c>
      <c r="G148" s="1083" t="s">
        <v>196</v>
      </c>
      <c r="H148" s="1095" t="s">
        <v>206</v>
      </c>
      <c r="I148" s="1095" t="s">
        <v>619</v>
      </c>
      <c r="J148" s="1073" t="s">
        <v>567</v>
      </c>
      <c r="K148" s="1073" t="s">
        <v>567</v>
      </c>
      <c r="L148" s="1079">
        <v>63999</v>
      </c>
      <c r="M148" s="1086" t="s">
        <v>600</v>
      </c>
      <c r="N148" s="1083" t="s">
        <v>154</v>
      </c>
    </row>
    <row r="149" spans="1:14" ht="15" customHeight="1" x14ac:dyDescent="0.2">
      <c r="A149" s="1086" t="s">
        <v>577</v>
      </c>
      <c r="B149" s="1086" t="s">
        <v>600</v>
      </c>
      <c r="C149" s="1071" t="s">
        <v>35</v>
      </c>
      <c r="D149" s="1095" t="s">
        <v>35</v>
      </c>
      <c r="E149" s="1097">
        <v>1</v>
      </c>
      <c r="F149" s="1097">
        <f ca="1">TODAY()</f>
        <v>42886</v>
      </c>
      <c r="G149" s="1095" t="s">
        <v>116</v>
      </c>
      <c r="H149" s="1095" t="s">
        <v>206</v>
      </c>
      <c r="I149" s="1095" t="s">
        <v>565</v>
      </c>
      <c r="J149" s="1073" t="s">
        <v>567</v>
      </c>
      <c r="K149" s="1073" t="s">
        <v>567</v>
      </c>
      <c r="L149" s="1073" t="s">
        <v>567</v>
      </c>
      <c r="M149" s="1086" t="s">
        <v>600</v>
      </c>
      <c r="N149" s="1083" t="s">
        <v>35</v>
      </c>
    </row>
    <row r="150" spans="1:14" ht="15" customHeight="1" x14ac:dyDescent="0.2">
      <c r="A150" s="1086" t="s">
        <v>577</v>
      </c>
      <c r="B150" s="1086" t="s">
        <v>600</v>
      </c>
      <c r="C150" s="1071" t="s">
        <v>1456</v>
      </c>
      <c r="D150" s="1095" t="s">
        <v>229</v>
      </c>
      <c r="E150" s="1083" t="s">
        <v>561</v>
      </c>
      <c r="F150" s="1083" t="s">
        <v>562</v>
      </c>
      <c r="G150" s="1083" t="s">
        <v>196</v>
      </c>
      <c r="H150" s="1096" t="s">
        <v>208</v>
      </c>
      <c r="I150" s="1095" t="s">
        <v>619</v>
      </c>
      <c r="J150" s="1073" t="s">
        <v>567</v>
      </c>
      <c r="K150" s="1073" t="s">
        <v>567</v>
      </c>
      <c r="L150" s="1079">
        <v>63999</v>
      </c>
      <c r="M150" s="1086" t="s">
        <v>600</v>
      </c>
      <c r="N150" s="1083" t="s">
        <v>152</v>
      </c>
    </row>
    <row r="151" spans="1:14" ht="15" customHeight="1" x14ac:dyDescent="0.2">
      <c r="A151" s="1086" t="s">
        <v>577</v>
      </c>
      <c r="B151" s="1086" t="s">
        <v>600</v>
      </c>
      <c r="C151" s="1071" t="s">
        <v>77</v>
      </c>
      <c r="D151" s="1095" t="s">
        <v>270</v>
      </c>
      <c r="E151" s="1083" t="s">
        <v>561</v>
      </c>
      <c r="F151" s="1083" t="s">
        <v>562</v>
      </c>
      <c r="G151" s="1083" t="s">
        <v>196</v>
      </c>
      <c r="H151" s="1096" t="s">
        <v>208</v>
      </c>
      <c r="I151" s="1095" t="s">
        <v>619</v>
      </c>
      <c r="J151" s="1073" t="s">
        <v>567</v>
      </c>
      <c r="K151" s="1073" t="s">
        <v>567</v>
      </c>
      <c r="L151" s="1079">
        <v>63999</v>
      </c>
      <c r="M151" s="1086" t="s">
        <v>600</v>
      </c>
      <c r="N151" s="1083" t="s">
        <v>77</v>
      </c>
    </row>
    <row r="152" spans="1:14" ht="15" customHeight="1" x14ac:dyDescent="0.2">
      <c r="A152" s="1086" t="s">
        <v>577</v>
      </c>
      <c r="B152" s="1086" t="s">
        <v>600</v>
      </c>
      <c r="C152" s="1071" t="s">
        <v>151</v>
      </c>
      <c r="D152" s="1095" t="s">
        <v>271</v>
      </c>
      <c r="E152" s="1083" t="s">
        <v>561</v>
      </c>
      <c r="F152" s="1083" t="s">
        <v>562</v>
      </c>
      <c r="G152" s="1083" t="s">
        <v>196</v>
      </c>
      <c r="H152" s="1096" t="s">
        <v>208</v>
      </c>
      <c r="I152" s="1095" t="s">
        <v>619</v>
      </c>
      <c r="J152" s="1073" t="s">
        <v>567</v>
      </c>
      <c r="K152" s="1073" t="s">
        <v>567</v>
      </c>
      <c r="L152" s="1079">
        <v>63999</v>
      </c>
      <c r="M152" s="1086" t="s">
        <v>600</v>
      </c>
      <c r="N152" s="1083" t="s">
        <v>151</v>
      </c>
    </row>
    <row r="153" spans="1:14" ht="15" customHeight="1" x14ac:dyDescent="0.2">
      <c r="A153" s="1086" t="s">
        <v>577</v>
      </c>
      <c r="B153" s="1086" t="s">
        <v>600</v>
      </c>
      <c r="C153" s="1071" t="s">
        <v>1514</v>
      </c>
      <c r="D153" s="1095" t="s">
        <v>272</v>
      </c>
      <c r="E153" s="1075">
        <v>0</v>
      </c>
      <c r="F153" s="1098">
        <v>150000</v>
      </c>
      <c r="G153" s="1095" t="s">
        <v>273</v>
      </c>
      <c r="H153" s="1096" t="s">
        <v>208</v>
      </c>
      <c r="I153" s="1095" t="s">
        <v>618</v>
      </c>
      <c r="J153" s="1073" t="s">
        <v>567</v>
      </c>
      <c r="K153" s="1073" t="s">
        <v>567</v>
      </c>
      <c r="L153" s="1073" t="s">
        <v>567</v>
      </c>
      <c r="M153" s="1086" t="s">
        <v>600</v>
      </c>
      <c r="N153" s="1083" t="s">
        <v>1971</v>
      </c>
    </row>
    <row r="154" spans="1:14" ht="15" customHeight="1" x14ac:dyDescent="0.2">
      <c r="A154" s="1086" t="s">
        <v>577</v>
      </c>
      <c r="B154" s="1086" t="s">
        <v>600</v>
      </c>
      <c r="C154" s="1071" t="s">
        <v>1513</v>
      </c>
      <c r="D154" s="1095" t="s">
        <v>274</v>
      </c>
      <c r="E154" s="1075">
        <v>0</v>
      </c>
      <c r="F154" s="1098">
        <v>150000</v>
      </c>
      <c r="G154" s="1095" t="s">
        <v>275</v>
      </c>
      <c r="H154" s="1096" t="s">
        <v>208</v>
      </c>
      <c r="I154" s="1095" t="s">
        <v>618</v>
      </c>
      <c r="J154" s="1073" t="s">
        <v>567</v>
      </c>
      <c r="K154" s="1073" t="s">
        <v>567</v>
      </c>
      <c r="L154" s="1073" t="s">
        <v>567</v>
      </c>
      <c r="M154" s="1086" t="s">
        <v>600</v>
      </c>
      <c r="N154" s="1083" t="s">
        <v>1972</v>
      </c>
    </row>
    <row r="155" spans="1:14" ht="15" customHeight="1" x14ac:dyDescent="0.2">
      <c r="A155" s="1086" t="s">
        <v>577</v>
      </c>
      <c r="B155" s="1086" t="s">
        <v>600</v>
      </c>
      <c r="C155" s="1071" t="s">
        <v>1510</v>
      </c>
      <c r="D155" s="1095" t="s">
        <v>276</v>
      </c>
      <c r="E155" s="1083" t="s">
        <v>561</v>
      </c>
      <c r="F155" s="1083" t="s">
        <v>562</v>
      </c>
      <c r="G155" s="1083" t="s">
        <v>196</v>
      </c>
      <c r="H155" s="1096" t="s">
        <v>208</v>
      </c>
      <c r="I155" s="1095" t="s">
        <v>619</v>
      </c>
      <c r="J155" s="1073" t="s">
        <v>567</v>
      </c>
      <c r="K155" s="1073" t="s">
        <v>567</v>
      </c>
      <c r="L155" s="1079">
        <v>63999</v>
      </c>
      <c r="M155" s="1086" t="s">
        <v>600</v>
      </c>
      <c r="N155" s="1083" t="s">
        <v>184</v>
      </c>
    </row>
    <row r="156" spans="1:14" ht="15" customHeight="1" x14ac:dyDescent="0.2">
      <c r="A156" s="1086" t="s">
        <v>577</v>
      </c>
      <c r="B156" s="1086" t="s">
        <v>600</v>
      </c>
      <c r="C156" s="1071" t="s">
        <v>1512</v>
      </c>
      <c r="D156" s="1095" t="s">
        <v>277</v>
      </c>
      <c r="E156" s="1075">
        <v>0</v>
      </c>
      <c r="F156" s="1098">
        <v>50</v>
      </c>
      <c r="G156" s="1095" t="s">
        <v>46</v>
      </c>
      <c r="H156" s="1096" t="s">
        <v>208</v>
      </c>
      <c r="I156" s="1095" t="s">
        <v>112</v>
      </c>
      <c r="J156" s="1079">
        <v>9</v>
      </c>
      <c r="K156" s="1079">
        <v>3</v>
      </c>
      <c r="L156" s="1073" t="s">
        <v>567</v>
      </c>
      <c r="M156" s="1086" t="s">
        <v>600</v>
      </c>
      <c r="N156" s="1083" t="s">
        <v>1973</v>
      </c>
    </row>
    <row r="157" spans="1:14" ht="15" customHeight="1" x14ac:dyDescent="0.2">
      <c r="A157" s="1086" t="s">
        <v>577</v>
      </c>
      <c r="B157" s="1086" t="s">
        <v>600</v>
      </c>
      <c r="C157" s="1071" t="s">
        <v>1511</v>
      </c>
      <c r="D157" s="1095" t="s">
        <v>278</v>
      </c>
      <c r="E157" s="1075">
        <v>0</v>
      </c>
      <c r="F157" s="1098">
        <v>100</v>
      </c>
      <c r="G157" s="1095" t="s">
        <v>46</v>
      </c>
      <c r="H157" s="1096" t="s">
        <v>208</v>
      </c>
      <c r="I157" s="1095" t="s">
        <v>112</v>
      </c>
      <c r="J157" s="1079">
        <v>9</v>
      </c>
      <c r="K157" s="1079">
        <v>3</v>
      </c>
      <c r="L157" s="1073" t="s">
        <v>567</v>
      </c>
      <c r="M157" s="1086" t="s">
        <v>600</v>
      </c>
      <c r="N157" s="1083" t="s">
        <v>1974</v>
      </c>
    </row>
    <row r="158" spans="1:14" ht="15" customHeight="1" x14ac:dyDescent="0.2">
      <c r="A158" s="1089" t="s">
        <v>567</v>
      </c>
      <c r="B158" s="1089" t="s">
        <v>567</v>
      </c>
      <c r="C158" s="1089" t="s">
        <v>567</v>
      </c>
      <c r="D158" s="1089" t="s">
        <v>567</v>
      </c>
      <c r="E158" s="1089" t="s">
        <v>567</v>
      </c>
      <c r="F158" s="1089" t="s">
        <v>567</v>
      </c>
      <c r="G158" s="1089" t="s">
        <v>567</v>
      </c>
      <c r="H158" s="1089" t="s">
        <v>567</v>
      </c>
      <c r="I158" s="1089" t="s">
        <v>567</v>
      </c>
      <c r="J158" s="1081" t="s">
        <v>567</v>
      </c>
      <c r="K158" s="1081" t="s">
        <v>567</v>
      </c>
      <c r="L158" s="1081" t="s">
        <v>567</v>
      </c>
      <c r="M158" s="1089" t="s">
        <v>567</v>
      </c>
      <c r="N158" s="1089" t="s">
        <v>567</v>
      </c>
    </row>
    <row r="159" spans="1:14" ht="15" customHeight="1" x14ac:dyDescent="0.2">
      <c r="A159" s="1086" t="s">
        <v>577</v>
      </c>
      <c r="B159" s="1086" t="s">
        <v>601</v>
      </c>
      <c r="C159" s="1071" t="s">
        <v>1495</v>
      </c>
      <c r="D159" s="1095" t="s">
        <v>574</v>
      </c>
      <c r="E159" s="1083" t="s">
        <v>561</v>
      </c>
      <c r="F159" s="1083" t="s">
        <v>562</v>
      </c>
      <c r="G159" s="1083" t="s">
        <v>196</v>
      </c>
      <c r="H159" s="1095" t="s">
        <v>206</v>
      </c>
      <c r="I159" s="1095" t="s">
        <v>619</v>
      </c>
      <c r="J159" s="1073" t="s">
        <v>567</v>
      </c>
      <c r="K159" s="1073" t="s">
        <v>567</v>
      </c>
      <c r="L159" s="1079">
        <v>63999</v>
      </c>
      <c r="M159" s="1086" t="s">
        <v>601</v>
      </c>
      <c r="N159" s="1083" t="s">
        <v>154</v>
      </c>
    </row>
    <row r="160" spans="1:14" ht="15" customHeight="1" x14ac:dyDescent="0.2">
      <c r="A160" s="1086" t="s">
        <v>577</v>
      </c>
      <c r="B160" s="1086" t="s">
        <v>601</v>
      </c>
      <c r="C160" s="1071" t="s">
        <v>35</v>
      </c>
      <c r="D160" s="1095" t="s">
        <v>35</v>
      </c>
      <c r="E160" s="1097">
        <v>1</v>
      </c>
      <c r="F160" s="1097">
        <f ca="1">TODAY()</f>
        <v>42886</v>
      </c>
      <c r="G160" s="1095" t="s">
        <v>116</v>
      </c>
      <c r="H160" s="1095" t="s">
        <v>206</v>
      </c>
      <c r="I160" s="1095" t="s">
        <v>565</v>
      </c>
      <c r="J160" s="1073" t="s">
        <v>567</v>
      </c>
      <c r="K160" s="1073" t="s">
        <v>567</v>
      </c>
      <c r="L160" s="1073" t="s">
        <v>567</v>
      </c>
      <c r="M160" s="1086" t="s">
        <v>601</v>
      </c>
      <c r="N160" s="1083" t="s">
        <v>35</v>
      </c>
    </row>
    <row r="161" spans="1:14" ht="15" customHeight="1" x14ac:dyDescent="0.2">
      <c r="A161" s="1086" t="s">
        <v>577</v>
      </c>
      <c r="B161" s="1086" t="s">
        <v>601</v>
      </c>
      <c r="C161" s="1071" t="s">
        <v>1456</v>
      </c>
      <c r="D161" s="1095" t="s">
        <v>229</v>
      </c>
      <c r="E161" s="1083" t="s">
        <v>561</v>
      </c>
      <c r="F161" s="1083" t="s">
        <v>562</v>
      </c>
      <c r="G161" s="1083" t="s">
        <v>196</v>
      </c>
      <c r="H161" s="1096" t="s">
        <v>208</v>
      </c>
      <c r="I161" s="1095" t="s">
        <v>619</v>
      </c>
      <c r="J161" s="1073" t="s">
        <v>567</v>
      </c>
      <c r="K161" s="1073" t="s">
        <v>567</v>
      </c>
      <c r="L161" s="1079">
        <v>63999</v>
      </c>
      <c r="M161" s="1086" t="s">
        <v>601</v>
      </c>
      <c r="N161" s="1083" t="s">
        <v>152</v>
      </c>
    </row>
    <row r="162" spans="1:14" ht="15" customHeight="1" x14ac:dyDescent="0.2">
      <c r="A162" s="1086" t="s">
        <v>577</v>
      </c>
      <c r="B162" s="1086" t="s">
        <v>601</v>
      </c>
      <c r="C162" s="1071" t="s">
        <v>77</v>
      </c>
      <c r="D162" s="1095" t="s">
        <v>267</v>
      </c>
      <c r="E162" s="1083" t="s">
        <v>561</v>
      </c>
      <c r="F162" s="1083" t="s">
        <v>562</v>
      </c>
      <c r="G162" s="1083" t="s">
        <v>196</v>
      </c>
      <c r="H162" s="1096" t="s">
        <v>208</v>
      </c>
      <c r="I162" s="1095" t="s">
        <v>619</v>
      </c>
      <c r="J162" s="1073" t="s">
        <v>567</v>
      </c>
      <c r="K162" s="1073" t="s">
        <v>567</v>
      </c>
      <c r="L162" s="1079">
        <v>63999</v>
      </c>
      <c r="M162" s="1086" t="s">
        <v>601</v>
      </c>
      <c r="N162" s="1083" t="s">
        <v>77</v>
      </c>
    </row>
    <row r="163" spans="1:14" ht="15" customHeight="1" x14ac:dyDescent="0.2">
      <c r="A163" s="1086" t="s">
        <v>577</v>
      </c>
      <c r="B163" s="1086" t="s">
        <v>601</v>
      </c>
      <c r="C163" s="1071" t="s">
        <v>1515</v>
      </c>
      <c r="D163" s="1095" t="s">
        <v>626</v>
      </c>
      <c r="E163" s="1083" t="s">
        <v>561</v>
      </c>
      <c r="F163" s="1083" t="s">
        <v>562</v>
      </c>
      <c r="G163" s="1083" t="s">
        <v>196</v>
      </c>
      <c r="H163" s="1096" t="s">
        <v>208</v>
      </c>
      <c r="I163" s="1095" t="s">
        <v>619</v>
      </c>
      <c r="J163" s="1073" t="s">
        <v>567</v>
      </c>
      <c r="K163" s="1073" t="s">
        <v>567</v>
      </c>
      <c r="L163" s="1079">
        <v>63999</v>
      </c>
      <c r="M163" s="1086" t="s">
        <v>601</v>
      </c>
      <c r="N163" s="1083" t="s">
        <v>338</v>
      </c>
    </row>
    <row r="164" spans="1:14" ht="15" customHeight="1" x14ac:dyDescent="0.2">
      <c r="A164" s="1086" t="s">
        <v>577</v>
      </c>
      <c r="B164" s="1086" t="s">
        <v>601</v>
      </c>
      <c r="C164" s="1071" t="s">
        <v>1517</v>
      </c>
      <c r="D164" s="1095" t="s">
        <v>268</v>
      </c>
      <c r="E164" s="1075">
        <v>0</v>
      </c>
      <c r="F164" s="1098">
        <v>200</v>
      </c>
      <c r="G164" s="1095" t="s">
        <v>46</v>
      </c>
      <c r="H164" s="1096" t="s">
        <v>208</v>
      </c>
      <c r="I164" s="1095" t="s">
        <v>112</v>
      </c>
      <c r="J164" s="1079">
        <v>9</v>
      </c>
      <c r="K164" s="1079">
        <v>3</v>
      </c>
      <c r="L164" s="1073" t="s">
        <v>567</v>
      </c>
      <c r="M164" s="1086" t="s">
        <v>601</v>
      </c>
      <c r="N164" s="1083" t="s">
        <v>1975</v>
      </c>
    </row>
    <row r="165" spans="1:14" ht="15" customHeight="1" x14ac:dyDescent="0.2">
      <c r="A165" s="1086" t="s">
        <v>577</v>
      </c>
      <c r="B165" s="1086" t="s">
        <v>601</v>
      </c>
      <c r="C165" s="1071" t="s">
        <v>1516</v>
      </c>
      <c r="D165" s="1095" t="s">
        <v>269</v>
      </c>
      <c r="E165" s="1083" t="s">
        <v>561</v>
      </c>
      <c r="F165" s="1083" t="s">
        <v>562</v>
      </c>
      <c r="G165" s="1083" t="s">
        <v>196</v>
      </c>
      <c r="H165" s="1096" t="s">
        <v>208</v>
      </c>
      <c r="I165" s="1095" t="s">
        <v>619</v>
      </c>
      <c r="J165" s="1073" t="s">
        <v>567</v>
      </c>
      <c r="K165" s="1073" t="s">
        <v>567</v>
      </c>
      <c r="L165" s="1079">
        <v>63999</v>
      </c>
      <c r="M165" s="1086" t="s">
        <v>601</v>
      </c>
      <c r="N165" s="1083" t="s">
        <v>1976</v>
      </c>
    </row>
    <row r="166" spans="1:14" ht="15" customHeight="1" x14ac:dyDescent="0.2">
      <c r="A166" s="1089" t="s">
        <v>567</v>
      </c>
      <c r="B166" s="1089" t="s">
        <v>567</v>
      </c>
      <c r="C166" s="1089" t="s">
        <v>567</v>
      </c>
      <c r="D166" s="1089" t="s">
        <v>567</v>
      </c>
      <c r="E166" s="1089" t="s">
        <v>567</v>
      </c>
      <c r="F166" s="1089" t="s">
        <v>567</v>
      </c>
      <c r="G166" s="1089" t="s">
        <v>567</v>
      </c>
      <c r="H166" s="1089" t="s">
        <v>567</v>
      </c>
      <c r="I166" s="1089" t="s">
        <v>567</v>
      </c>
      <c r="J166" s="1081" t="s">
        <v>567</v>
      </c>
      <c r="K166" s="1081" t="s">
        <v>567</v>
      </c>
      <c r="L166" s="1081" t="s">
        <v>567</v>
      </c>
      <c r="M166" s="1089" t="s">
        <v>567</v>
      </c>
      <c r="N166" s="1089" t="s">
        <v>567</v>
      </c>
    </row>
    <row r="167" spans="1:14" ht="15" customHeight="1" x14ac:dyDescent="0.2">
      <c r="A167" s="1086" t="s">
        <v>577</v>
      </c>
      <c r="B167" s="1086" t="s">
        <v>602</v>
      </c>
      <c r="C167" s="1071" t="s">
        <v>1495</v>
      </c>
      <c r="D167" s="1095" t="s">
        <v>574</v>
      </c>
      <c r="E167" s="1083" t="s">
        <v>561</v>
      </c>
      <c r="F167" s="1083" t="s">
        <v>562</v>
      </c>
      <c r="G167" s="1083" t="s">
        <v>196</v>
      </c>
      <c r="H167" s="1095" t="s">
        <v>206</v>
      </c>
      <c r="I167" s="1095" t="s">
        <v>619</v>
      </c>
      <c r="J167" s="1073" t="s">
        <v>567</v>
      </c>
      <c r="K167" s="1073" t="s">
        <v>567</v>
      </c>
      <c r="L167" s="1079">
        <v>63999</v>
      </c>
      <c r="M167" s="1086" t="s">
        <v>602</v>
      </c>
      <c r="N167" s="1083" t="s">
        <v>154</v>
      </c>
    </row>
    <row r="168" spans="1:14" ht="15" customHeight="1" x14ac:dyDescent="0.2">
      <c r="A168" s="1086" t="s">
        <v>577</v>
      </c>
      <c r="B168" s="1086" t="s">
        <v>602</v>
      </c>
      <c r="C168" s="1071" t="s">
        <v>35</v>
      </c>
      <c r="D168" s="1095" t="s">
        <v>35</v>
      </c>
      <c r="E168" s="1097">
        <v>1</v>
      </c>
      <c r="F168" s="1097">
        <f ca="1">TODAY()</f>
        <v>42886</v>
      </c>
      <c r="G168" s="1095" t="s">
        <v>116</v>
      </c>
      <c r="H168" s="1095" t="s">
        <v>206</v>
      </c>
      <c r="I168" s="1095" t="s">
        <v>565</v>
      </c>
      <c r="J168" s="1073" t="s">
        <v>567</v>
      </c>
      <c r="K168" s="1073" t="s">
        <v>567</v>
      </c>
      <c r="L168" s="1073" t="s">
        <v>567</v>
      </c>
      <c r="M168" s="1086" t="s">
        <v>602</v>
      </c>
      <c r="N168" s="1083" t="s">
        <v>35</v>
      </c>
    </row>
    <row r="169" spans="1:14" ht="15" customHeight="1" x14ac:dyDescent="0.2">
      <c r="A169" s="1086" t="s">
        <v>577</v>
      </c>
      <c r="B169" s="1086" t="s">
        <v>602</v>
      </c>
      <c r="C169" s="1071" t="s">
        <v>1456</v>
      </c>
      <c r="D169" s="1095" t="s">
        <v>229</v>
      </c>
      <c r="E169" s="1083" t="s">
        <v>561</v>
      </c>
      <c r="F169" s="1083" t="s">
        <v>562</v>
      </c>
      <c r="G169" s="1083" t="s">
        <v>196</v>
      </c>
      <c r="H169" s="1096" t="s">
        <v>208</v>
      </c>
      <c r="I169" s="1095" t="s">
        <v>619</v>
      </c>
      <c r="J169" s="1073" t="s">
        <v>567</v>
      </c>
      <c r="K169" s="1073" t="s">
        <v>567</v>
      </c>
      <c r="L169" s="1079">
        <v>63999</v>
      </c>
      <c r="M169" s="1086" t="s">
        <v>602</v>
      </c>
      <c r="N169" s="1083" t="s">
        <v>152</v>
      </c>
    </row>
    <row r="170" spans="1:14" ht="15" customHeight="1" x14ac:dyDescent="0.2">
      <c r="A170" s="1086" t="s">
        <v>577</v>
      </c>
      <c r="B170" s="1086" t="s">
        <v>602</v>
      </c>
      <c r="C170" s="1071" t="s">
        <v>77</v>
      </c>
      <c r="D170" s="1095" t="s">
        <v>267</v>
      </c>
      <c r="E170" s="1083" t="s">
        <v>561</v>
      </c>
      <c r="F170" s="1083" t="s">
        <v>562</v>
      </c>
      <c r="G170" s="1083" t="s">
        <v>196</v>
      </c>
      <c r="H170" s="1096" t="s">
        <v>208</v>
      </c>
      <c r="I170" s="1095" t="s">
        <v>619</v>
      </c>
      <c r="J170" s="1073" t="s">
        <v>567</v>
      </c>
      <c r="K170" s="1073" t="s">
        <v>567</v>
      </c>
      <c r="L170" s="1079">
        <v>63999</v>
      </c>
      <c r="M170" s="1086" t="s">
        <v>602</v>
      </c>
      <c r="N170" s="1083" t="s">
        <v>77</v>
      </c>
    </row>
    <row r="171" spans="1:14" ht="15" customHeight="1" x14ac:dyDescent="0.2">
      <c r="A171" s="1086" t="s">
        <v>577</v>
      </c>
      <c r="B171" s="1086" t="s">
        <v>602</v>
      </c>
      <c r="C171" s="1071" t="s">
        <v>1518</v>
      </c>
      <c r="D171" s="1095" t="s">
        <v>295</v>
      </c>
      <c r="E171" s="1083" t="s">
        <v>561</v>
      </c>
      <c r="F171" s="1083" t="s">
        <v>562</v>
      </c>
      <c r="G171" s="1083" t="s">
        <v>196</v>
      </c>
      <c r="H171" s="1096" t="s">
        <v>208</v>
      </c>
      <c r="I171" s="1095" t="s">
        <v>619</v>
      </c>
      <c r="J171" s="1073" t="s">
        <v>567</v>
      </c>
      <c r="K171" s="1073" t="s">
        <v>567</v>
      </c>
      <c r="L171" s="1079">
        <v>63999</v>
      </c>
      <c r="M171" s="1086" t="s">
        <v>602</v>
      </c>
      <c r="N171" s="1083" t="s">
        <v>76</v>
      </c>
    </row>
    <row r="172" spans="1:14" ht="15" customHeight="1" x14ac:dyDescent="0.2">
      <c r="A172" s="1089" t="s">
        <v>567</v>
      </c>
      <c r="B172" s="1089" t="s">
        <v>567</v>
      </c>
      <c r="C172" s="1089" t="s">
        <v>567</v>
      </c>
      <c r="D172" s="1089" t="s">
        <v>567</v>
      </c>
      <c r="E172" s="1089" t="s">
        <v>567</v>
      </c>
      <c r="F172" s="1089" t="s">
        <v>567</v>
      </c>
      <c r="G172" s="1089" t="s">
        <v>567</v>
      </c>
      <c r="H172" s="1089" t="s">
        <v>567</v>
      </c>
      <c r="I172" s="1089" t="s">
        <v>567</v>
      </c>
      <c r="J172" s="1081" t="s">
        <v>567</v>
      </c>
      <c r="K172" s="1081" t="s">
        <v>567</v>
      </c>
      <c r="L172" s="1081" t="s">
        <v>567</v>
      </c>
      <c r="M172" s="1089" t="s">
        <v>567</v>
      </c>
      <c r="N172" s="1089" t="s">
        <v>567</v>
      </c>
    </row>
    <row r="173" spans="1:14" ht="15" customHeight="1" x14ac:dyDescent="0.2">
      <c r="A173" s="1086" t="s">
        <v>577</v>
      </c>
      <c r="B173" s="1086" t="s">
        <v>603</v>
      </c>
      <c r="C173" s="1071" t="s">
        <v>1495</v>
      </c>
      <c r="D173" s="1095" t="s">
        <v>574</v>
      </c>
      <c r="E173" s="1083" t="s">
        <v>561</v>
      </c>
      <c r="F173" s="1083" t="s">
        <v>562</v>
      </c>
      <c r="G173" s="1083" t="s">
        <v>196</v>
      </c>
      <c r="H173" s="1095" t="s">
        <v>206</v>
      </c>
      <c r="I173" s="1095" t="s">
        <v>619</v>
      </c>
      <c r="J173" s="1073" t="s">
        <v>567</v>
      </c>
      <c r="K173" s="1073" t="s">
        <v>567</v>
      </c>
      <c r="L173" s="1079">
        <v>63999</v>
      </c>
      <c r="M173" s="1086" t="s">
        <v>603</v>
      </c>
      <c r="N173" s="1083" t="s">
        <v>154</v>
      </c>
    </row>
    <row r="174" spans="1:14" ht="15" customHeight="1" x14ac:dyDescent="0.2">
      <c r="A174" s="1086" t="s">
        <v>577</v>
      </c>
      <c r="B174" s="1086" t="s">
        <v>603</v>
      </c>
      <c r="C174" s="1071" t="s">
        <v>35</v>
      </c>
      <c r="D174" s="1095" t="s">
        <v>35</v>
      </c>
      <c r="E174" s="1097">
        <v>1</v>
      </c>
      <c r="F174" s="1097">
        <f ca="1">TODAY()</f>
        <v>42886</v>
      </c>
      <c r="G174" s="1095" t="s">
        <v>116</v>
      </c>
      <c r="H174" s="1095" t="s">
        <v>206</v>
      </c>
      <c r="I174" s="1095" t="s">
        <v>565</v>
      </c>
      <c r="J174" s="1073" t="s">
        <v>567</v>
      </c>
      <c r="K174" s="1073" t="s">
        <v>567</v>
      </c>
      <c r="L174" s="1073" t="s">
        <v>567</v>
      </c>
      <c r="M174" s="1086" t="s">
        <v>603</v>
      </c>
      <c r="N174" s="1083" t="s">
        <v>35</v>
      </c>
    </row>
    <row r="175" spans="1:14" ht="15" customHeight="1" x14ac:dyDescent="0.2">
      <c r="A175" s="1086" t="s">
        <v>577</v>
      </c>
      <c r="B175" s="1086" t="s">
        <v>603</v>
      </c>
      <c r="C175" s="1071" t="s">
        <v>1456</v>
      </c>
      <c r="D175" s="1095" t="s">
        <v>229</v>
      </c>
      <c r="E175" s="1083" t="s">
        <v>561</v>
      </c>
      <c r="F175" s="1083" t="s">
        <v>562</v>
      </c>
      <c r="G175" s="1083" t="s">
        <v>196</v>
      </c>
      <c r="H175" s="1096" t="s">
        <v>208</v>
      </c>
      <c r="I175" s="1095" t="s">
        <v>619</v>
      </c>
      <c r="J175" s="1073" t="s">
        <v>567</v>
      </c>
      <c r="K175" s="1073" t="s">
        <v>567</v>
      </c>
      <c r="L175" s="1079">
        <v>63999</v>
      </c>
      <c r="M175" s="1086" t="s">
        <v>603</v>
      </c>
      <c r="N175" s="1083" t="s">
        <v>152</v>
      </c>
    </row>
    <row r="176" spans="1:14" ht="15" customHeight="1" x14ac:dyDescent="0.2">
      <c r="A176" s="1086" t="s">
        <v>577</v>
      </c>
      <c r="B176" s="1086" t="s">
        <v>603</v>
      </c>
      <c r="C176" s="1071" t="s">
        <v>77</v>
      </c>
      <c r="D176" s="1095" t="s">
        <v>267</v>
      </c>
      <c r="E176" s="1083" t="s">
        <v>561</v>
      </c>
      <c r="F176" s="1083" t="s">
        <v>562</v>
      </c>
      <c r="G176" s="1083" t="s">
        <v>196</v>
      </c>
      <c r="H176" s="1096" t="s">
        <v>208</v>
      </c>
      <c r="I176" s="1095" t="s">
        <v>619</v>
      </c>
      <c r="J176" s="1073" t="s">
        <v>567</v>
      </c>
      <c r="K176" s="1073" t="s">
        <v>567</v>
      </c>
      <c r="L176" s="1079">
        <v>63999</v>
      </c>
      <c r="M176" s="1086" t="s">
        <v>603</v>
      </c>
      <c r="N176" s="1083" t="s">
        <v>77</v>
      </c>
    </row>
    <row r="177" spans="1:14" ht="15" customHeight="1" x14ac:dyDescent="0.2">
      <c r="A177" s="1086" t="s">
        <v>577</v>
      </c>
      <c r="B177" s="1086" t="s">
        <v>603</v>
      </c>
      <c r="C177" s="1071" t="s">
        <v>1521</v>
      </c>
      <c r="D177" s="1095" t="s">
        <v>510</v>
      </c>
      <c r="E177" s="1083" t="s">
        <v>561</v>
      </c>
      <c r="F177" s="1083" t="s">
        <v>562</v>
      </c>
      <c r="G177" s="1083" t="s">
        <v>196</v>
      </c>
      <c r="H177" s="1096" t="s">
        <v>208</v>
      </c>
      <c r="I177" s="1095" t="s">
        <v>619</v>
      </c>
      <c r="J177" s="1073" t="s">
        <v>567</v>
      </c>
      <c r="K177" s="1073" t="s">
        <v>567</v>
      </c>
      <c r="L177" s="1079">
        <v>63999</v>
      </c>
      <c r="M177" s="1086" t="s">
        <v>603</v>
      </c>
      <c r="N177" s="1083" t="s">
        <v>1977</v>
      </c>
    </row>
    <row r="178" spans="1:14" ht="15" customHeight="1" x14ac:dyDescent="0.2">
      <c r="A178" s="1086" t="s">
        <v>577</v>
      </c>
      <c r="B178" s="1086" t="s">
        <v>603</v>
      </c>
      <c r="C178" s="1071" t="s">
        <v>1522</v>
      </c>
      <c r="D178" s="1095" t="s">
        <v>511</v>
      </c>
      <c r="E178" s="1083" t="s">
        <v>561</v>
      </c>
      <c r="F178" s="1083" t="s">
        <v>562</v>
      </c>
      <c r="G178" s="1083" t="s">
        <v>196</v>
      </c>
      <c r="H178" s="1096" t="s">
        <v>208</v>
      </c>
      <c r="I178" s="1095" t="s">
        <v>619</v>
      </c>
      <c r="J178" s="1073" t="s">
        <v>567</v>
      </c>
      <c r="K178" s="1073" t="s">
        <v>567</v>
      </c>
      <c r="L178" s="1079">
        <v>63999</v>
      </c>
      <c r="M178" s="1086" t="s">
        <v>603</v>
      </c>
      <c r="N178" s="1083" t="s">
        <v>1978</v>
      </c>
    </row>
    <row r="179" spans="1:14" ht="15" customHeight="1" x14ac:dyDescent="0.2">
      <c r="A179" s="1086" t="s">
        <v>577</v>
      </c>
      <c r="B179" s="1086" t="s">
        <v>603</v>
      </c>
      <c r="C179" s="1071" t="s">
        <v>1519</v>
      </c>
      <c r="D179" s="1095" t="s">
        <v>627</v>
      </c>
      <c r="E179" s="1075">
        <v>0</v>
      </c>
      <c r="F179" s="1098">
        <v>100</v>
      </c>
      <c r="G179" s="1095" t="s">
        <v>40</v>
      </c>
      <c r="H179" s="1095" t="s">
        <v>208</v>
      </c>
      <c r="I179" s="1095" t="s">
        <v>618</v>
      </c>
      <c r="J179" s="1073" t="s">
        <v>567</v>
      </c>
      <c r="K179" s="1073" t="s">
        <v>567</v>
      </c>
      <c r="L179" s="1073" t="s">
        <v>567</v>
      </c>
      <c r="M179" s="1086" t="s">
        <v>603</v>
      </c>
      <c r="N179" s="1083" t="s">
        <v>1979</v>
      </c>
    </row>
    <row r="180" spans="1:14" ht="15" customHeight="1" x14ac:dyDescent="0.2">
      <c r="A180" s="1086" t="s">
        <v>577</v>
      </c>
      <c r="B180" s="1086" t="s">
        <v>603</v>
      </c>
      <c r="C180" s="1071" t="s">
        <v>1523</v>
      </c>
      <c r="D180" s="1095" t="s">
        <v>628</v>
      </c>
      <c r="E180" s="1075">
        <v>0</v>
      </c>
      <c r="F180" s="1098">
        <v>200</v>
      </c>
      <c r="G180" s="1095" t="s">
        <v>381</v>
      </c>
      <c r="H180" s="1095" t="s">
        <v>208</v>
      </c>
      <c r="I180" s="1095" t="s">
        <v>112</v>
      </c>
      <c r="J180" s="1079">
        <v>9</v>
      </c>
      <c r="K180" s="1079">
        <v>3</v>
      </c>
      <c r="L180" s="1073" t="s">
        <v>567</v>
      </c>
      <c r="M180" s="1086" t="s">
        <v>603</v>
      </c>
      <c r="N180" s="1083" t="s">
        <v>1980</v>
      </c>
    </row>
    <row r="181" spans="1:14" ht="15" customHeight="1" x14ac:dyDescent="0.2">
      <c r="A181" s="1086" t="s">
        <v>577</v>
      </c>
      <c r="B181" s="1086" t="s">
        <v>603</v>
      </c>
      <c r="C181" s="1071" t="s">
        <v>1520</v>
      </c>
      <c r="D181" s="1095" t="s">
        <v>512</v>
      </c>
      <c r="E181" s="1083" t="s">
        <v>561</v>
      </c>
      <c r="F181" s="1083" t="s">
        <v>562</v>
      </c>
      <c r="G181" s="1083" t="s">
        <v>196</v>
      </c>
      <c r="H181" s="1095" t="s">
        <v>208</v>
      </c>
      <c r="I181" s="1095" t="s">
        <v>619</v>
      </c>
      <c r="J181" s="1073" t="s">
        <v>567</v>
      </c>
      <c r="K181" s="1073" t="s">
        <v>567</v>
      </c>
      <c r="L181" s="1079">
        <v>63999</v>
      </c>
      <c r="M181" s="1086" t="s">
        <v>603</v>
      </c>
      <c r="N181" s="1083" t="s">
        <v>1981</v>
      </c>
    </row>
    <row r="182" spans="1:14" ht="15" customHeight="1" x14ac:dyDescent="0.2">
      <c r="A182" s="1089" t="s">
        <v>567</v>
      </c>
      <c r="B182" s="1089" t="s">
        <v>567</v>
      </c>
      <c r="C182" s="1089" t="s">
        <v>567</v>
      </c>
      <c r="D182" s="1089" t="s">
        <v>567</v>
      </c>
      <c r="E182" s="1089" t="s">
        <v>567</v>
      </c>
      <c r="F182" s="1089" t="s">
        <v>567</v>
      </c>
      <c r="G182" s="1089" t="s">
        <v>567</v>
      </c>
      <c r="H182" s="1089" t="s">
        <v>567</v>
      </c>
      <c r="I182" s="1089" t="s">
        <v>567</v>
      </c>
      <c r="J182" s="1081" t="s">
        <v>567</v>
      </c>
      <c r="K182" s="1081" t="s">
        <v>567</v>
      </c>
      <c r="L182" s="1081" t="s">
        <v>567</v>
      </c>
      <c r="M182" s="1089" t="s">
        <v>567</v>
      </c>
      <c r="N182" s="1089" t="s">
        <v>567</v>
      </c>
    </row>
    <row r="183" spans="1:14" ht="15" customHeight="1" x14ac:dyDescent="0.2">
      <c r="A183" s="1086" t="s">
        <v>577</v>
      </c>
      <c r="B183" s="1086" t="s">
        <v>604</v>
      </c>
      <c r="C183" s="1071" t="s">
        <v>1495</v>
      </c>
      <c r="D183" s="1095" t="s">
        <v>574</v>
      </c>
      <c r="E183" s="1083" t="s">
        <v>561</v>
      </c>
      <c r="F183" s="1083" t="s">
        <v>562</v>
      </c>
      <c r="G183" s="1083" t="s">
        <v>196</v>
      </c>
      <c r="H183" s="1095" t="s">
        <v>206</v>
      </c>
      <c r="I183" s="1095" t="s">
        <v>619</v>
      </c>
      <c r="J183" s="1073" t="s">
        <v>567</v>
      </c>
      <c r="K183" s="1073" t="s">
        <v>567</v>
      </c>
      <c r="L183" s="1079">
        <v>63999</v>
      </c>
      <c r="M183" s="1086" t="s">
        <v>604</v>
      </c>
      <c r="N183" s="1083" t="s">
        <v>154</v>
      </c>
    </row>
    <row r="184" spans="1:14" ht="15" customHeight="1" x14ac:dyDescent="0.2">
      <c r="A184" s="1086" t="s">
        <v>577</v>
      </c>
      <c r="B184" s="1086" t="s">
        <v>604</v>
      </c>
      <c r="C184" s="1071" t="s">
        <v>1434</v>
      </c>
      <c r="D184" s="1095" t="s">
        <v>209</v>
      </c>
      <c r="E184" s="1097">
        <v>1</v>
      </c>
      <c r="F184" s="1097">
        <f t="shared" ref="F184:F185" ca="1" si="1">TODAY()</f>
        <v>42886</v>
      </c>
      <c r="G184" s="1095" t="s">
        <v>116</v>
      </c>
      <c r="H184" s="1095" t="s">
        <v>206</v>
      </c>
      <c r="I184" s="1095" t="s">
        <v>565</v>
      </c>
      <c r="J184" s="1073" t="s">
        <v>567</v>
      </c>
      <c r="K184" s="1073" t="s">
        <v>567</v>
      </c>
      <c r="L184" s="1073" t="s">
        <v>567</v>
      </c>
      <c r="M184" s="1086" t="s">
        <v>604</v>
      </c>
      <c r="N184" s="1083" t="s">
        <v>1919</v>
      </c>
    </row>
    <row r="185" spans="1:14" ht="15" customHeight="1" x14ac:dyDescent="0.2">
      <c r="A185" s="1086" t="s">
        <v>577</v>
      </c>
      <c r="B185" s="1086" t="s">
        <v>604</v>
      </c>
      <c r="C185" s="1071" t="s">
        <v>1435</v>
      </c>
      <c r="D185" s="1095" t="s">
        <v>210</v>
      </c>
      <c r="E185" s="1097">
        <v>1</v>
      </c>
      <c r="F185" s="1097">
        <f t="shared" ca="1" si="1"/>
        <v>42886</v>
      </c>
      <c r="G185" s="1095" t="s">
        <v>116</v>
      </c>
      <c r="H185" s="1095" t="s">
        <v>206</v>
      </c>
      <c r="I185" s="1095" t="s">
        <v>565</v>
      </c>
      <c r="J185" s="1073" t="s">
        <v>567</v>
      </c>
      <c r="K185" s="1073" t="s">
        <v>567</v>
      </c>
      <c r="L185" s="1073" t="s">
        <v>567</v>
      </c>
      <c r="M185" s="1086" t="s">
        <v>604</v>
      </c>
      <c r="N185" s="1083" t="s">
        <v>1931</v>
      </c>
    </row>
    <row r="186" spans="1:14" ht="15" customHeight="1" x14ac:dyDescent="0.2">
      <c r="A186" s="1086" t="s">
        <v>577</v>
      </c>
      <c r="B186" s="1086" t="s">
        <v>604</v>
      </c>
      <c r="C186" s="1071" t="s">
        <v>1456</v>
      </c>
      <c r="D186" s="1095" t="s">
        <v>229</v>
      </c>
      <c r="E186" s="1083" t="s">
        <v>561</v>
      </c>
      <c r="F186" s="1083" t="s">
        <v>562</v>
      </c>
      <c r="G186" s="1083" t="s">
        <v>196</v>
      </c>
      <c r="H186" s="1096" t="s">
        <v>208</v>
      </c>
      <c r="I186" s="1095" t="s">
        <v>619</v>
      </c>
      <c r="J186" s="1073" t="s">
        <v>567</v>
      </c>
      <c r="K186" s="1073" t="s">
        <v>567</v>
      </c>
      <c r="L186" s="1079">
        <v>63999</v>
      </c>
      <c r="M186" s="1086" t="s">
        <v>604</v>
      </c>
      <c r="N186" s="1083" t="s">
        <v>152</v>
      </c>
    </row>
    <row r="187" spans="1:14" ht="15" customHeight="1" x14ac:dyDescent="0.2">
      <c r="A187" s="1086" t="s">
        <v>577</v>
      </c>
      <c r="B187" s="1086" t="s">
        <v>604</v>
      </c>
      <c r="C187" s="1071" t="s">
        <v>1528</v>
      </c>
      <c r="D187" s="1095" t="s">
        <v>289</v>
      </c>
      <c r="E187" s="1083">
        <v>0</v>
      </c>
      <c r="F187" s="1083">
        <v>200</v>
      </c>
      <c r="G187" s="1095" t="s">
        <v>136</v>
      </c>
      <c r="H187" s="1096" t="s">
        <v>208</v>
      </c>
      <c r="I187" s="1095" t="s">
        <v>112</v>
      </c>
      <c r="J187" s="1079">
        <v>9</v>
      </c>
      <c r="K187" s="1079">
        <v>3</v>
      </c>
      <c r="L187" s="1073" t="s">
        <v>567</v>
      </c>
      <c r="M187" s="1086" t="s">
        <v>604</v>
      </c>
      <c r="N187" s="1083" t="s">
        <v>1982</v>
      </c>
    </row>
    <row r="188" spans="1:14" ht="15" customHeight="1" x14ac:dyDescent="0.2">
      <c r="A188" s="1086" t="s">
        <v>577</v>
      </c>
      <c r="B188" s="1086" t="s">
        <v>604</v>
      </c>
      <c r="C188" s="1071" t="s">
        <v>1529</v>
      </c>
      <c r="D188" s="1095" t="s">
        <v>290</v>
      </c>
      <c r="E188" s="1083" t="s">
        <v>561</v>
      </c>
      <c r="F188" s="1083" t="s">
        <v>562</v>
      </c>
      <c r="G188" s="1095" t="s">
        <v>196</v>
      </c>
      <c r="H188" s="1096" t="s">
        <v>208</v>
      </c>
      <c r="I188" s="1095" t="s">
        <v>619</v>
      </c>
      <c r="J188" s="1073" t="s">
        <v>567</v>
      </c>
      <c r="K188" s="1073" t="s">
        <v>567</v>
      </c>
      <c r="L188" s="1079">
        <v>63999</v>
      </c>
      <c r="M188" s="1086" t="s">
        <v>604</v>
      </c>
      <c r="N188" s="1083" t="s">
        <v>83</v>
      </c>
    </row>
    <row r="189" spans="1:14" ht="15" customHeight="1" x14ac:dyDescent="0.2">
      <c r="A189" s="1086" t="s">
        <v>577</v>
      </c>
      <c r="B189" s="1086" t="s">
        <v>604</v>
      </c>
      <c r="C189" s="1071" t="s">
        <v>1524</v>
      </c>
      <c r="D189" s="1095" t="s">
        <v>291</v>
      </c>
      <c r="E189" s="1083" t="s">
        <v>561</v>
      </c>
      <c r="F189" s="1083" t="s">
        <v>562</v>
      </c>
      <c r="G189" s="1083" t="s">
        <v>196</v>
      </c>
      <c r="H189" s="1096" t="s">
        <v>208</v>
      </c>
      <c r="I189" s="1095" t="s">
        <v>619</v>
      </c>
      <c r="J189" s="1073" t="s">
        <v>567</v>
      </c>
      <c r="K189" s="1073" t="s">
        <v>567</v>
      </c>
      <c r="L189" s="1079">
        <v>63999</v>
      </c>
      <c r="M189" s="1086" t="s">
        <v>604</v>
      </c>
      <c r="N189" s="1083" t="s">
        <v>159</v>
      </c>
    </row>
    <row r="190" spans="1:14" ht="15" customHeight="1" x14ac:dyDescent="0.2">
      <c r="A190" s="1086" t="s">
        <v>577</v>
      </c>
      <c r="B190" s="1086" t="s">
        <v>604</v>
      </c>
      <c r="C190" s="1071" t="s">
        <v>1525</v>
      </c>
      <c r="D190" s="1095" t="s">
        <v>292</v>
      </c>
      <c r="E190" s="1083" t="s">
        <v>561</v>
      </c>
      <c r="F190" s="1083" t="s">
        <v>562</v>
      </c>
      <c r="G190" s="1083" t="s">
        <v>196</v>
      </c>
      <c r="H190" s="1096" t="s">
        <v>208</v>
      </c>
      <c r="I190" s="1095" t="s">
        <v>619</v>
      </c>
      <c r="J190" s="1073" t="s">
        <v>567</v>
      </c>
      <c r="K190" s="1073" t="s">
        <v>567</v>
      </c>
      <c r="L190" s="1079">
        <v>63999</v>
      </c>
      <c r="M190" s="1086" t="s">
        <v>604</v>
      </c>
      <c r="N190" s="1083" t="s">
        <v>1983</v>
      </c>
    </row>
    <row r="191" spans="1:14" ht="15" customHeight="1" x14ac:dyDescent="0.2">
      <c r="A191" s="1086" t="s">
        <v>577</v>
      </c>
      <c r="B191" s="1086" t="s">
        <v>604</v>
      </c>
      <c r="C191" s="1071" t="s">
        <v>1527</v>
      </c>
      <c r="D191" s="1095" t="s">
        <v>293</v>
      </c>
      <c r="E191" s="1075">
        <v>0</v>
      </c>
      <c r="F191" s="1075">
        <v>10</v>
      </c>
      <c r="G191" s="1095" t="s">
        <v>177</v>
      </c>
      <c r="H191" s="1096" t="s">
        <v>208</v>
      </c>
      <c r="I191" s="1095" t="s">
        <v>112</v>
      </c>
      <c r="J191" s="1079">
        <v>9</v>
      </c>
      <c r="K191" s="1079">
        <v>3</v>
      </c>
      <c r="L191" s="1073" t="s">
        <v>567</v>
      </c>
      <c r="M191" s="1086" t="s">
        <v>604</v>
      </c>
      <c r="N191" s="1083" t="s">
        <v>1984</v>
      </c>
    </row>
    <row r="192" spans="1:14" ht="15" customHeight="1" x14ac:dyDescent="0.2">
      <c r="A192" s="1086" t="s">
        <v>577</v>
      </c>
      <c r="B192" s="1086" t="s">
        <v>604</v>
      </c>
      <c r="C192" s="1071" t="s">
        <v>1526</v>
      </c>
      <c r="D192" s="1095" t="s">
        <v>294</v>
      </c>
      <c r="E192" s="1083" t="s">
        <v>561</v>
      </c>
      <c r="F192" s="1083" t="s">
        <v>562</v>
      </c>
      <c r="G192" s="1083" t="s">
        <v>196</v>
      </c>
      <c r="H192" s="1096" t="s">
        <v>208</v>
      </c>
      <c r="I192" s="1095" t="s">
        <v>619</v>
      </c>
      <c r="J192" s="1073" t="s">
        <v>567</v>
      </c>
      <c r="K192" s="1073" t="s">
        <v>567</v>
      </c>
      <c r="L192" s="1079">
        <v>63999</v>
      </c>
      <c r="M192" s="1086" t="s">
        <v>604</v>
      </c>
      <c r="N192" s="1083" t="s">
        <v>504</v>
      </c>
    </row>
    <row r="193" spans="1:14" ht="15" customHeight="1" x14ac:dyDescent="0.2">
      <c r="A193" s="1089" t="s">
        <v>567</v>
      </c>
      <c r="B193" s="1089" t="s">
        <v>567</v>
      </c>
      <c r="C193" s="1089" t="s">
        <v>567</v>
      </c>
      <c r="D193" s="1089" t="s">
        <v>567</v>
      </c>
      <c r="E193" s="1089" t="s">
        <v>567</v>
      </c>
      <c r="F193" s="1089" t="s">
        <v>567</v>
      </c>
      <c r="G193" s="1089" t="s">
        <v>567</v>
      </c>
      <c r="H193" s="1089" t="s">
        <v>567</v>
      </c>
      <c r="I193" s="1089" t="s">
        <v>567</v>
      </c>
      <c r="J193" s="1081" t="s">
        <v>567</v>
      </c>
      <c r="K193" s="1081" t="s">
        <v>567</v>
      </c>
      <c r="L193" s="1081" t="s">
        <v>567</v>
      </c>
      <c r="M193" s="1089" t="s">
        <v>567</v>
      </c>
      <c r="N193" s="1089" t="s">
        <v>567</v>
      </c>
    </row>
    <row r="194" spans="1:14" ht="15" customHeight="1" x14ac:dyDescent="0.2">
      <c r="A194" s="1077" t="s">
        <v>578</v>
      </c>
      <c r="B194" s="1077" t="s">
        <v>605</v>
      </c>
      <c r="C194" s="1071" t="s">
        <v>1495</v>
      </c>
      <c r="D194" s="1095" t="s">
        <v>574</v>
      </c>
      <c r="E194" s="1083" t="s">
        <v>561</v>
      </c>
      <c r="F194" s="1083" t="s">
        <v>562</v>
      </c>
      <c r="G194" s="1083" t="s">
        <v>196</v>
      </c>
      <c r="H194" s="1095" t="s">
        <v>206</v>
      </c>
      <c r="I194" s="1095" t="s">
        <v>619</v>
      </c>
      <c r="J194" s="1073" t="s">
        <v>567</v>
      </c>
      <c r="K194" s="1073" t="s">
        <v>567</v>
      </c>
      <c r="L194" s="1079">
        <v>63999</v>
      </c>
      <c r="M194" s="1077" t="s">
        <v>605</v>
      </c>
      <c r="N194" s="1083" t="s">
        <v>154</v>
      </c>
    </row>
    <row r="195" spans="1:14" ht="15" customHeight="1" x14ac:dyDescent="0.2">
      <c r="A195" s="1077" t="s">
        <v>578</v>
      </c>
      <c r="B195" s="1077" t="s">
        <v>605</v>
      </c>
      <c r="C195" s="1071" t="s">
        <v>35</v>
      </c>
      <c r="D195" s="1095" t="s">
        <v>35</v>
      </c>
      <c r="E195" s="1097">
        <v>1</v>
      </c>
      <c r="F195" s="1097">
        <f ca="1">TODAY()</f>
        <v>42886</v>
      </c>
      <c r="G195" s="1095" t="s">
        <v>116</v>
      </c>
      <c r="H195" s="1095" t="s">
        <v>206</v>
      </c>
      <c r="I195" s="1095" t="s">
        <v>565</v>
      </c>
      <c r="J195" s="1073" t="s">
        <v>567</v>
      </c>
      <c r="K195" s="1073" t="s">
        <v>567</v>
      </c>
      <c r="L195" s="1073" t="s">
        <v>567</v>
      </c>
      <c r="M195" s="1077" t="s">
        <v>605</v>
      </c>
      <c r="N195" s="1083" t="s">
        <v>35</v>
      </c>
    </row>
    <row r="196" spans="1:14" ht="15" customHeight="1" x14ac:dyDescent="0.2">
      <c r="A196" s="1077" t="s">
        <v>578</v>
      </c>
      <c r="B196" s="1077" t="s">
        <v>605</v>
      </c>
      <c r="C196" s="1071" t="s">
        <v>1456</v>
      </c>
      <c r="D196" s="1095" t="s">
        <v>229</v>
      </c>
      <c r="E196" s="1083" t="s">
        <v>561</v>
      </c>
      <c r="F196" s="1083" t="s">
        <v>562</v>
      </c>
      <c r="G196" s="1083" t="s">
        <v>196</v>
      </c>
      <c r="H196" s="1096" t="s">
        <v>208</v>
      </c>
      <c r="I196" s="1095" t="s">
        <v>619</v>
      </c>
      <c r="J196" s="1073" t="s">
        <v>567</v>
      </c>
      <c r="K196" s="1073" t="s">
        <v>567</v>
      </c>
      <c r="L196" s="1079">
        <v>63999</v>
      </c>
      <c r="M196" s="1077" t="s">
        <v>605</v>
      </c>
      <c r="N196" s="1083" t="s">
        <v>152</v>
      </c>
    </row>
    <row r="197" spans="1:14" ht="15" customHeight="1" x14ac:dyDescent="0.2">
      <c r="A197" s="1077" t="s">
        <v>578</v>
      </c>
      <c r="B197" s="1077" t="s">
        <v>605</v>
      </c>
      <c r="C197" s="1071" t="s">
        <v>1530</v>
      </c>
      <c r="D197" s="1095" t="s">
        <v>579</v>
      </c>
      <c r="E197" s="1075">
        <v>0</v>
      </c>
      <c r="F197" s="1098">
        <v>200</v>
      </c>
      <c r="G197" s="1095" t="s">
        <v>46</v>
      </c>
      <c r="H197" s="1096" t="s">
        <v>208</v>
      </c>
      <c r="I197" s="1095" t="s">
        <v>618</v>
      </c>
      <c r="J197" s="1073" t="s">
        <v>567</v>
      </c>
      <c r="K197" s="1073" t="s">
        <v>567</v>
      </c>
      <c r="L197" s="1073" t="s">
        <v>567</v>
      </c>
      <c r="M197" s="1077" t="s">
        <v>605</v>
      </c>
      <c r="N197" s="1083" t="s">
        <v>1985</v>
      </c>
    </row>
    <row r="198" spans="1:14" ht="15" customHeight="1" x14ac:dyDescent="0.2">
      <c r="A198" s="1077" t="s">
        <v>578</v>
      </c>
      <c r="B198" s="1077" t="s">
        <v>605</v>
      </c>
      <c r="C198" s="1071" t="s">
        <v>1531</v>
      </c>
      <c r="D198" s="1095" t="s">
        <v>580</v>
      </c>
      <c r="E198" s="1075">
        <v>0</v>
      </c>
      <c r="F198" s="1098">
        <v>200</v>
      </c>
      <c r="G198" s="1095" t="s">
        <v>46</v>
      </c>
      <c r="H198" s="1096" t="s">
        <v>208</v>
      </c>
      <c r="I198" s="1095" t="s">
        <v>618</v>
      </c>
      <c r="J198" s="1073" t="s">
        <v>567</v>
      </c>
      <c r="K198" s="1073" t="s">
        <v>567</v>
      </c>
      <c r="L198" s="1073" t="s">
        <v>567</v>
      </c>
      <c r="M198" s="1077" t="s">
        <v>605</v>
      </c>
      <c r="N198" s="1083" t="s">
        <v>1986</v>
      </c>
    </row>
    <row r="199" spans="1:14" s="1071" customFormat="1" ht="15" customHeight="1" x14ac:dyDescent="0.2">
      <c r="A199" s="1077" t="s">
        <v>578</v>
      </c>
      <c r="B199" s="1077" t="s">
        <v>605</v>
      </c>
      <c r="C199" s="1071" t="s">
        <v>1532</v>
      </c>
      <c r="D199" s="1095" t="s">
        <v>241</v>
      </c>
      <c r="E199" s="1095">
        <v>0</v>
      </c>
      <c r="F199" s="1098">
        <v>100</v>
      </c>
      <c r="G199" s="1095" t="s">
        <v>40</v>
      </c>
      <c r="H199" s="1096" t="s">
        <v>208</v>
      </c>
      <c r="I199" s="1095" t="s">
        <v>112</v>
      </c>
      <c r="J199" s="1079">
        <v>9</v>
      </c>
      <c r="K199" s="1079">
        <v>3</v>
      </c>
      <c r="L199" s="1073" t="s">
        <v>567</v>
      </c>
      <c r="M199" s="1077" t="s">
        <v>605</v>
      </c>
      <c r="N199" s="1083" t="s">
        <v>1987</v>
      </c>
    </row>
    <row r="200" spans="1:14" s="1071" customFormat="1" ht="15" customHeight="1" x14ac:dyDescent="0.2">
      <c r="A200" s="1077" t="s">
        <v>578</v>
      </c>
      <c r="B200" s="1077" t="s">
        <v>605</v>
      </c>
      <c r="C200" s="1071" t="s">
        <v>1533</v>
      </c>
      <c r="D200" s="1095" t="s">
        <v>242</v>
      </c>
      <c r="E200" s="1095">
        <v>0</v>
      </c>
      <c r="F200" s="1098">
        <v>100</v>
      </c>
      <c r="G200" s="1095" t="s">
        <v>40</v>
      </c>
      <c r="H200" s="1096" t="s">
        <v>208</v>
      </c>
      <c r="I200" s="1095" t="s">
        <v>112</v>
      </c>
      <c r="J200" s="1079">
        <v>9</v>
      </c>
      <c r="K200" s="1079">
        <v>3</v>
      </c>
      <c r="L200" s="1073" t="s">
        <v>567</v>
      </c>
      <c r="M200" s="1077" t="s">
        <v>605</v>
      </c>
      <c r="N200" s="1083" t="s">
        <v>1988</v>
      </c>
    </row>
    <row r="201" spans="1:14" s="1071" customFormat="1" ht="15" customHeight="1" x14ac:dyDescent="0.2">
      <c r="A201" s="1077" t="s">
        <v>578</v>
      </c>
      <c r="B201" s="1077" t="s">
        <v>605</v>
      </c>
      <c r="C201" s="1071" t="s">
        <v>1534</v>
      </c>
      <c r="D201" s="1095" t="s">
        <v>243</v>
      </c>
      <c r="E201" s="1095">
        <v>0</v>
      </c>
      <c r="F201" s="1098">
        <v>100</v>
      </c>
      <c r="G201" s="1095" t="s">
        <v>40</v>
      </c>
      <c r="H201" s="1096" t="s">
        <v>208</v>
      </c>
      <c r="I201" s="1095" t="s">
        <v>112</v>
      </c>
      <c r="J201" s="1079">
        <v>9</v>
      </c>
      <c r="K201" s="1079">
        <v>3</v>
      </c>
      <c r="L201" s="1073" t="s">
        <v>567</v>
      </c>
      <c r="M201" s="1077" t="s">
        <v>605</v>
      </c>
      <c r="N201" s="1083" t="s">
        <v>1989</v>
      </c>
    </row>
    <row r="202" spans="1:14" s="1071" customFormat="1" ht="15" customHeight="1" x14ac:dyDescent="0.2">
      <c r="A202" s="1077" t="s">
        <v>578</v>
      </c>
      <c r="B202" s="1077" t="s">
        <v>605</v>
      </c>
      <c r="C202" s="1071" t="s">
        <v>1535</v>
      </c>
      <c r="D202" s="1088" t="s">
        <v>629</v>
      </c>
      <c r="E202" s="1071">
        <v>0</v>
      </c>
      <c r="F202" s="1098">
        <v>3</v>
      </c>
      <c r="G202" s="1100" t="s">
        <v>2230</v>
      </c>
      <c r="H202" s="1096" t="s">
        <v>208</v>
      </c>
      <c r="I202" s="1095" t="s">
        <v>112</v>
      </c>
      <c r="J202" s="1079">
        <v>9</v>
      </c>
      <c r="K202" s="1079">
        <v>3</v>
      </c>
      <c r="L202" s="1073" t="s">
        <v>567</v>
      </c>
      <c r="M202" s="1077" t="s">
        <v>605</v>
      </c>
      <c r="N202" s="1088" t="s">
        <v>1990</v>
      </c>
    </row>
    <row r="203" spans="1:14" ht="15" customHeight="1" x14ac:dyDescent="0.2">
      <c r="A203" s="1077" t="s">
        <v>578</v>
      </c>
      <c r="B203" s="1077" t="s">
        <v>605</v>
      </c>
      <c r="C203" s="1071" t="s">
        <v>1536</v>
      </c>
      <c r="D203" s="1095" t="s">
        <v>630</v>
      </c>
      <c r="E203" s="1095">
        <v>5</v>
      </c>
      <c r="F203" s="1098">
        <v>50</v>
      </c>
      <c r="G203" s="1095" t="s">
        <v>245</v>
      </c>
      <c r="H203" s="1096" t="s">
        <v>208</v>
      </c>
      <c r="I203" s="1095" t="s">
        <v>112</v>
      </c>
      <c r="J203" s="1079">
        <v>9</v>
      </c>
      <c r="K203" s="1079">
        <v>3</v>
      </c>
      <c r="L203" s="1073" t="s">
        <v>567</v>
      </c>
      <c r="M203" s="1077" t="s">
        <v>605</v>
      </c>
      <c r="N203" s="1083" t="s">
        <v>1991</v>
      </c>
    </row>
    <row r="204" spans="1:14" s="1071" customFormat="1" ht="15" customHeight="1" x14ac:dyDescent="0.2">
      <c r="A204" s="1077" t="s">
        <v>578</v>
      </c>
      <c r="B204" s="1077" t="s">
        <v>605</v>
      </c>
      <c r="C204" s="1071" t="s">
        <v>1537</v>
      </c>
      <c r="D204" s="1095" t="s">
        <v>631</v>
      </c>
      <c r="E204" s="1095">
        <v>0</v>
      </c>
      <c r="F204" s="1098">
        <v>0.01</v>
      </c>
      <c r="G204" s="1095" t="s">
        <v>245</v>
      </c>
      <c r="H204" s="1096" t="s">
        <v>208</v>
      </c>
      <c r="I204" s="1095" t="s">
        <v>112</v>
      </c>
      <c r="J204" s="1079">
        <v>9</v>
      </c>
      <c r="K204" s="1079">
        <v>3</v>
      </c>
      <c r="L204" s="1073" t="s">
        <v>567</v>
      </c>
      <c r="M204" s="1077" t="s">
        <v>605</v>
      </c>
      <c r="N204" s="1083" t="s">
        <v>1992</v>
      </c>
    </row>
    <row r="205" spans="1:14" s="1071" customFormat="1" ht="15" customHeight="1" x14ac:dyDescent="0.2">
      <c r="A205" s="1077" t="s">
        <v>578</v>
      </c>
      <c r="B205" s="1077" t="s">
        <v>605</v>
      </c>
      <c r="C205" s="1071" t="s">
        <v>1538</v>
      </c>
      <c r="D205" s="1095" t="s">
        <v>632</v>
      </c>
      <c r="E205" s="1095">
        <v>0</v>
      </c>
      <c r="F205" s="1101">
        <v>1000</v>
      </c>
      <c r="G205" s="1095" t="s">
        <v>44</v>
      </c>
      <c r="H205" s="1096" t="s">
        <v>208</v>
      </c>
      <c r="I205" s="1095" t="s">
        <v>112</v>
      </c>
      <c r="J205" s="1079">
        <v>9</v>
      </c>
      <c r="K205" s="1079">
        <v>3</v>
      </c>
      <c r="L205" s="1073" t="s">
        <v>567</v>
      </c>
      <c r="M205" s="1077" t="s">
        <v>605</v>
      </c>
      <c r="N205" s="1083" t="s">
        <v>1993</v>
      </c>
    </row>
    <row r="206" spans="1:14" s="1071" customFormat="1" ht="15" customHeight="1" x14ac:dyDescent="0.2">
      <c r="A206" s="1077" t="s">
        <v>578</v>
      </c>
      <c r="B206" s="1077" t="s">
        <v>605</v>
      </c>
      <c r="C206" s="1071" t="s">
        <v>1539</v>
      </c>
      <c r="D206" s="1095" t="s">
        <v>884</v>
      </c>
      <c r="E206" s="1075" t="s">
        <v>140</v>
      </c>
      <c r="F206" s="1075" t="s">
        <v>141</v>
      </c>
      <c r="G206" s="1095" t="s">
        <v>196</v>
      </c>
      <c r="H206" s="1095" t="s">
        <v>208</v>
      </c>
      <c r="I206" s="1095" t="s">
        <v>568</v>
      </c>
      <c r="J206" s="1073" t="s">
        <v>567</v>
      </c>
      <c r="K206" s="1073" t="s">
        <v>567</v>
      </c>
      <c r="L206" s="1073" t="s">
        <v>567</v>
      </c>
      <c r="M206" s="1077" t="s">
        <v>605</v>
      </c>
      <c r="N206" s="1083" t="s">
        <v>1994</v>
      </c>
    </row>
    <row r="207" spans="1:14" s="1071" customFormat="1" ht="15" customHeight="1" x14ac:dyDescent="0.2">
      <c r="A207" s="1077" t="s">
        <v>578</v>
      </c>
      <c r="B207" s="1077" t="s">
        <v>605</v>
      </c>
      <c r="C207" s="1071" t="s">
        <v>1540</v>
      </c>
      <c r="D207" s="1095" t="s">
        <v>307</v>
      </c>
      <c r="E207" s="1075">
        <v>0</v>
      </c>
      <c r="F207" s="1098"/>
      <c r="G207" s="1095" t="s">
        <v>633</v>
      </c>
      <c r="H207" s="1095" t="s">
        <v>208</v>
      </c>
      <c r="I207" s="1095" t="s">
        <v>112</v>
      </c>
      <c r="J207" s="1079">
        <v>9</v>
      </c>
      <c r="K207" s="1079">
        <v>3</v>
      </c>
      <c r="L207" s="1073" t="s">
        <v>567</v>
      </c>
      <c r="M207" s="1077" t="s">
        <v>605</v>
      </c>
      <c r="N207" s="1083" t="s">
        <v>1995</v>
      </c>
    </row>
    <row r="208" spans="1:14" s="1071" customFormat="1" ht="15" customHeight="1" x14ac:dyDescent="0.2">
      <c r="A208" s="1077" t="s">
        <v>578</v>
      </c>
      <c r="B208" s="1077" t="s">
        <v>605</v>
      </c>
      <c r="C208" s="1071" t="s">
        <v>1872</v>
      </c>
      <c r="D208" s="1083" t="s">
        <v>1879</v>
      </c>
      <c r="E208" s="1075">
        <v>0</v>
      </c>
      <c r="F208" s="1095">
        <v>100</v>
      </c>
      <c r="G208" s="1095" t="s">
        <v>40</v>
      </c>
      <c r="H208" s="1095" t="s">
        <v>208</v>
      </c>
      <c r="I208" s="1095" t="s">
        <v>112</v>
      </c>
      <c r="J208" s="1079">
        <v>9</v>
      </c>
      <c r="K208" s="1079">
        <v>3</v>
      </c>
      <c r="L208" s="1073" t="s">
        <v>567</v>
      </c>
      <c r="M208" s="1077" t="s">
        <v>605</v>
      </c>
      <c r="N208" s="1083" t="s">
        <v>1996</v>
      </c>
    </row>
    <row r="209" spans="1:14" ht="15" customHeight="1" x14ac:dyDescent="0.2">
      <c r="A209" s="1077" t="s">
        <v>578</v>
      </c>
      <c r="B209" s="1077" t="s">
        <v>605</v>
      </c>
      <c r="C209" s="1071" t="s">
        <v>1541</v>
      </c>
      <c r="D209" s="1095" t="s">
        <v>1842</v>
      </c>
      <c r="E209" s="1075">
        <v>0</v>
      </c>
      <c r="F209" s="1095">
        <v>100</v>
      </c>
      <c r="G209" s="1095" t="s">
        <v>40</v>
      </c>
      <c r="H209" s="1095" t="s">
        <v>208</v>
      </c>
      <c r="I209" s="1095" t="s">
        <v>112</v>
      </c>
      <c r="J209" s="1079">
        <v>9</v>
      </c>
      <c r="K209" s="1079">
        <v>3</v>
      </c>
      <c r="L209" s="1081" t="s">
        <v>567</v>
      </c>
      <c r="M209" s="1077" t="s">
        <v>605</v>
      </c>
      <c r="N209" s="1083" t="s">
        <v>1997</v>
      </c>
    </row>
    <row r="210" spans="1:14" s="1071" customFormat="1" ht="15" customHeight="1" x14ac:dyDescent="0.2">
      <c r="A210" s="1077" t="s">
        <v>578</v>
      </c>
      <c r="B210" s="1077" t="s">
        <v>605</v>
      </c>
      <c r="C210" s="1071" t="s">
        <v>1549</v>
      </c>
      <c r="D210" s="1095" t="s">
        <v>634</v>
      </c>
      <c r="E210" s="1075">
        <v>0</v>
      </c>
      <c r="F210" s="1098">
        <v>1000</v>
      </c>
      <c r="G210" s="1095" t="s">
        <v>387</v>
      </c>
      <c r="H210" s="1095" t="s">
        <v>208</v>
      </c>
      <c r="I210" s="1095" t="s">
        <v>112</v>
      </c>
      <c r="J210" s="1079">
        <v>9</v>
      </c>
      <c r="K210" s="1079">
        <v>3</v>
      </c>
      <c r="L210" s="1073" t="s">
        <v>567</v>
      </c>
      <c r="M210" s="1077" t="s">
        <v>605</v>
      </c>
      <c r="N210" s="1083" t="s">
        <v>1998</v>
      </c>
    </row>
    <row r="211" spans="1:14" s="1071" customFormat="1" ht="15" customHeight="1" x14ac:dyDescent="0.2">
      <c r="A211" s="1077" t="s">
        <v>578</v>
      </c>
      <c r="B211" s="1077" t="s">
        <v>605</v>
      </c>
      <c r="C211" s="1071" t="s">
        <v>1544</v>
      </c>
      <c r="D211" s="1088" t="s">
        <v>707</v>
      </c>
      <c r="E211" s="1071">
        <v>0</v>
      </c>
      <c r="F211" s="1098">
        <v>3</v>
      </c>
      <c r="G211" s="1102" t="s">
        <v>2230</v>
      </c>
      <c r="H211" s="1096" t="s">
        <v>208</v>
      </c>
      <c r="I211" s="1095" t="s">
        <v>112</v>
      </c>
      <c r="J211" s="1079">
        <v>9</v>
      </c>
      <c r="K211" s="1079">
        <v>3</v>
      </c>
      <c r="L211" s="1073" t="s">
        <v>567</v>
      </c>
      <c r="M211" s="1077" t="s">
        <v>605</v>
      </c>
      <c r="N211" s="1088" t="s">
        <v>1999</v>
      </c>
    </row>
    <row r="212" spans="1:14" s="1071" customFormat="1" ht="15" customHeight="1" x14ac:dyDescent="0.2">
      <c r="A212" s="1077" t="s">
        <v>578</v>
      </c>
      <c r="B212" s="1077" t="s">
        <v>605</v>
      </c>
      <c r="C212" s="1071" t="s">
        <v>1542</v>
      </c>
      <c r="D212" s="1095" t="s">
        <v>708</v>
      </c>
      <c r="E212" s="1075">
        <v>0</v>
      </c>
      <c r="F212" s="1098">
        <v>50</v>
      </c>
      <c r="G212" s="1095" t="s">
        <v>245</v>
      </c>
      <c r="H212" s="1095" t="s">
        <v>208</v>
      </c>
      <c r="I212" s="1095" t="s">
        <v>112</v>
      </c>
      <c r="J212" s="1079">
        <v>9</v>
      </c>
      <c r="K212" s="1079">
        <v>3</v>
      </c>
      <c r="L212" s="1073" t="s">
        <v>567</v>
      </c>
      <c r="M212" s="1077" t="s">
        <v>605</v>
      </c>
      <c r="N212" s="1083" t="s">
        <v>2000</v>
      </c>
    </row>
    <row r="213" spans="1:14" s="1071" customFormat="1" ht="15" customHeight="1" x14ac:dyDescent="0.2">
      <c r="A213" s="1077" t="s">
        <v>578</v>
      </c>
      <c r="B213" s="1077" t="s">
        <v>605</v>
      </c>
      <c r="C213" s="1071" t="s">
        <v>1543</v>
      </c>
      <c r="D213" s="1095" t="s">
        <v>709</v>
      </c>
      <c r="E213" s="1075">
        <v>0</v>
      </c>
      <c r="F213" s="1098">
        <v>0.01</v>
      </c>
      <c r="G213" s="1095" t="s">
        <v>245</v>
      </c>
      <c r="H213" s="1095" t="s">
        <v>208</v>
      </c>
      <c r="I213" s="1095" t="s">
        <v>112</v>
      </c>
      <c r="J213" s="1079">
        <v>9</v>
      </c>
      <c r="K213" s="1079">
        <v>3</v>
      </c>
      <c r="L213" s="1073" t="s">
        <v>567</v>
      </c>
      <c r="M213" s="1077" t="s">
        <v>605</v>
      </c>
      <c r="N213" s="1083" t="s">
        <v>2001</v>
      </c>
    </row>
    <row r="214" spans="1:14" s="1071" customFormat="1" ht="15" customHeight="1" x14ac:dyDescent="0.2">
      <c r="A214" s="1077" t="s">
        <v>578</v>
      </c>
      <c r="B214" s="1077" t="s">
        <v>605</v>
      </c>
      <c r="C214" s="1071" t="s">
        <v>1545</v>
      </c>
      <c r="D214" s="1095" t="s">
        <v>710</v>
      </c>
      <c r="E214" s="1075">
        <v>0</v>
      </c>
      <c r="F214" s="1101">
        <v>1000</v>
      </c>
      <c r="G214" s="1095" t="s">
        <v>44</v>
      </c>
      <c r="H214" s="1095" t="s">
        <v>208</v>
      </c>
      <c r="I214" s="1095" t="s">
        <v>112</v>
      </c>
      <c r="J214" s="1079">
        <v>9</v>
      </c>
      <c r="K214" s="1079">
        <v>3</v>
      </c>
      <c r="L214" s="1073" t="s">
        <v>567</v>
      </c>
      <c r="M214" s="1077" t="s">
        <v>605</v>
      </c>
      <c r="N214" s="1083" t="s">
        <v>2002</v>
      </c>
    </row>
    <row r="215" spans="1:14" s="1071" customFormat="1" ht="15" customHeight="1" x14ac:dyDescent="0.2">
      <c r="A215" s="1077" t="s">
        <v>578</v>
      </c>
      <c r="B215" s="1077" t="s">
        <v>605</v>
      </c>
      <c r="C215" s="1071" t="s">
        <v>1546</v>
      </c>
      <c r="D215" s="1095" t="s">
        <v>711</v>
      </c>
      <c r="E215" s="1075">
        <v>0</v>
      </c>
      <c r="F215" s="1098"/>
      <c r="G215" s="1095" t="s">
        <v>633</v>
      </c>
      <c r="H215" s="1095" t="s">
        <v>208</v>
      </c>
      <c r="I215" s="1095" t="s">
        <v>112</v>
      </c>
      <c r="J215" s="1079">
        <v>9</v>
      </c>
      <c r="K215" s="1079">
        <v>3</v>
      </c>
      <c r="L215" s="1073" t="s">
        <v>567</v>
      </c>
      <c r="M215" s="1077" t="s">
        <v>605</v>
      </c>
      <c r="N215" s="1083" t="s">
        <v>2003</v>
      </c>
    </row>
    <row r="216" spans="1:14" s="1071" customFormat="1" ht="15" customHeight="1" x14ac:dyDescent="0.2">
      <c r="A216" s="1077" t="s">
        <v>578</v>
      </c>
      <c r="B216" s="1077" t="s">
        <v>605</v>
      </c>
      <c r="C216" s="1071" t="s">
        <v>1547</v>
      </c>
      <c r="D216" s="1083" t="s">
        <v>1880</v>
      </c>
      <c r="E216" s="1075">
        <v>0</v>
      </c>
      <c r="F216" s="1095">
        <v>100</v>
      </c>
      <c r="G216" s="1095" t="s">
        <v>40</v>
      </c>
      <c r="H216" s="1095" t="s">
        <v>208</v>
      </c>
      <c r="I216" s="1095" t="s">
        <v>112</v>
      </c>
      <c r="J216" s="1079">
        <v>9</v>
      </c>
      <c r="K216" s="1079">
        <v>3</v>
      </c>
      <c r="L216" s="1073" t="s">
        <v>567</v>
      </c>
      <c r="M216" s="1077" t="s">
        <v>605</v>
      </c>
      <c r="N216" s="1083" t="s">
        <v>2004</v>
      </c>
    </row>
    <row r="217" spans="1:14" s="1071" customFormat="1" ht="15" customHeight="1" x14ac:dyDescent="0.2">
      <c r="A217" s="1077" t="s">
        <v>578</v>
      </c>
      <c r="B217" s="1077" t="s">
        <v>605</v>
      </c>
      <c r="C217" s="1071" t="s">
        <v>2241</v>
      </c>
      <c r="D217" s="1095" t="s">
        <v>1841</v>
      </c>
      <c r="E217" s="1075">
        <v>0</v>
      </c>
      <c r="F217" s="1095">
        <v>100</v>
      </c>
      <c r="G217" s="1095" t="s">
        <v>40</v>
      </c>
      <c r="H217" s="1095" t="s">
        <v>208</v>
      </c>
      <c r="I217" s="1095" t="s">
        <v>112</v>
      </c>
      <c r="J217" s="1079">
        <v>9</v>
      </c>
      <c r="K217" s="1079">
        <v>3</v>
      </c>
      <c r="L217" s="1073" t="s">
        <v>567</v>
      </c>
      <c r="M217" s="1077" t="s">
        <v>605</v>
      </c>
      <c r="N217" s="1083" t="s">
        <v>2005</v>
      </c>
    </row>
    <row r="218" spans="1:14" s="1071" customFormat="1" ht="15" customHeight="1" x14ac:dyDescent="0.2">
      <c r="A218" s="1077" t="s">
        <v>578</v>
      </c>
      <c r="B218" s="1077" t="s">
        <v>605</v>
      </c>
      <c r="C218" s="1071" t="s">
        <v>1550</v>
      </c>
      <c r="D218" s="1095" t="s">
        <v>712</v>
      </c>
      <c r="E218" s="1075">
        <v>0</v>
      </c>
      <c r="F218" s="1098">
        <v>1000</v>
      </c>
      <c r="G218" s="1095" t="s">
        <v>387</v>
      </c>
      <c r="H218" s="1095" t="s">
        <v>208</v>
      </c>
      <c r="I218" s="1095" t="s">
        <v>112</v>
      </c>
      <c r="J218" s="1079">
        <v>9</v>
      </c>
      <c r="K218" s="1079">
        <v>3</v>
      </c>
      <c r="L218" s="1073" t="s">
        <v>567</v>
      </c>
      <c r="M218" s="1077" t="s">
        <v>605</v>
      </c>
      <c r="N218" s="1083" t="s">
        <v>2006</v>
      </c>
    </row>
    <row r="219" spans="1:14" s="1071" customFormat="1" ht="15" customHeight="1" x14ac:dyDescent="0.2">
      <c r="A219" s="1089" t="s">
        <v>567</v>
      </c>
      <c r="B219" s="1089" t="s">
        <v>567</v>
      </c>
      <c r="C219" s="1089" t="s">
        <v>567</v>
      </c>
      <c r="D219" s="1089" t="s">
        <v>567</v>
      </c>
      <c r="E219" s="1089" t="s">
        <v>567</v>
      </c>
      <c r="F219" s="1089" t="s">
        <v>567</v>
      </c>
      <c r="G219" s="1089" t="s">
        <v>567</v>
      </c>
      <c r="H219" s="1089" t="s">
        <v>567</v>
      </c>
      <c r="I219" s="1089" t="s">
        <v>567</v>
      </c>
      <c r="J219" s="1081" t="s">
        <v>567</v>
      </c>
      <c r="K219" s="1081" t="s">
        <v>567</v>
      </c>
      <c r="L219" s="1081" t="s">
        <v>567</v>
      </c>
      <c r="M219" s="1089" t="s">
        <v>567</v>
      </c>
      <c r="N219" s="1089" t="s">
        <v>567</v>
      </c>
    </row>
    <row r="220" spans="1:14" s="1071" customFormat="1" ht="15" customHeight="1" x14ac:dyDescent="0.2">
      <c r="A220" s="1077" t="s">
        <v>578</v>
      </c>
      <c r="B220" s="1077" t="s">
        <v>606</v>
      </c>
      <c r="C220" s="1071" t="s">
        <v>1495</v>
      </c>
      <c r="D220" s="1095" t="s">
        <v>574</v>
      </c>
      <c r="E220" s="1083" t="s">
        <v>561</v>
      </c>
      <c r="F220" s="1083" t="s">
        <v>562</v>
      </c>
      <c r="G220" s="1083" t="s">
        <v>196</v>
      </c>
      <c r="H220" s="1095" t="s">
        <v>206</v>
      </c>
      <c r="I220" s="1095" t="s">
        <v>619</v>
      </c>
      <c r="J220" s="1073" t="s">
        <v>567</v>
      </c>
      <c r="K220" s="1073" t="s">
        <v>567</v>
      </c>
      <c r="L220" s="1079">
        <v>63999</v>
      </c>
      <c r="M220" s="1077" t="s">
        <v>606</v>
      </c>
      <c r="N220" s="1083" t="s">
        <v>154</v>
      </c>
    </row>
    <row r="221" spans="1:14" s="1071" customFormat="1" ht="15" customHeight="1" x14ac:dyDescent="0.2">
      <c r="A221" s="1077" t="s">
        <v>578</v>
      </c>
      <c r="B221" s="1077" t="s">
        <v>606</v>
      </c>
      <c r="C221" s="1071" t="s">
        <v>35</v>
      </c>
      <c r="D221" s="1095" t="s">
        <v>487</v>
      </c>
      <c r="E221" s="1097">
        <v>1</v>
      </c>
      <c r="F221" s="1097">
        <f ca="1">TODAY()</f>
        <v>42886</v>
      </c>
      <c r="G221" s="1095" t="s">
        <v>116</v>
      </c>
      <c r="H221" s="1095" t="s">
        <v>206</v>
      </c>
      <c r="I221" s="1095" t="s">
        <v>565</v>
      </c>
      <c r="J221" s="1073" t="s">
        <v>567</v>
      </c>
      <c r="K221" s="1073" t="s">
        <v>567</v>
      </c>
      <c r="L221" s="1073" t="s">
        <v>567</v>
      </c>
      <c r="M221" s="1077" t="s">
        <v>606</v>
      </c>
      <c r="N221" s="1083" t="s">
        <v>35</v>
      </c>
    </row>
    <row r="222" spans="1:14" s="1071" customFormat="1" ht="15" customHeight="1" x14ac:dyDescent="0.2">
      <c r="A222" s="1077" t="s">
        <v>578</v>
      </c>
      <c r="B222" s="1077" t="s">
        <v>606</v>
      </c>
      <c r="C222" s="1071" t="s">
        <v>1456</v>
      </c>
      <c r="D222" s="1095" t="s">
        <v>229</v>
      </c>
      <c r="E222" s="1083" t="s">
        <v>561</v>
      </c>
      <c r="F222" s="1083" t="s">
        <v>562</v>
      </c>
      <c r="G222" s="1083" t="s">
        <v>196</v>
      </c>
      <c r="H222" s="1096" t="s">
        <v>208</v>
      </c>
      <c r="I222" s="1095" t="s">
        <v>619</v>
      </c>
      <c r="J222" s="1073" t="s">
        <v>567</v>
      </c>
      <c r="K222" s="1073" t="s">
        <v>567</v>
      </c>
      <c r="L222" s="1079">
        <v>63999</v>
      </c>
      <c r="M222" s="1077" t="s">
        <v>606</v>
      </c>
      <c r="N222" s="1083" t="s">
        <v>152</v>
      </c>
    </row>
    <row r="223" spans="1:14" s="1071" customFormat="1" ht="15" customHeight="1" x14ac:dyDescent="0.2">
      <c r="A223" s="1077" t="s">
        <v>578</v>
      </c>
      <c r="B223" s="1077" t="s">
        <v>606</v>
      </c>
      <c r="C223" s="1071" t="s">
        <v>1530</v>
      </c>
      <c r="D223" s="1095" t="s">
        <v>296</v>
      </c>
      <c r="E223" s="1075">
        <v>0</v>
      </c>
      <c r="F223" s="1098">
        <v>200</v>
      </c>
      <c r="G223" s="1095" t="s">
        <v>46</v>
      </c>
      <c r="H223" s="1095" t="s">
        <v>208</v>
      </c>
      <c r="I223" s="1095" t="s">
        <v>618</v>
      </c>
      <c r="J223" s="1073" t="s">
        <v>567</v>
      </c>
      <c r="K223" s="1073" t="s">
        <v>567</v>
      </c>
      <c r="L223" s="1073" t="s">
        <v>567</v>
      </c>
      <c r="M223" s="1077" t="s">
        <v>606</v>
      </c>
      <c r="N223" s="1083" t="s">
        <v>1985</v>
      </c>
    </row>
    <row r="224" spans="1:14" s="1071" customFormat="1" ht="15" customHeight="1" x14ac:dyDescent="0.2">
      <c r="A224" s="1077" t="s">
        <v>578</v>
      </c>
      <c r="B224" s="1077" t="s">
        <v>606</v>
      </c>
      <c r="C224" s="1071" t="s">
        <v>1531</v>
      </c>
      <c r="D224" s="1095" t="s">
        <v>297</v>
      </c>
      <c r="E224" s="1075">
        <v>0</v>
      </c>
      <c r="F224" s="1098">
        <v>200</v>
      </c>
      <c r="G224" s="1095" t="s">
        <v>46</v>
      </c>
      <c r="H224" s="1095" t="s">
        <v>208</v>
      </c>
      <c r="I224" s="1095" t="s">
        <v>618</v>
      </c>
      <c r="J224" s="1073" t="s">
        <v>567</v>
      </c>
      <c r="K224" s="1073" t="s">
        <v>567</v>
      </c>
      <c r="L224" s="1073" t="s">
        <v>567</v>
      </c>
      <c r="M224" s="1077" t="s">
        <v>606</v>
      </c>
      <c r="N224" s="1083" t="s">
        <v>1986</v>
      </c>
    </row>
    <row r="225" spans="1:14" s="1071" customFormat="1" ht="15" customHeight="1" x14ac:dyDescent="0.2">
      <c r="A225" s="1077" t="s">
        <v>578</v>
      </c>
      <c r="B225" s="1077" t="s">
        <v>606</v>
      </c>
      <c r="C225" s="1071" t="s">
        <v>37</v>
      </c>
      <c r="D225" s="1095" t="s">
        <v>581</v>
      </c>
      <c r="E225" s="1095">
        <v>0</v>
      </c>
      <c r="F225" s="1098">
        <v>14</v>
      </c>
      <c r="G225" s="1103" t="s">
        <v>244</v>
      </c>
      <c r="H225" s="1096" t="s">
        <v>208</v>
      </c>
      <c r="I225" s="1095" t="s">
        <v>112</v>
      </c>
      <c r="J225" s="1079">
        <v>9</v>
      </c>
      <c r="K225" s="1079">
        <v>2</v>
      </c>
      <c r="L225" s="1073" t="s">
        <v>567</v>
      </c>
      <c r="M225" s="1077" t="s">
        <v>606</v>
      </c>
      <c r="N225" s="1083" t="s">
        <v>37</v>
      </c>
    </row>
    <row r="226" spans="1:14" s="1071" customFormat="1" ht="15" customHeight="1" x14ac:dyDescent="0.2">
      <c r="A226" s="1077" t="s">
        <v>578</v>
      </c>
      <c r="B226" s="1077" t="s">
        <v>606</v>
      </c>
      <c r="C226" s="1071" t="s">
        <v>1551</v>
      </c>
      <c r="D226" s="1095" t="s">
        <v>298</v>
      </c>
      <c r="E226" s="1075">
        <v>0</v>
      </c>
      <c r="F226" s="1098">
        <v>1000</v>
      </c>
      <c r="G226" s="1095" t="s">
        <v>1839</v>
      </c>
      <c r="H226" s="1095" t="s">
        <v>208</v>
      </c>
      <c r="I226" s="1095" t="s">
        <v>112</v>
      </c>
      <c r="J226" s="1079">
        <v>9</v>
      </c>
      <c r="K226" s="1079">
        <v>3</v>
      </c>
      <c r="L226" s="1073" t="s">
        <v>567</v>
      </c>
      <c r="M226" s="1077" t="s">
        <v>606</v>
      </c>
      <c r="N226" s="1083" t="s">
        <v>2007</v>
      </c>
    </row>
    <row r="227" spans="1:14" s="1071" customFormat="1" ht="15" customHeight="1" x14ac:dyDescent="0.2">
      <c r="A227" s="1077" t="s">
        <v>578</v>
      </c>
      <c r="B227" s="1077" t="s">
        <v>606</v>
      </c>
      <c r="C227" s="1071" t="s">
        <v>1552</v>
      </c>
      <c r="D227" s="1095" t="s">
        <v>299</v>
      </c>
      <c r="E227" s="1075">
        <v>0</v>
      </c>
      <c r="F227" s="1098">
        <v>1000</v>
      </c>
      <c r="G227" s="1095" t="s">
        <v>1840</v>
      </c>
      <c r="H227" s="1095" t="s">
        <v>208</v>
      </c>
      <c r="I227" s="1095" t="s">
        <v>112</v>
      </c>
      <c r="J227" s="1079">
        <v>9</v>
      </c>
      <c r="K227" s="1079">
        <v>3</v>
      </c>
      <c r="L227" s="1073" t="s">
        <v>567</v>
      </c>
      <c r="M227" s="1077" t="s">
        <v>606</v>
      </c>
      <c r="N227" s="1083" t="s">
        <v>2008</v>
      </c>
    </row>
    <row r="228" spans="1:14" s="1071" customFormat="1" ht="15" customHeight="1" x14ac:dyDescent="0.2">
      <c r="A228" s="1077" t="s">
        <v>578</v>
      </c>
      <c r="B228" s="1077" t="s">
        <v>606</v>
      </c>
      <c r="C228" s="1071" t="s">
        <v>1553</v>
      </c>
      <c r="D228" s="1095" t="s">
        <v>300</v>
      </c>
      <c r="E228" s="1075">
        <v>0</v>
      </c>
      <c r="F228" s="1098">
        <v>1000</v>
      </c>
      <c r="G228" s="1095" t="s">
        <v>1839</v>
      </c>
      <c r="H228" s="1095" t="s">
        <v>208</v>
      </c>
      <c r="I228" s="1095" t="s">
        <v>112</v>
      </c>
      <c r="J228" s="1079">
        <v>9</v>
      </c>
      <c r="K228" s="1079">
        <v>3</v>
      </c>
      <c r="L228" s="1073" t="s">
        <v>567</v>
      </c>
      <c r="M228" s="1077" t="s">
        <v>606</v>
      </c>
      <c r="N228" s="1083" t="s">
        <v>2009</v>
      </c>
    </row>
    <row r="229" spans="1:14" s="1071" customFormat="1" ht="15" customHeight="1" x14ac:dyDescent="0.2">
      <c r="A229" s="1077" t="s">
        <v>578</v>
      </c>
      <c r="B229" s="1077" t="s">
        <v>606</v>
      </c>
      <c r="C229" s="1071" t="s">
        <v>1763</v>
      </c>
      <c r="D229" s="1095" t="s">
        <v>1391</v>
      </c>
      <c r="E229" s="1075">
        <v>0</v>
      </c>
      <c r="F229" s="1098">
        <v>1000</v>
      </c>
      <c r="G229" s="1095" t="s">
        <v>1839</v>
      </c>
      <c r="H229" s="1095" t="s">
        <v>208</v>
      </c>
      <c r="I229" s="1095" t="s">
        <v>112</v>
      </c>
      <c r="J229" s="1079">
        <v>9</v>
      </c>
      <c r="K229" s="1079">
        <v>3</v>
      </c>
      <c r="L229" s="1073" t="s">
        <v>567</v>
      </c>
      <c r="M229" s="1077" t="s">
        <v>606</v>
      </c>
      <c r="N229" s="1083" t="s">
        <v>2010</v>
      </c>
    </row>
    <row r="230" spans="1:14" s="1071" customFormat="1" ht="15" customHeight="1" x14ac:dyDescent="0.2">
      <c r="A230" s="1077" t="s">
        <v>578</v>
      </c>
      <c r="B230" s="1077" t="s">
        <v>606</v>
      </c>
      <c r="C230" s="1071" t="s">
        <v>1554</v>
      </c>
      <c r="D230" s="1095" t="s">
        <v>302</v>
      </c>
      <c r="E230" s="1075">
        <v>0</v>
      </c>
      <c r="F230" s="1098">
        <v>1000</v>
      </c>
      <c r="G230" s="1095" t="s">
        <v>1839</v>
      </c>
      <c r="H230" s="1095" t="s">
        <v>208</v>
      </c>
      <c r="I230" s="1095" t="s">
        <v>112</v>
      </c>
      <c r="J230" s="1079">
        <v>9</v>
      </c>
      <c r="K230" s="1079">
        <v>3</v>
      </c>
      <c r="L230" s="1073" t="s">
        <v>567</v>
      </c>
      <c r="M230" s="1077" t="s">
        <v>606</v>
      </c>
      <c r="N230" s="1083" t="s">
        <v>2011</v>
      </c>
    </row>
    <row r="231" spans="1:14" s="1071" customFormat="1" ht="15" customHeight="1" x14ac:dyDescent="0.2">
      <c r="A231" s="1077" t="s">
        <v>578</v>
      </c>
      <c r="B231" s="1077" t="s">
        <v>606</v>
      </c>
      <c r="C231" s="1071" t="s">
        <v>1555</v>
      </c>
      <c r="D231" s="1095" t="s">
        <v>308</v>
      </c>
      <c r="E231" s="1075">
        <v>0</v>
      </c>
      <c r="F231" s="1098"/>
      <c r="G231" s="1095" t="s">
        <v>47</v>
      </c>
      <c r="H231" s="1095" t="s">
        <v>208</v>
      </c>
      <c r="I231" s="1095" t="s">
        <v>112</v>
      </c>
      <c r="J231" s="1079">
        <v>9</v>
      </c>
      <c r="K231" s="1079">
        <v>3</v>
      </c>
      <c r="L231" s="1073" t="s">
        <v>567</v>
      </c>
      <c r="M231" s="1077" t="s">
        <v>606</v>
      </c>
      <c r="N231" s="1083" t="s">
        <v>2012</v>
      </c>
    </row>
    <row r="232" spans="1:14" s="1071" customFormat="1" ht="15" customHeight="1" x14ac:dyDescent="0.2">
      <c r="A232" s="1077" t="s">
        <v>578</v>
      </c>
      <c r="B232" s="1077" t="s">
        <v>606</v>
      </c>
      <c r="C232" s="1071" t="s">
        <v>1556</v>
      </c>
      <c r="D232" s="1095" t="s">
        <v>309</v>
      </c>
      <c r="E232" s="1075">
        <v>0</v>
      </c>
      <c r="F232" s="1098">
        <v>1</v>
      </c>
      <c r="G232" s="1095" t="s">
        <v>310</v>
      </c>
      <c r="H232" s="1095" t="s">
        <v>208</v>
      </c>
      <c r="I232" s="1095" t="s">
        <v>112</v>
      </c>
      <c r="J232" s="1079">
        <v>9</v>
      </c>
      <c r="K232" s="1079">
        <v>3</v>
      </c>
      <c r="L232" s="1073" t="s">
        <v>567</v>
      </c>
      <c r="M232" s="1077" t="s">
        <v>606</v>
      </c>
      <c r="N232" s="1083" t="s">
        <v>2013</v>
      </c>
    </row>
    <row r="233" spans="1:14" s="1071" customFormat="1" ht="15" customHeight="1" x14ac:dyDescent="0.2">
      <c r="A233" s="1077" t="s">
        <v>578</v>
      </c>
      <c r="B233" s="1077" t="s">
        <v>606</v>
      </c>
      <c r="C233" s="1071" t="s">
        <v>1557</v>
      </c>
      <c r="D233" s="1095" t="s">
        <v>311</v>
      </c>
      <c r="E233" s="1075">
        <v>0</v>
      </c>
      <c r="F233" s="1098">
        <v>1000000</v>
      </c>
      <c r="G233" s="1095" t="s">
        <v>1018</v>
      </c>
      <c r="H233" s="1095" t="s">
        <v>208</v>
      </c>
      <c r="I233" s="1095" t="s">
        <v>112</v>
      </c>
      <c r="J233" s="1079">
        <v>9</v>
      </c>
      <c r="K233" s="1079">
        <v>3</v>
      </c>
      <c r="L233" s="1073" t="s">
        <v>567</v>
      </c>
      <c r="M233" s="1077" t="s">
        <v>606</v>
      </c>
      <c r="N233" s="1083" t="s">
        <v>2014</v>
      </c>
    </row>
    <row r="234" spans="1:14" ht="15" customHeight="1" x14ac:dyDescent="0.2">
      <c r="A234" s="1077" t="s">
        <v>578</v>
      </c>
      <c r="B234" s="1077" t="s">
        <v>606</v>
      </c>
      <c r="C234" s="1071" t="s">
        <v>1843</v>
      </c>
      <c r="D234" s="1095" t="s">
        <v>303</v>
      </c>
      <c r="E234" s="1075">
        <v>0</v>
      </c>
      <c r="F234" s="1098">
        <v>1000000</v>
      </c>
      <c r="G234" s="1095" t="s">
        <v>635</v>
      </c>
      <c r="H234" s="1095" t="s">
        <v>208</v>
      </c>
      <c r="I234" s="1095" t="s">
        <v>112</v>
      </c>
      <c r="J234" s="1079">
        <v>9</v>
      </c>
      <c r="K234" s="1079">
        <v>3</v>
      </c>
      <c r="L234" s="1073" t="s">
        <v>567</v>
      </c>
      <c r="M234" s="1077" t="s">
        <v>606</v>
      </c>
      <c r="N234" s="1083" t="s">
        <v>2015</v>
      </c>
    </row>
    <row r="235" spans="1:14" s="1071" customFormat="1" ht="15" customHeight="1" x14ac:dyDescent="0.2">
      <c r="A235" s="1077" t="s">
        <v>578</v>
      </c>
      <c r="B235" s="1077" t="s">
        <v>606</v>
      </c>
      <c r="C235" s="1071" t="s">
        <v>1766</v>
      </c>
      <c r="D235" s="1095" t="s">
        <v>304</v>
      </c>
      <c r="E235" s="1075">
        <v>0</v>
      </c>
      <c r="F235" s="1098">
        <v>1000000</v>
      </c>
      <c r="G235" s="1095" t="s">
        <v>635</v>
      </c>
      <c r="H235" s="1095" t="s">
        <v>208</v>
      </c>
      <c r="I235" s="1095" t="s">
        <v>112</v>
      </c>
      <c r="J235" s="1079">
        <v>9</v>
      </c>
      <c r="K235" s="1079">
        <v>3</v>
      </c>
      <c r="L235" s="1073" t="s">
        <v>567</v>
      </c>
      <c r="M235" s="1077" t="s">
        <v>606</v>
      </c>
      <c r="N235" s="1083" t="s">
        <v>2016</v>
      </c>
    </row>
    <row r="236" spans="1:14" s="1071" customFormat="1" ht="15" customHeight="1" x14ac:dyDescent="0.2">
      <c r="A236" s="1077" t="s">
        <v>578</v>
      </c>
      <c r="B236" s="1077" t="s">
        <v>606</v>
      </c>
      <c r="C236" s="1071" t="s">
        <v>1558</v>
      </c>
      <c r="D236" s="1095" t="s">
        <v>305</v>
      </c>
      <c r="E236" s="1075">
        <v>0</v>
      </c>
      <c r="F236" s="1098">
        <v>1000000</v>
      </c>
      <c r="G236" s="1095" t="s">
        <v>1019</v>
      </c>
      <c r="H236" s="1095" t="s">
        <v>208</v>
      </c>
      <c r="I236" s="1095" t="s">
        <v>112</v>
      </c>
      <c r="J236" s="1079">
        <v>9</v>
      </c>
      <c r="K236" s="1079">
        <v>3</v>
      </c>
      <c r="L236" s="1073" t="s">
        <v>567</v>
      </c>
      <c r="M236" s="1077" t="s">
        <v>606</v>
      </c>
      <c r="N236" s="1083" t="s">
        <v>2017</v>
      </c>
    </row>
    <row r="237" spans="1:14" s="1071" customFormat="1" ht="15" customHeight="1" x14ac:dyDescent="0.2">
      <c r="A237" s="1077" t="s">
        <v>578</v>
      </c>
      <c r="B237" s="1077" t="s">
        <v>606</v>
      </c>
      <c r="C237" s="1071" t="s">
        <v>1559</v>
      </c>
      <c r="D237" s="1095" t="s">
        <v>306</v>
      </c>
      <c r="E237" s="1075">
        <v>0</v>
      </c>
      <c r="F237" s="1098">
        <v>1000000</v>
      </c>
      <c r="G237" s="1095" t="s">
        <v>1020</v>
      </c>
      <c r="H237" s="1095" t="s">
        <v>208</v>
      </c>
      <c r="I237" s="1095" t="s">
        <v>112</v>
      </c>
      <c r="J237" s="1079">
        <v>9</v>
      </c>
      <c r="K237" s="1079">
        <v>3</v>
      </c>
      <c r="L237" s="1073" t="s">
        <v>567</v>
      </c>
      <c r="M237" s="1077" t="s">
        <v>606</v>
      </c>
      <c r="N237" s="1083" t="s">
        <v>2018</v>
      </c>
    </row>
    <row r="238" spans="1:14" s="1071" customFormat="1" ht="15" customHeight="1" x14ac:dyDescent="0.2">
      <c r="A238" s="1077" t="s">
        <v>578</v>
      </c>
      <c r="B238" s="1077" t="s">
        <v>606</v>
      </c>
      <c r="C238" s="1071" t="s">
        <v>1560</v>
      </c>
      <c r="D238" s="1095" t="s">
        <v>641</v>
      </c>
      <c r="E238" s="1075">
        <v>0</v>
      </c>
      <c r="F238" s="1098">
        <v>1000000</v>
      </c>
      <c r="G238" s="1095" t="s">
        <v>1021</v>
      </c>
      <c r="H238" s="1095" t="s">
        <v>208</v>
      </c>
      <c r="I238" s="1095" t="s">
        <v>112</v>
      </c>
      <c r="J238" s="1079">
        <v>9</v>
      </c>
      <c r="K238" s="1079">
        <v>3</v>
      </c>
      <c r="L238" s="1073" t="s">
        <v>567</v>
      </c>
      <c r="M238" s="1077" t="s">
        <v>606</v>
      </c>
      <c r="N238" s="1083" t="s">
        <v>2019</v>
      </c>
    </row>
    <row r="239" spans="1:14" s="1071" customFormat="1" ht="15" customHeight="1" x14ac:dyDescent="0.2">
      <c r="A239" s="1077" t="s">
        <v>578</v>
      </c>
      <c r="B239" s="1077" t="s">
        <v>606</v>
      </c>
      <c r="C239" s="1071" t="s">
        <v>1561</v>
      </c>
      <c r="D239" s="1095" t="s">
        <v>640</v>
      </c>
      <c r="E239" s="1075">
        <v>0</v>
      </c>
      <c r="F239" s="1098">
        <v>1000000</v>
      </c>
      <c r="G239" s="1095" t="s">
        <v>1022</v>
      </c>
      <c r="H239" s="1095" t="s">
        <v>208</v>
      </c>
      <c r="I239" s="1095" t="s">
        <v>112</v>
      </c>
      <c r="J239" s="1079">
        <v>9</v>
      </c>
      <c r="K239" s="1079">
        <v>3</v>
      </c>
      <c r="L239" s="1073" t="s">
        <v>567</v>
      </c>
      <c r="M239" s="1077" t="s">
        <v>606</v>
      </c>
      <c r="N239" s="1083" t="s">
        <v>2020</v>
      </c>
    </row>
    <row r="240" spans="1:14" ht="15" customHeight="1" x14ac:dyDescent="0.2">
      <c r="A240" s="1077" t="s">
        <v>578</v>
      </c>
      <c r="B240" s="1077" t="s">
        <v>606</v>
      </c>
      <c r="C240" s="1071" t="s">
        <v>1562</v>
      </c>
      <c r="D240" s="1095" t="s">
        <v>639</v>
      </c>
      <c r="E240" s="1075">
        <v>0</v>
      </c>
      <c r="F240" s="1098">
        <v>1000000</v>
      </c>
      <c r="G240" s="1095" t="s">
        <v>1012</v>
      </c>
      <c r="H240" s="1095" t="s">
        <v>208</v>
      </c>
      <c r="I240" s="1095" t="s">
        <v>112</v>
      </c>
      <c r="J240" s="1079">
        <v>9</v>
      </c>
      <c r="K240" s="1079">
        <v>3</v>
      </c>
      <c r="L240" s="1073" t="s">
        <v>567</v>
      </c>
      <c r="M240" s="1077" t="s">
        <v>606</v>
      </c>
      <c r="N240" s="1083" t="s">
        <v>2021</v>
      </c>
    </row>
    <row r="241" spans="1:14" ht="15" customHeight="1" x14ac:dyDescent="0.2">
      <c r="A241" s="1077" t="s">
        <v>578</v>
      </c>
      <c r="B241" s="1077" t="s">
        <v>606</v>
      </c>
      <c r="C241" s="1071" t="s">
        <v>1567</v>
      </c>
      <c r="D241" s="1095" t="s">
        <v>638</v>
      </c>
      <c r="E241" s="1075">
        <v>0</v>
      </c>
      <c r="F241" s="1098">
        <v>1000000</v>
      </c>
      <c r="G241" s="1095" t="s">
        <v>1014</v>
      </c>
      <c r="H241" s="1095" t="s">
        <v>208</v>
      </c>
      <c r="I241" s="1095" t="s">
        <v>112</v>
      </c>
      <c r="J241" s="1079">
        <v>9</v>
      </c>
      <c r="K241" s="1079">
        <v>3</v>
      </c>
      <c r="L241" s="1073" t="s">
        <v>567</v>
      </c>
      <c r="M241" s="1077" t="s">
        <v>606</v>
      </c>
      <c r="N241" s="1083" t="s">
        <v>2022</v>
      </c>
    </row>
    <row r="242" spans="1:14" ht="15" customHeight="1" x14ac:dyDescent="0.2">
      <c r="A242" s="1077" t="s">
        <v>578</v>
      </c>
      <c r="B242" s="1077" t="s">
        <v>606</v>
      </c>
      <c r="C242" s="1071" t="s">
        <v>1566</v>
      </c>
      <c r="D242" s="1095" t="s">
        <v>637</v>
      </c>
      <c r="E242" s="1075">
        <v>0</v>
      </c>
      <c r="F242" s="1098">
        <v>1000000</v>
      </c>
      <c r="G242" s="1095" t="s">
        <v>1015</v>
      </c>
      <c r="H242" s="1095" t="s">
        <v>208</v>
      </c>
      <c r="I242" s="1095" t="s">
        <v>112</v>
      </c>
      <c r="J242" s="1079">
        <v>9</v>
      </c>
      <c r="K242" s="1079">
        <v>3</v>
      </c>
      <c r="L242" s="1073" t="s">
        <v>567</v>
      </c>
      <c r="M242" s="1077" t="s">
        <v>606</v>
      </c>
      <c r="N242" s="1083" t="s">
        <v>2023</v>
      </c>
    </row>
    <row r="243" spans="1:14" ht="15" customHeight="1" x14ac:dyDescent="0.2">
      <c r="A243" s="1077" t="s">
        <v>578</v>
      </c>
      <c r="B243" s="1077" t="s">
        <v>606</v>
      </c>
      <c r="C243" s="1071" t="s">
        <v>1568</v>
      </c>
      <c r="D243" s="1095" t="s">
        <v>636</v>
      </c>
      <c r="E243" s="1075">
        <v>0</v>
      </c>
      <c r="F243" s="1098">
        <v>1000000</v>
      </c>
      <c r="G243" s="1095" t="s">
        <v>1017</v>
      </c>
      <c r="H243" s="1095" t="s">
        <v>208</v>
      </c>
      <c r="I243" s="1095" t="s">
        <v>112</v>
      </c>
      <c r="J243" s="1079">
        <v>9</v>
      </c>
      <c r="K243" s="1079">
        <v>3</v>
      </c>
      <c r="L243" s="1073" t="s">
        <v>567</v>
      </c>
      <c r="M243" s="1077" t="s">
        <v>606</v>
      </c>
      <c r="N243" s="1083" t="s">
        <v>2024</v>
      </c>
    </row>
    <row r="244" spans="1:14" ht="15" customHeight="1" x14ac:dyDescent="0.2">
      <c r="A244" s="1077" t="s">
        <v>578</v>
      </c>
      <c r="B244" s="1077" t="s">
        <v>606</v>
      </c>
      <c r="C244" s="1071" t="s">
        <v>1569</v>
      </c>
      <c r="D244" s="1095" t="s">
        <v>1037</v>
      </c>
      <c r="E244" s="1075">
        <v>0</v>
      </c>
      <c r="F244" s="1098">
        <v>1000</v>
      </c>
      <c r="G244" s="1095" t="s">
        <v>387</v>
      </c>
      <c r="H244" s="1095" t="s">
        <v>208</v>
      </c>
      <c r="I244" s="1095" t="s">
        <v>112</v>
      </c>
      <c r="J244" s="1079">
        <v>9</v>
      </c>
      <c r="K244" s="1079">
        <v>3</v>
      </c>
      <c r="L244" s="1073" t="s">
        <v>567</v>
      </c>
      <c r="M244" s="1077" t="s">
        <v>606</v>
      </c>
      <c r="N244" s="1083" t="s">
        <v>2025</v>
      </c>
    </row>
    <row r="245" spans="1:14" ht="15" customHeight="1" x14ac:dyDescent="0.2">
      <c r="A245" s="1077" t="s">
        <v>578</v>
      </c>
      <c r="B245" s="1077" t="s">
        <v>606</v>
      </c>
      <c r="C245" s="1071" t="s">
        <v>1570</v>
      </c>
      <c r="D245" s="1095" t="s">
        <v>642</v>
      </c>
      <c r="E245" s="1075">
        <v>0</v>
      </c>
      <c r="F245" s="1098">
        <v>1000000</v>
      </c>
      <c r="G245" s="1095" t="s">
        <v>399</v>
      </c>
      <c r="H245" s="1095" t="s">
        <v>208</v>
      </c>
      <c r="I245" s="1095" t="s">
        <v>112</v>
      </c>
      <c r="J245" s="1079">
        <v>9</v>
      </c>
      <c r="K245" s="1079">
        <v>3</v>
      </c>
      <c r="L245" s="1073" t="s">
        <v>567</v>
      </c>
      <c r="M245" s="1077" t="s">
        <v>606</v>
      </c>
      <c r="N245" s="1083" t="s">
        <v>2026</v>
      </c>
    </row>
    <row r="246" spans="1:14" ht="15" customHeight="1" x14ac:dyDescent="0.2">
      <c r="A246" s="1077" t="s">
        <v>578</v>
      </c>
      <c r="B246" s="1077" t="s">
        <v>606</v>
      </c>
      <c r="C246" s="1071" t="s">
        <v>1571</v>
      </c>
      <c r="D246" s="1095" t="s">
        <v>713</v>
      </c>
      <c r="E246" s="1075">
        <v>0</v>
      </c>
      <c r="F246" s="1098">
        <v>14</v>
      </c>
      <c r="G246" s="1103" t="s">
        <v>244</v>
      </c>
      <c r="H246" s="1095" t="s">
        <v>208</v>
      </c>
      <c r="I246" s="1095" t="s">
        <v>112</v>
      </c>
      <c r="J246" s="1079">
        <v>9</v>
      </c>
      <c r="K246" s="1079">
        <v>3</v>
      </c>
      <c r="L246" s="1073" t="s">
        <v>567</v>
      </c>
      <c r="M246" s="1077" t="s">
        <v>606</v>
      </c>
      <c r="N246" s="1083" t="s">
        <v>2027</v>
      </c>
    </row>
    <row r="247" spans="1:14" s="1071" customFormat="1" ht="15" customHeight="1" x14ac:dyDescent="0.2">
      <c r="A247" s="1077" t="s">
        <v>578</v>
      </c>
      <c r="B247" s="1077" t="s">
        <v>606</v>
      </c>
      <c r="C247" s="1071" t="s">
        <v>1572</v>
      </c>
      <c r="D247" s="1095" t="s">
        <v>714</v>
      </c>
      <c r="E247" s="1075">
        <v>0</v>
      </c>
      <c r="F247" s="1098">
        <v>1000</v>
      </c>
      <c r="G247" s="1095" t="s">
        <v>387</v>
      </c>
      <c r="H247" s="1095" t="s">
        <v>208</v>
      </c>
      <c r="I247" s="1095" t="s">
        <v>112</v>
      </c>
      <c r="J247" s="1079">
        <v>9</v>
      </c>
      <c r="K247" s="1079">
        <v>3</v>
      </c>
      <c r="L247" s="1073" t="s">
        <v>567</v>
      </c>
      <c r="M247" s="1077" t="s">
        <v>606</v>
      </c>
      <c r="N247" s="1083" t="s">
        <v>2028</v>
      </c>
    </row>
    <row r="248" spans="1:14" ht="15" customHeight="1" x14ac:dyDescent="0.2">
      <c r="A248" s="1077" t="s">
        <v>578</v>
      </c>
      <c r="B248" s="1077" t="s">
        <v>606</v>
      </c>
      <c r="C248" s="1071" t="s">
        <v>1573</v>
      </c>
      <c r="D248" s="1095" t="s">
        <v>715</v>
      </c>
      <c r="E248" s="1075">
        <v>0</v>
      </c>
      <c r="F248" s="1098">
        <v>1000</v>
      </c>
      <c r="G248" s="1095" t="s">
        <v>387</v>
      </c>
      <c r="H248" s="1095" t="s">
        <v>208</v>
      </c>
      <c r="I248" s="1095" t="s">
        <v>112</v>
      </c>
      <c r="J248" s="1079">
        <v>9</v>
      </c>
      <c r="K248" s="1079">
        <v>3</v>
      </c>
      <c r="L248" s="1073" t="s">
        <v>567</v>
      </c>
      <c r="M248" s="1077" t="s">
        <v>606</v>
      </c>
      <c r="N248" s="1083" t="s">
        <v>2029</v>
      </c>
    </row>
    <row r="249" spans="1:14" ht="15" customHeight="1" x14ac:dyDescent="0.2">
      <c r="A249" s="1077" t="s">
        <v>578</v>
      </c>
      <c r="B249" s="1077" t="s">
        <v>606</v>
      </c>
      <c r="C249" s="1071" t="s">
        <v>1574</v>
      </c>
      <c r="D249" s="1095" t="s">
        <v>716</v>
      </c>
      <c r="E249" s="1075">
        <v>0</v>
      </c>
      <c r="F249" s="1098">
        <v>1000</v>
      </c>
      <c r="G249" s="1095" t="s">
        <v>387</v>
      </c>
      <c r="H249" s="1095" t="s">
        <v>208</v>
      </c>
      <c r="I249" s="1095" t="s">
        <v>112</v>
      </c>
      <c r="J249" s="1079">
        <v>9</v>
      </c>
      <c r="K249" s="1079">
        <v>3</v>
      </c>
      <c r="L249" s="1073" t="s">
        <v>567</v>
      </c>
      <c r="M249" s="1077" t="s">
        <v>606</v>
      </c>
      <c r="N249" s="1083" t="s">
        <v>2030</v>
      </c>
    </row>
    <row r="250" spans="1:14" ht="15" customHeight="1" x14ac:dyDescent="0.2">
      <c r="A250" s="1077" t="s">
        <v>578</v>
      </c>
      <c r="B250" s="1077" t="s">
        <v>606</v>
      </c>
      <c r="C250" s="1071" t="s">
        <v>1575</v>
      </c>
      <c r="D250" s="1095" t="s">
        <v>717</v>
      </c>
      <c r="E250" s="1075">
        <v>0</v>
      </c>
      <c r="F250" s="1098">
        <v>1000</v>
      </c>
      <c r="G250" s="1095" t="s">
        <v>387</v>
      </c>
      <c r="H250" s="1095" t="s">
        <v>208</v>
      </c>
      <c r="I250" s="1095" t="s">
        <v>112</v>
      </c>
      <c r="J250" s="1079">
        <v>9</v>
      </c>
      <c r="K250" s="1079">
        <v>3</v>
      </c>
      <c r="L250" s="1073" t="s">
        <v>567</v>
      </c>
      <c r="M250" s="1077" t="s">
        <v>606</v>
      </c>
      <c r="N250" s="1083" t="s">
        <v>2031</v>
      </c>
    </row>
    <row r="251" spans="1:14" ht="15" customHeight="1" x14ac:dyDescent="0.2">
      <c r="A251" s="1077" t="s">
        <v>578</v>
      </c>
      <c r="B251" s="1077" t="s">
        <v>606</v>
      </c>
      <c r="C251" s="1071" t="s">
        <v>1576</v>
      </c>
      <c r="D251" s="1095" t="s">
        <v>718</v>
      </c>
      <c r="E251" s="1075">
        <v>0</v>
      </c>
      <c r="F251" s="1098">
        <v>1000</v>
      </c>
      <c r="G251" s="1095" t="s">
        <v>387</v>
      </c>
      <c r="H251" s="1095" t="s">
        <v>208</v>
      </c>
      <c r="I251" s="1095" t="s">
        <v>112</v>
      </c>
      <c r="J251" s="1079">
        <v>9</v>
      </c>
      <c r="K251" s="1079">
        <v>3</v>
      </c>
      <c r="L251" s="1073" t="s">
        <v>567</v>
      </c>
      <c r="M251" s="1077" t="s">
        <v>606</v>
      </c>
      <c r="N251" s="1083" t="s">
        <v>2032</v>
      </c>
    </row>
    <row r="252" spans="1:14" ht="15" customHeight="1" x14ac:dyDescent="0.2">
      <c r="A252" s="1077" t="s">
        <v>578</v>
      </c>
      <c r="B252" s="1077" t="s">
        <v>606</v>
      </c>
      <c r="C252" s="1071" t="s">
        <v>1577</v>
      </c>
      <c r="D252" s="1095" t="s">
        <v>719</v>
      </c>
      <c r="E252" s="1075">
        <v>0</v>
      </c>
      <c r="F252" s="1098"/>
      <c r="G252" s="1095" t="s">
        <v>47</v>
      </c>
      <c r="H252" s="1095" t="s">
        <v>208</v>
      </c>
      <c r="I252" s="1095" t="s">
        <v>112</v>
      </c>
      <c r="J252" s="1079">
        <v>9</v>
      </c>
      <c r="K252" s="1079">
        <v>3</v>
      </c>
      <c r="L252" s="1073" t="s">
        <v>567</v>
      </c>
      <c r="M252" s="1077" t="s">
        <v>606</v>
      </c>
      <c r="N252" s="1083" t="s">
        <v>2033</v>
      </c>
    </row>
    <row r="253" spans="1:14" s="1071" customFormat="1" ht="15" customHeight="1" x14ac:dyDescent="0.2">
      <c r="A253" s="1077" t="s">
        <v>578</v>
      </c>
      <c r="B253" s="1077" t="s">
        <v>606</v>
      </c>
      <c r="C253" s="1071" t="s">
        <v>1578</v>
      </c>
      <c r="D253" s="1095" t="s">
        <v>720</v>
      </c>
      <c r="E253" s="1075">
        <v>0</v>
      </c>
      <c r="F253" s="1098">
        <v>1</v>
      </c>
      <c r="G253" s="1095" t="s">
        <v>310</v>
      </c>
      <c r="H253" s="1095" t="s">
        <v>208</v>
      </c>
      <c r="I253" s="1095" t="s">
        <v>112</v>
      </c>
      <c r="J253" s="1079">
        <v>9</v>
      </c>
      <c r="K253" s="1079">
        <v>3</v>
      </c>
      <c r="L253" s="1073" t="s">
        <v>567</v>
      </c>
      <c r="M253" s="1077" t="s">
        <v>606</v>
      </c>
      <c r="N253" s="1083" t="s">
        <v>2034</v>
      </c>
    </row>
    <row r="254" spans="1:14" s="1071" customFormat="1" ht="15" customHeight="1" x14ac:dyDescent="0.2">
      <c r="A254" s="1077" t="s">
        <v>578</v>
      </c>
      <c r="B254" s="1077" t="s">
        <v>606</v>
      </c>
      <c r="C254" s="1071" t="s">
        <v>1579</v>
      </c>
      <c r="D254" s="1095" t="s">
        <v>721</v>
      </c>
      <c r="E254" s="1075">
        <v>0</v>
      </c>
      <c r="F254" s="1098">
        <v>1000000</v>
      </c>
      <c r="G254" s="1095" t="s">
        <v>1018</v>
      </c>
      <c r="H254" s="1095" t="s">
        <v>208</v>
      </c>
      <c r="I254" s="1095" t="s">
        <v>112</v>
      </c>
      <c r="J254" s="1079">
        <v>9</v>
      </c>
      <c r="K254" s="1079">
        <v>3</v>
      </c>
      <c r="L254" s="1073" t="s">
        <v>567</v>
      </c>
      <c r="M254" s="1077" t="s">
        <v>606</v>
      </c>
      <c r="N254" s="1083" t="s">
        <v>2035</v>
      </c>
    </row>
    <row r="255" spans="1:14" s="1071" customFormat="1" ht="15" customHeight="1" x14ac:dyDescent="0.2">
      <c r="A255" s="1077" t="s">
        <v>578</v>
      </c>
      <c r="B255" s="1077" t="s">
        <v>606</v>
      </c>
      <c r="C255" s="1071" t="s">
        <v>1779</v>
      </c>
      <c r="D255" s="1095" t="s">
        <v>722</v>
      </c>
      <c r="E255" s="1075">
        <v>0</v>
      </c>
      <c r="F255" s="1098">
        <v>1000000</v>
      </c>
      <c r="G255" s="1095" t="s">
        <v>635</v>
      </c>
      <c r="H255" s="1095" t="s">
        <v>208</v>
      </c>
      <c r="I255" s="1095" t="s">
        <v>112</v>
      </c>
      <c r="J255" s="1079">
        <v>9</v>
      </c>
      <c r="K255" s="1079">
        <v>3</v>
      </c>
      <c r="L255" s="1073" t="s">
        <v>567</v>
      </c>
      <c r="M255" s="1077" t="s">
        <v>606</v>
      </c>
      <c r="N255" s="1083" t="s">
        <v>2036</v>
      </c>
    </row>
    <row r="256" spans="1:14" ht="15" customHeight="1" x14ac:dyDescent="0.2">
      <c r="A256" s="1077" t="s">
        <v>578</v>
      </c>
      <c r="B256" s="1077" t="s">
        <v>606</v>
      </c>
      <c r="C256" s="1071" t="s">
        <v>1780</v>
      </c>
      <c r="D256" s="1095" t="s">
        <v>723</v>
      </c>
      <c r="E256" s="1075">
        <v>0</v>
      </c>
      <c r="F256" s="1098">
        <v>1000000</v>
      </c>
      <c r="G256" s="1095" t="s">
        <v>635</v>
      </c>
      <c r="H256" s="1095" t="s">
        <v>208</v>
      </c>
      <c r="I256" s="1095" t="s">
        <v>112</v>
      </c>
      <c r="J256" s="1079">
        <v>9</v>
      </c>
      <c r="K256" s="1079">
        <v>3</v>
      </c>
      <c r="L256" s="1073" t="s">
        <v>567</v>
      </c>
      <c r="M256" s="1077" t="s">
        <v>606</v>
      </c>
      <c r="N256" s="1083" t="s">
        <v>2037</v>
      </c>
    </row>
    <row r="257" spans="1:14" ht="15" customHeight="1" x14ac:dyDescent="0.2">
      <c r="A257" s="1077" t="s">
        <v>578</v>
      </c>
      <c r="B257" s="1077" t="s">
        <v>606</v>
      </c>
      <c r="C257" s="1071" t="s">
        <v>1580</v>
      </c>
      <c r="D257" s="1095" t="s">
        <v>724</v>
      </c>
      <c r="E257" s="1075">
        <v>0</v>
      </c>
      <c r="F257" s="1098">
        <v>1000000</v>
      </c>
      <c r="G257" s="1095" t="s">
        <v>1019</v>
      </c>
      <c r="H257" s="1095" t="s">
        <v>208</v>
      </c>
      <c r="I257" s="1095" t="s">
        <v>112</v>
      </c>
      <c r="J257" s="1079">
        <v>9</v>
      </c>
      <c r="K257" s="1079">
        <v>3</v>
      </c>
      <c r="L257" s="1073" t="s">
        <v>567</v>
      </c>
      <c r="M257" s="1077" t="s">
        <v>606</v>
      </c>
      <c r="N257" s="1083" t="s">
        <v>2038</v>
      </c>
    </row>
    <row r="258" spans="1:14" ht="15" customHeight="1" x14ac:dyDescent="0.2">
      <c r="A258" s="1077" t="s">
        <v>578</v>
      </c>
      <c r="B258" s="1077" t="s">
        <v>606</v>
      </c>
      <c r="C258" s="1071" t="s">
        <v>1581</v>
      </c>
      <c r="D258" s="1095" t="s">
        <v>725</v>
      </c>
      <c r="E258" s="1075">
        <v>0</v>
      </c>
      <c r="F258" s="1098">
        <v>1000000</v>
      </c>
      <c r="G258" s="1095" t="s">
        <v>1020</v>
      </c>
      <c r="H258" s="1095" t="s">
        <v>208</v>
      </c>
      <c r="I258" s="1095" t="s">
        <v>112</v>
      </c>
      <c r="J258" s="1079">
        <v>9</v>
      </c>
      <c r="K258" s="1079">
        <v>3</v>
      </c>
      <c r="L258" s="1073" t="s">
        <v>567</v>
      </c>
      <c r="M258" s="1077" t="s">
        <v>606</v>
      </c>
      <c r="N258" s="1083" t="s">
        <v>2039</v>
      </c>
    </row>
    <row r="259" spans="1:14" ht="15" customHeight="1" x14ac:dyDescent="0.2">
      <c r="A259" s="1077" t="s">
        <v>578</v>
      </c>
      <c r="B259" s="1077" t="s">
        <v>606</v>
      </c>
      <c r="C259" s="1071" t="s">
        <v>1582</v>
      </c>
      <c r="D259" s="1095" t="s">
        <v>726</v>
      </c>
      <c r="E259" s="1075">
        <v>0</v>
      </c>
      <c r="F259" s="1098">
        <v>1000000</v>
      </c>
      <c r="G259" s="1095" t="s">
        <v>1021</v>
      </c>
      <c r="H259" s="1095" t="s">
        <v>208</v>
      </c>
      <c r="I259" s="1095" t="s">
        <v>112</v>
      </c>
      <c r="J259" s="1079">
        <v>9</v>
      </c>
      <c r="K259" s="1079">
        <v>3</v>
      </c>
      <c r="L259" s="1073" t="s">
        <v>567</v>
      </c>
      <c r="M259" s="1077" t="s">
        <v>606</v>
      </c>
      <c r="N259" s="1083" t="s">
        <v>2040</v>
      </c>
    </row>
    <row r="260" spans="1:14" ht="15" customHeight="1" x14ac:dyDescent="0.2">
      <c r="A260" s="1077" t="s">
        <v>578</v>
      </c>
      <c r="B260" s="1077" t="s">
        <v>606</v>
      </c>
      <c r="C260" s="1071" t="s">
        <v>1583</v>
      </c>
      <c r="D260" s="1095" t="s">
        <v>727</v>
      </c>
      <c r="E260" s="1075">
        <v>0</v>
      </c>
      <c r="F260" s="1098">
        <v>1000000</v>
      </c>
      <c r="G260" s="1095" t="s">
        <v>1022</v>
      </c>
      <c r="H260" s="1095" t="s">
        <v>208</v>
      </c>
      <c r="I260" s="1095" t="s">
        <v>112</v>
      </c>
      <c r="J260" s="1079">
        <v>9</v>
      </c>
      <c r="K260" s="1079">
        <v>3</v>
      </c>
      <c r="L260" s="1073" t="s">
        <v>567</v>
      </c>
      <c r="M260" s="1077" t="s">
        <v>606</v>
      </c>
      <c r="N260" s="1083" t="s">
        <v>2041</v>
      </c>
    </row>
    <row r="261" spans="1:14" ht="15" customHeight="1" x14ac:dyDescent="0.2">
      <c r="A261" s="1077" t="s">
        <v>578</v>
      </c>
      <c r="B261" s="1077" t="s">
        <v>606</v>
      </c>
      <c r="C261" s="1071" t="s">
        <v>1584</v>
      </c>
      <c r="D261" s="1095" t="s">
        <v>728</v>
      </c>
      <c r="E261" s="1075">
        <v>0</v>
      </c>
      <c r="F261" s="1098">
        <v>1000000</v>
      </c>
      <c r="G261" s="1095" t="s">
        <v>1012</v>
      </c>
      <c r="H261" s="1095" t="s">
        <v>208</v>
      </c>
      <c r="I261" s="1095" t="s">
        <v>112</v>
      </c>
      <c r="J261" s="1079">
        <v>9</v>
      </c>
      <c r="K261" s="1079">
        <v>3</v>
      </c>
      <c r="L261" s="1073" t="s">
        <v>567</v>
      </c>
      <c r="M261" s="1077" t="s">
        <v>606</v>
      </c>
      <c r="N261" s="1083" t="s">
        <v>2042</v>
      </c>
    </row>
    <row r="262" spans="1:14" ht="15" customHeight="1" x14ac:dyDescent="0.2">
      <c r="A262" s="1077" t="s">
        <v>578</v>
      </c>
      <c r="B262" s="1077" t="s">
        <v>606</v>
      </c>
      <c r="C262" s="1071" t="s">
        <v>1586</v>
      </c>
      <c r="D262" s="1095" t="s">
        <v>729</v>
      </c>
      <c r="E262" s="1075">
        <v>0</v>
      </c>
      <c r="F262" s="1098">
        <v>1000000</v>
      </c>
      <c r="G262" s="1095" t="s">
        <v>1014</v>
      </c>
      <c r="H262" s="1095" t="s">
        <v>208</v>
      </c>
      <c r="I262" s="1095" t="s">
        <v>112</v>
      </c>
      <c r="J262" s="1079">
        <v>9</v>
      </c>
      <c r="K262" s="1079">
        <v>3</v>
      </c>
      <c r="L262" s="1073" t="s">
        <v>567</v>
      </c>
      <c r="M262" s="1077" t="s">
        <v>606</v>
      </c>
      <c r="N262" s="1083" t="s">
        <v>2043</v>
      </c>
    </row>
    <row r="263" spans="1:14" ht="15" customHeight="1" x14ac:dyDescent="0.2">
      <c r="A263" s="1077" t="s">
        <v>578</v>
      </c>
      <c r="B263" s="1077" t="s">
        <v>606</v>
      </c>
      <c r="C263" s="1071" t="s">
        <v>1587</v>
      </c>
      <c r="D263" s="1095" t="s">
        <v>730</v>
      </c>
      <c r="E263" s="1075">
        <v>0</v>
      </c>
      <c r="F263" s="1098">
        <v>1000000</v>
      </c>
      <c r="G263" s="1095" t="s">
        <v>1015</v>
      </c>
      <c r="H263" s="1095" t="s">
        <v>208</v>
      </c>
      <c r="I263" s="1095" t="s">
        <v>112</v>
      </c>
      <c r="J263" s="1079">
        <v>9</v>
      </c>
      <c r="K263" s="1079">
        <v>3</v>
      </c>
      <c r="L263" s="1073" t="s">
        <v>567</v>
      </c>
      <c r="M263" s="1077" t="s">
        <v>606</v>
      </c>
      <c r="N263" s="1083" t="s">
        <v>2044</v>
      </c>
    </row>
    <row r="264" spans="1:14" ht="15" customHeight="1" x14ac:dyDescent="0.2">
      <c r="A264" s="1077" t="s">
        <v>578</v>
      </c>
      <c r="B264" s="1077" t="s">
        <v>606</v>
      </c>
      <c r="C264" s="1071" t="s">
        <v>1588</v>
      </c>
      <c r="D264" s="1095" t="s">
        <v>731</v>
      </c>
      <c r="E264" s="1075">
        <v>0</v>
      </c>
      <c r="F264" s="1098">
        <v>1000000</v>
      </c>
      <c r="G264" s="1095" t="s">
        <v>1017</v>
      </c>
      <c r="H264" s="1095" t="s">
        <v>208</v>
      </c>
      <c r="I264" s="1095" t="s">
        <v>112</v>
      </c>
      <c r="J264" s="1079">
        <v>9</v>
      </c>
      <c r="K264" s="1079">
        <v>3</v>
      </c>
      <c r="L264" s="1073" t="s">
        <v>567</v>
      </c>
      <c r="M264" s="1077" t="s">
        <v>606</v>
      </c>
      <c r="N264" s="1083" t="s">
        <v>2045</v>
      </c>
    </row>
    <row r="265" spans="1:14" ht="15" customHeight="1" x14ac:dyDescent="0.2">
      <c r="A265" s="1077" t="s">
        <v>578</v>
      </c>
      <c r="B265" s="1077" t="s">
        <v>606</v>
      </c>
      <c r="C265" s="1071" t="s">
        <v>1589</v>
      </c>
      <c r="D265" s="1095" t="s">
        <v>1038</v>
      </c>
      <c r="E265" s="1075">
        <v>0</v>
      </c>
      <c r="F265" s="1098">
        <v>1000</v>
      </c>
      <c r="G265" s="1095" t="s">
        <v>387</v>
      </c>
      <c r="H265" s="1095" t="s">
        <v>208</v>
      </c>
      <c r="I265" s="1095" t="s">
        <v>112</v>
      </c>
      <c r="J265" s="1079">
        <v>9</v>
      </c>
      <c r="K265" s="1079">
        <v>3</v>
      </c>
      <c r="L265" s="1073" t="s">
        <v>567</v>
      </c>
      <c r="M265" s="1077" t="s">
        <v>606</v>
      </c>
      <c r="N265" s="1083" t="s">
        <v>2046</v>
      </c>
    </row>
    <row r="266" spans="1:14" ht="15" customHeight="1" x14ac:dyDescent="0.2">
      <c r="A266" s="1077" t="s">
        <v>578</v>
      </c>
      <c r="B266" s="1077" t="s">
        <v>606</v>
      </c>
      <c r="C266" s="1071" t="s">
        <v>1590</v>
      </c>
      <c r="D266" s="1095" t="s">
        <v>732</v>
      </c>
      <c r="E266" s="1075">
        <v>0</v>
      </c>
      <c r="F266" s="1098">
        <v>1000000</v>
      </c>
      <c r="G266" s="1095" t="s">
        <v>399</v>
      </c>
      <c r="H266" s="1095" t="s">
        <v>208</v>
      </c>
      <c r="I266" s="1095" t="s">
        <v>112</v>
      </c>
      <c r="J266" s="1079">
        <v>9</v>
      </c>
      <c r="K266" s="1079">
        <v>3</v>
      </c>
      <c r="L266" s="1073" t="s">
        <v>567</v>
      </c>
      <c r="M266" s="1077" t="s">
        <v>606</v>
      </c>
      <c r="N266" s="1083" t="s">
        <v>2047</v>
      </c>
    </row>
    <row r="267" spans="1:14" ht="15" customHeight="1" x14ac:dyDescent="0.2">
      <c r="A267" s="1089" t="s">
        <v>567</v>
      </c>
      <c r="B267" s="1089" t="s">
        <v>567</v>
      </c>
      <c r="C267" s="1089" t="s">
        <v>567</v>
      </c>
      <c r="D267" s="1089" t="s">
        <v>567</v>
      </c>
      <c r="E267" s="1089" t="s">
        <v>567</v>
      </c>
      <c r="F267" s="1089" t="s">
        <v>567</v>
      </c>
      <c r="G267" s="1089" t="s">
        <v>567</v>
      </c>
      <c r="H267" s="1089" t="s">
        <v>567</v>
      </c>
      <c r="I267" s="1089" t="s">
        <v>567</v>
      </c>
      <c r="J267" s="1081" t="s">
        <v>567</v>
      </c>
      <c r="K267" s="1081" t="s">
        <v>567</v>
      </c>
      <c r="L267" s="1081" t="s">
        <v>567</v>
      </c>
      <c r="M267" s="1089" t="s">
        <v>567</v>
      </c>
      <c r="N267" s="1089" t="s">
        <v>567</v>
      </c>
    </row>
    <row r="268" spans="1:14" ht="15" customHeight="1" x14ac:dyDescent="0.2">
      <c r="A268" s="1077" t="s">
        <v>578</v>
      </c>
      <c r="B268" s="1077" t="s">
        <v>607</v>
      </c>
      <c r="C268" s="1071" t="s">
        <v>1495</v>
      </c>
      <c r="D268" s="1095" t="s">
        <v>574</v>
      </c>
      <c r="E268" s="1083" t="s">
        <v>561</v>
      </c>
      <c r="F268" s="1083" t="s">
        <v>562</v>
      </c>
      <c r="G268" s="1083" t="s">
        <v>196</v>
      </c>
      <c r="H268" s="1095" t="s">
        <v>206</v>
      </c>
      <c r="I268" s="1095" t="s">
        <v>619</v>
      </c>
      <c r="J268" s="1073" t="s">
        <v>567</v>
      </c>
      <c r="K268" s="1073" t="s">
        <v>567</v>
      </c>
      <c r="L268" s="1079">
        <v>63999</v>
      </c>
      <c r="M268" s="1077" t="s">
        <v>607</v>
      </c>
      <c r="N268" s="1083" t="s">
        <v>154</v>
      </c>
    </row>
    <row r="269" spans="1:14" ht="15" customHeight="1" x14ac:dyDescent="0.2">
      <c r="A269" s="1077" t="s">
        <v>578</v>
      </c>
      <c r="B269" s="1077" t="s">
        <v>607</v>
      </c>
      <c r="C269" s="1071" t="s">
        <v>35</v>
      </c>
      <c r="D269" s="1095" t="s">
        <v>487</v>
      </c>
      <c r="E269" s="1097">
        <v>1</v>
      </c>
      <c r="F269" s="1097">
        <f ca="1">TODAY()</f>
        <v>42886</v>
      </c>
      <c r="G269" s="1095" t="s">
        <v>116</v>
      </c>
      <c r="H269" s="1095" t="s">
        <v>206</v>
      </c>
      <c r="I269" s="1095" t="s">
        <v>565</v>
      </c>
      <c r="J269" s="1073" t="s">
        <v>567</v>
      </c>
      <c r="K269" s="1073" t="s">
        <v>567</v>
      </c>
      <c r="L269" s="1073" t="s">
        <v>567</v>
      </c>
      <c r="M269" s="1077" t="s">
        <v>607</v>
      </c>
      <c r="N269" s="1083" t="s">
        <v>35</v>
      </c>
    </row>
    <row r="270" spans="1:14" ht="15" customHeight="1" x14ac:dyDescent="0.2">
      <c r="A270" s="1077" t="s">
        <v>578</v>
      </c>
      <c r="B270" s="1077" t="s">
        <v>607</v>
      </c>
      <c r="C270" s="1071" t="s">
        <v>1456</v>
      </c>
      <c r="D270" s="1095" t="s">
        <v>229</v>
      </c>
      <c r="E270" s="1083" t="s">
        <v>561</v>
      </c>
      <c r="F270" s="1083" t="s">
        <v>562</v>
      </c>
      <c r="G270" s="1083" t="s">
        <v>196</v>
      </c>
      <c r="H270" s="1095" t="s">
        <v>208</v>
      </c>
      <c r="I270" s="1095" t="s">
        <v>619</v>
      </c>
      <c r="J270" s="1073" t="s">
        <v>567</v>
      </c>
      <c r="K270" s="1073" t="s">
        <v>567</v>
      </c>
      <c r="L270" s="1079">
        <v>63999</v>
      </c>
      <c r="M270" s="1077" t="s">
        <v>607</v>
      </c>
      <c r="N270" s="1083" t="s">
        <v>152</v>
      </c>
    </row>
    <row r="271" spans="1:14" ht="15" customHeight="1" x14ac:dyDescent="0.2">
      <c r="A271" s="1077" t="s">
        <v>578</v>
      </c>
      <c r="B271" s="1077" t="s">
        <v>607</v>
      </c>
      <c r="C271" s="1071" t="s">
        <v>1530</v>
      </c>
      <c r="D271" s="1095" t="s">
        <v>296</v>
      </c>
      <c r="E271" s="1075">
        <v>0</v>
      </c>
      <c r="F271" s="1098">
        <v>200</v>
      </c>
      <c r="G271" s="1095" t="s">
        <v>46</v>
      </c>
      <c r="H271" s="1095" t="s">
        <v>208</v>
      </c>
      <c r="I271" s="1095" t="s">
        <v>618</v>
      </c>
      <c r="J271" s="1073" t="s">
        <v>567</v>
      </c>
      <c r="K271" s="1073" t="s">
        <v>567</v>
      </c>
      <c r="L271" s="1073" t="s">
        <v>567</v>
      </c>
      <c r="M271" s="1077" t="s">
        <v>607</v>
      </c>
      <c r="N271" s="1083" t="s">
        <v>1985</v>
      </c>
    </row>
    <row r="272" spans="1:14" ht="15" customHeight="1" x14ac:dyDescent="0.2">
      <c r="A272" s="1077" t="s">
        <v>578</v>
      </c>
      <c r="B272" s="1077" t="s">
        <v>607</v>
      </c>
      <c r="C272" s="1071" t="s">
        <v>1531</v>
      </c>
      <c r="D272" s="1095" t="s">
        <v>297</v>
      </c>
      <c r="E272" s="1075">
        <v>0</v>
      </c>
      <c r="F272" s="1098">
        <v>200</v>
      </c>
      <c r="G272" s="1095" t="s">
        <v>46</v>
      </c>
      <c r="H272" s="1095" t="s">
        <v>208</v>
      </c>
      <c r="I272" s="1095" t="s">
        <v>618</v>
      </c>
      <c r="J272" s="1073" t="s">
        <v>567</v>
      </c>
      <c r="K272" s="1073" t="s">
        <v>567</v>
      </c>
      <c r="L272" s="1073" t="s">
        <v>567</v>
      </c>
      <c r="M272" s="1077" t="s">
        <v>607</v>
      </c>
      <c r="N272" s="1083" t="s">
        <v>1986</v>
      </c>
    </row>
    <row r="273" spans="1:14" ht="15" customHeight="1" x14ac:dyDescent="0.2">
      <c r="A273" s="1077" t="s">
        <v>578</v>
      </c>
      <c r="B273" s="1077" t="s">
        <v>607</v>
      </c>
      <c r="C273" s="1071" t="s">
        <v>1591</v>
      </c>
      <c r="D273" s="1083" t="s">
        <v>643</v>
      </c>
      <c r="E273" s="1075">
        <v>0</v>
      </c>
      <c r="F273" s="1098"/>
      <c r="G273" s="1095" t="s">
        <v>582</v>
      </c>
      <c r="H273" s="1095" t="s">
        <v>208</v>
      </c>
      <c r="I273" s="1095" t="s">
        <v>112</v>
      </c>
      <c r="J273" s="1079">
        <v>9</v>
      </c>
      <c r="K273" s="1079">
        <v>3</v>
      </c>
      <c r="L273" s="1073" t="s">
        <v>567</v>
      </c>
      <c r="M273" s="1077" t="s">
        <v>607</v>
      </c>
      <c r="N273" s="1083" t="s">
        <v>2048</v>
      </c>
    </row>
    <row r="274" spans="1:14" ht="15" customHeight="1" x14ac:dyDescent="0.2">
      <c r="A274" s="1077" t="s">
        <v>578</v>
      </c>
      <c r="B274" s="1077" t="s">
        <v>607</v>
      </c>
      <c r="C274" s="1071" t="s">
        <v>1592</v>
      </c>
      <c r="D274" s="1083" t="s">
        <v>644</v>
      </c>
      <c r="E274" s="1075">
        <v>0</v>
      </c>
      <c r="F274" s="1098"/>
      <c r="G274" s="1095" t="s">
        <v>582</v>
      </c>
      <c r="H274" s="1095" t="s">
        <v>208</v>
      </c>
      <c r="I274" s="1095" t="s">
        <v>112</v>
      </c>
      <c r="J274" s="1079">
        <v>9</v>
      </c>
      <c r="K274" s="1079">
        <v>3</v>
      </c>
      <c r="L274" s="1073" t="s">
        <v>567</v>
      </c>
      <c r="M274" s="1077" t="s">
        <v>607</v>
      </c>
      <c r="N274" s="1083" t="s">
        <v>2049</v>
      </c>
    </row>
    <row r="275" spans="1:14" ht="15" customHeight="1" x14ac:dyDescent="0.2">
      <c r="A275" s="1077" t="s">
        <v>578</v>
      </c>
      <c r="B275" s="1077" t="s">
        <v>607</v>
      </c>
      <c r="C275" s="1071" t="s">
        <v>1603</v>
      </c>
      <c r="D275" s="1083" t="s">
        <v>645</v>
      </c>
      <c r="E275" s="1075">
        <v>0</v>
      </c>
      <c r="F275" s="1098"/>
      <c r="G275" s="1095" t="s">
        <v>509</v>
      </c>
      <c r="H275" s="1095" t="s">
        <v>208</v>
      </c>
      <c r="I275" s="1095" t="s">
        <v>112</v>
      </c>
      <c r="J275" s="1079">
        <v>9</v>
      </c>
      <c r="K275" s="1079">
        <v>3</v>
      </c>
      <c r="L275" s="1073" t="s">
        <v>567</v>
      </c>
      <c r="M275" s="1077" t="s">
        <v>607</v>
      </c>
      <c r="N275" s="1083" t="s">
        <v>2050</v>
      </c>
    </row>
    <row r="276" spans="1:14" ht="15" customHeight="1" x14ac:dyDescent="0.2">
      <c r="A276" s="1077" t="s">
        <v>578</v>
      </c>
      <c r="B276" s="1077" t="s">
        <v>607</v>
      </c>
      <c r="C276" s="1071" t="s">
        <v>1593</v>
      </c>
      <c r="D276" s="1083" t="s">
        <v>646</v>
      </c>
      <c r="E276" s="1075">
        <v>0</v>
      </c>
      <c r="F276" s="1098"/>
      <c r="G276" s="1095" t="s">
        <v>508</v>
      </c>
      <c r="H276" s="1095" t="s">
        <v>208</v>
      </c>
      <c r="I276" s="1095" t="s">
        <v>112</v>
      </c>
      <c r="J276" s="1079">
        <v>9</v>
      </c>
      <c r="K276" s="1079">
        <v>3</v>
      </c>
      <c r="L276" s="1073" t="s">
        <v>567</v>
      </c>
      <c r="M276" s="1077" t="s">
        <v>607</v>
      </c>
      <c r="N276" s="1083" t="s">
        <v>2051</v>
      </c>
    </row>
    <row r="277" spans="1:14" ht="15" customHeight="1" x14ac:dyDescent="0.2">
      <c r="A277" s="1077" t="s">
        <v>578</v>
      </c>
      <c r="B277" s="1077" t="s">
        <v>607</v>
      </c>
      <c r="C277" s="1071" t="s">
        <v>1594</v>
      </c>
      <c r="D277" s="1083" t="s">
        <v>647</v>
      </c>
      <c r="E277" s="1075">
        <v>0</v>
      </c>
      <c r="F277" s="1098"/>
      <c r="G277" s="1104" t="s">
        <v>2231</v>
      </c>
      <c r="H277" s="1095" t="s">
        <v>208</v>
      </c>
      <c r="I277" s="1095" t="s">
        <v>112</v>
      </c>
      <c r="J277" s="1079">
        <v>9</v>
      </c>
      <c r="K277" s="1079">
        <v>3</v>
      </c>
      <c r="L277" s="1073" t="s">
        <v>567</v>
      </c>
      <c r="M277" s="1077" t="s">
        <v>607</v>
      </c>
      <c r="N277" s="1083" t="s">
        <v>2052</v>
      </c>
    </row>
    <row r="278" spans="1:14" ht="15" customHeight="1" x14ac:dyDescent="0.2">
      <c r="A278" s="1077" t="s">
        <v>578</v>
      </c>
      <c r="B278" s="1077" t="s">
        <v>607</v>
      </c>
      <c r="C278" s="1071" t="s">
        <v>1595</v>
      </c>
      <c r="D278" s="1083" t="s">
        <v>648</v>
      </c>
      <c r="E278" s="1075">
        <v>0</v>
      </c>
      <c r="F278" s="1098"/>
      <c r="G278" s="1104" t="s">
        <v>387</v>
      </c>
      <c r="H278" s="1095" t="s">
        <v>208</v>
      </c>
      <c r="I278" s="1095" t="s">
        <v>112</v>
      </c>
      <c r="J278" s="1079">
        <v>9</v>
      </c>
      <c r="K278" s="1079">
        <v>3</v>
      </c>
      <c r="L278" s="1073" t="s">
        <v>567</v>
      </c>
      <c r="M278" s="1077" t="s">
        <v>607</v>
      </c>
      <c r="N278" s="1083" t="s">
        <v>2053</v>
      </c>
    </row>
    <row r="279" spans="1:14" ht="15" customHeight="1" x14ac:dyDescent="0.2">
      <c r="A279" s="1077" t="s">
        <v>578</v>
      </c>
      <c r="B279" s="1077" t="s">
        <v>607</v>
      </c>
      <c r="C279" s="1071" t="s">
        <v>480</v>
      </c>
      <c r="D279" s="1083" t="s">
        <v>649</v>
      </c>
      <c r="E279" s="1075" t="s">
        <v>140</v>
      </c>
      <c r="F279" s="1075" t="s">
        <v>141</v>
      </c>
      <c r="G279" s="1095" t="s">
        <v>196</v>
      </c>
      <c r="H279" s="1095" t="s">
        <v>208</v>
      </c>
      <c r="I279" s="1095" t="s">
        <v>568</v>
      </c>
      <c r="J279" s="1073" t="s">
        <v>567</v>
      </c>
      <c r="K279" s="1073" t="s">
        <v>567</v>
      </c>
      <c r="L279" s="1073" t="s">
        <v>567</v>
      </c>
      <c r="M279" s="1077" t="s">
        <v>607</v>
      </c>
      <c r="N279" s="1083" t="s">
        <v>480</v>
      </c>
    </row>
    <row r="280" spans="1:14" ht="15" customHeight="1" x14ac:dyDescent="0.2">
      <c r="A280" s="1077" t="s">
        <v>578</v>
      </c>
      <c r="B280" s="1077" t="s">
        <v>607</v>
      </c>
      <c r="C280" s="1071" t="s">
        <v>795</v>
      </c>
      <c r="D280" s="1083" t="s">
        <v>1045</v>
      </c>
      <c r="E280" s="1075" t="s">
        <v>140</v>
      </c>
      <c r="F280" s="1075" t="s">
        <v>141</v>
      </c>
      <c r="G280" s="1095" t="s">
        <v>196</v>
      </c>
      <c r="H280" s="1095" t="s">
        <v>208</v>
      </c>
      <c r="I280" s="1095" t="s">
        <v>568</v>
      </c>
      <c r="J280" s="1073" t="s">
        <v>567</v>
      </c>
      <c r="K280" s="1073" t="s">
        <v>567</v>
      </c>
      <c r="L280" s="1073" t="s">
        <v>567</v>
      </c>
      <c r="M280" s="1077" t="s">
        <v>607</v>
      </c>
      <c r="N280" s="1083" t="s">
        <v>795</v>
      </c>
    </row>
    <row r="281" spans="1:14" ht="15" customHeight="1" x14ac:dyDescent="0.2">
      <c r="A281" s="1077" t="s">
        <v>578</v>
      </c>
      <c r="B281" s="1077" t="s">
        <v>607</v>
      </c>
      <c r="C281" s="1071" t="s">
        <v>481</v>
      </c>
      <c r="D281" s="1083" t="s">
        <v>650</v>
      </c>
      <c r="E281" s="1075" t="s">
        <v>140</v>
      </c>
      <c r="F281" s="1075" t="s">
        <v>141</v>
      </c>
      <c r="G281" s="1095" t="s">
        <v>196</v>
      </c>
      <c r="H281" s="1095" t="s">
        <v>208</v>
      </c>
      <c r="I281" s="1095" t="s">
        <v>568</v>
      </c>
      <c r="J281" s="1073" t="s">
        <v>567</v>
      </c>
      <c r="K281" s="1073" t="s">
        <v>567</v>
      </c>
      <c r="L281" s="1073" t="s">
        <v>567</v>
      </c>
      <c r="M281" s="1077" t="s">
        <v>607</v>
      </c>
      <c r="N281" s="1083" t="s">
        <v>481</v>
      </c>
    </row>
    <row r="282" spans="1:14" ht="15" customHeight="1" x14ac:dyDescent="0.2">
      <c r="A282" s="1077" t="s">
        <v>578</v>
      </c>
      <c r="B282" s="1077" t="s">
        <v>607</v>
      </c>
      <c r="C282" s="1071" t="s">
        <v>1596</v>
      </c>
      <c r="D282" s="1083" t="s">
        <v>651</v>
      </c>
      <c r="E282" s="1075">
        <v>0</v>
      </c>
      <c r="F282" s="1098">
        <v>1000</v>
      </c>
      <c r="G282" s="1095" t="s">
        <v>1016</v>
      </c>
      <c r="H282" s="1095" t="s">
        <v>208</v>
      </c>
      <c r="I282" s="1095" t="s">
        <v>112</v>
      </c>
      <c r="J282" s="1079">
        <v>9</v>
      </c>
      <c r="K282" s="1079">
        <v>3</v>
      </c>
      <c r="L282" s="1073" t="s">
        <v>567</v>
      </c>
      <c r="M282" s="1077" t="s">
        <v>607</v>
      </c>
      <c r="N282" s="1083" t="s">
        <v>2054</v>
      </c>
    </row>
    <row r="283" spans="1:14" ht="15" customHeight="1" x14ac:dyDescent="0.2">
      <c r="A283" s="1077" t="s">
        <v>578</v>
      </c>
      <c r="B283" s="1077" t="s">
        <v>607</v>
      </c>
      <c r="C283" s="1071" t="s">
        <v>1597</v>
      </c>
      <c r="D283" s="1095" t="s">
        <v>301</v>
      </c>
      <c r="E283" s="1075">
        <v>0</v>
      </c>
      <c r="F283" s="1098">
        <v>1000</v>
      </c>
      <c r="G283" s="1095" t="s">
        <v>1016</v>
      </c>
      <c r="H283" s="1095" t="s">
        <v>208</v>
      </c>
      <c r="I283" s="1095" t="s">
        <v>112</v>
      </c>
      <c r="J283" s="1079">
        <v>9</v>
      </c>
      <c r="K283" s="1079">
        <v>3</v>
      </c>
      <c r="L283" s="1073" t="s">
        <v>567</v>
      </c>
      <c r="M283" s="1077" t="s">
        <v>607</v>
      </c>
      <c r="N283" s="1083" t="s">
        <v>2055</v>
      </c>
    </row>
    <row r="284" spans="1:14" ht="15" customHeight="1" x14ac:dyDescent="0.2">
      <c r="A284" s="1077" t="s">
        <v>578</v>
      </c>
      <c r="B284" s="1077" t="s">
        <v>607</v>
      </c>
      <c r="C284" s="1071" t="s">
        <v>1598</v>
      </c>
      <c r="D284" s="1095" t="s">
        <v>652</v>
      </c>
      <c r="E284" s="1075">
        <v>0</v>
      </c>
      <c r="F284" s="1105">
        <v>1000000</v>
      </c>
      <c r="G284" s="1095" t="s">
        <v>1018</v>
      </c>
      <c r="H284" s="1095" t="s">
        <v>208</v>
      </c>
      <c r="I284" s="1095" t="s">
        <v>112</v>
      </c>
      <c r="J284" s="1079">
        <v>9</v>
      </c>
      <c r="K284" s="1079">
        <v>3</v>
      </c>
      <c r="L284" s="1073" t="s">
        <v>567</v>
      </c>
      <c r="M284" s="1077" t="s">
        <v>607</v>
      </c>
      <c r="N284" s="1083" t="s">
        <v>2056</v>
      </c>
    </row>
    <row r="285" spans="1:14" ht="15" customHeight="1" x14ac:dyDescent="0.2">
      <c r="A285" s="1077" t="s">
        <v>578</v>
      </c>
      <c r="B285" s="1077" t="s">
        <v>607</v>
      </c>
      <c r="C285" s="1071" t="s">
        <v>1599</v>
      </c>
      <c r="D285" s="1095" t="s">
        <v>653</v>
      </c>
      <c r="E285" s="1075">
        <v>0</v>
      </c>
      <c r="F285" s="1105">
        <v>1000000</v>
      </c>
      <c r="G285" s="1095" t="s">
        <v>635</v>
      </c>
      <c r="H285" s="1095" t="s">
        <v>208</v>
      </c>
      <c r="I285" s="1095" t="s">
        <v>112</v>
      </c>
      <c r="J285" s="1079">
        <v>9</v>
      </c>
      <c r="K285" s="1079">
        <v>3</v>
      </c>
      <c r="L285" s="1073" t="s">
        <v>567</v>
      </c>
      <c r="M285" s="1077" t="s">
        <v>607</v>
      </c>
      <c r="N285" s="1083" t="s">
        <v>2057</v>
      </c>
    </row>
    <row r="286" spans="1:14" ht="15" customHeight="1" x14ac:dyDescent="0.2">
      <c r="A286" s="1077" t="s">
        <v>578</v>
      </c>
      <c r="B286" s="1077" t="s">
        <v>607</v>
      </c>
      <c r="C286" s="1071" t="s">
        <v>1600</v>
      </c>
      <c r="D286" s="1083" t="s">
        <v>733</v>
      </c>
      <c r="E286" s="1075">
        <v>0</v>
      </c>
      <c r="F286" s="1098"/>
      <c r="G286" s="1095" t="s">
        <v>582</v>
      </c>
      <c r="H286" s="1095" t="s">
        <v>208</v>
      </c>
      <c r="I286" s="1095" t="s">
        <v>112</v>
      </c>
      <c r="J286" s="1079">
        <v>9</v>
      </c>
      <c r="K286" s="1079">
        <v>3</v>
      </c>
      <c r="L286" s="1073" t="s">
        <v>567</v>
      </c>
      <c r="M286" s="1077" t="s">
        <v>607</v>
      </c>
      <c r="N286" s="1083" t="s">
        <v>2058</v>
      </c>
    </row>
    <row r="287" spans="1:14" ht="15" customHeight="1" x14ac:dyDescent="0.2">
      <c r="A287" s="1077" t="s">
        <v>578</v>
      </c>
      <c r="B287" s="1077" t="s">
        <v>607</v>
      </c>
      <c r="C287" s="1071" t="s">
        <v>1601</v>
      </c>
      <c r="D287" s="1083" t="s">
        <v>734</v>
      </c>
      <c r="E287" s="1075">
        <v>0</v>
      </c>
      <c r="F287" s="1098"/>
      <c r="G287" s="1095" t="s">
        <v>582</v>
      </c>
      <c r="H287" s="1095" t="s">
        <v>208</v>
      </c>
      <c r="I287" s="1095" t="s">
        <v>112</v>
      </c>
      <c r="J287" s="1079">
        <v>9</v>
      </c>
      <c r="K287" s="1079">
        <v>3</v>
      </c>
      <c r="L287" s="1073" t="s">
        <v>567</v>
      </c>
      <c r="M287" s="1077" t="s">
        <v>607</v>
      </c>
      <c r="N287" s="1083" t="s">
        <v>2059</v>
      </c>
    </row>
    <row r="288" spans="1:14" ht="15" customHeight="1" x14ac:dyDescent="0.2">
      <c r="A288" s="1077" t="s">
        <v>578</v>
      </c>
      <c r="B288" s="1077" t="s">
        <v>607</v>
      </c>
      <c r="C288" s="1071" t="s">
        <v>1602</v>
      </c>
      <c r="D288" s="1083" t="s">
        <v>735</v>
      </c>
      <c r="E288" s="1075">
        <v>0</v>
      </c>
      <c r="F288" s="1098"/>
      <c r="G288" s="1095" t="s">
        <v>509</v>
      </c>
      <c r="H288" s="1095" t="s">
        <v>208</v>
      </c>
      <c r="I288" s="1095" t="s">
        <v>112</v>
      </c>
      <c r="J288" s="1079">
        <v>9</v>
      </c>
      <c r="K288" s="1079">
        <v>3</v>
      </c>
      <c r="L288" s="1073" t="s">
        <v>567</v>
      </c>
      <c r="M288" s="1077" t="s">
        <v>607</v>
      </c>
      <c r="N288" s="1083" t="s">
        <v>2060</v>
      </c>
    </row>
    <row r="289" spans="1:14" ht="15" customHeight="1" x14ac:dyDescent="0.2">
      <c r="A289" s="1077" t="s">
        <v>578</v>
      </c>
      <c r="B289" s="1077" t="s">
        <v>607</v>
      </c>
      <c r="C289" s="1071" t="s">
        <v>1604</v>
      </c>
      <c r="D289" s="1083" t="s">
        <v>736</v>
      </c>
      <c r="E289" s="1075">
        <v>0</v>
      </c>
      <c r="F289" s="1098"/>
      <c r="G289" s="1095" t="s">
        <v>508</v>
      </c>
      <c r="H289" s="1095" t="s">
        <v>208</v>
      </c>
      <c r="I289" s="1095" t="s">
        <v>112</v>
      </c>
      <c r="J289" s="1079">
        <v>9</v>
      </c>
      <c r="K289" s="1079">
        <v>3</v>
      </c>
      <c r="L289" s="1073" t="s">
        <v>567</v>
      </c>
      <c r="M289" s="1077" t="s">
        <v>607</v>
      </c>
      <c r="N289" s="1083" t="s">
        <v>2061</v>
      </c>
    </row>
    <row r="290" spans="1:14" ht="15" customHeight="1" x14ac:dyDescent="0.2">
      <c r="A290" s="1077" t="s">
        <v>578</v>
      </c>
      <c r="B290" s="1077" t="s">
        <v>607</v>
      </c>
      <c r="C290" s="1071" t="s">
        <v>1605</v>
      </c>
      <c r="D290" s="1083" t="s">
        <v>737</v>
      </c>
      <c r="E290" s="1075">
        <v>0</v>
      </c>
      <c r="F290" s="1098"/>
      <c r="G290" s="1104" t="s">
        <v>2231</v>
      </c>
      <c r="H290" s="1095" t="s">
        <v>208</v>
      </c>
      <c r="I290" s="1095" t="s">
        <v>112</v>
      </c>
      <c r="J290" s="1079">
        <v>9</v>
      </c>
      <c r="K290" s="1079">
        <v>3</v>
      </c>
      <c r="L290" s="1073" t="s">
        <v>567</v>
      </c>
      <c r="M290" s="1077" t="s">
        <v>607</v>
      </c>
      <c r="N290" s="1083" t="s">
        <v>2062</v>
      </c>
    </row>
    <row r="291" spans="1:14" ht="15" customHeight="1" x14ac:dyDescent="0.2">
      <c r="A291" s="1077" t="s">
        <v>578</v>
      </c>
      <c r="B291" s="1077" t="s">
        <v>607</v>
      </c>
      <c r="C291" s="1071" t="s">
        <v>1606</v>
      </c>
      <c r="D291" s="1083" t="s">
        <v>738</v>
      </c>
      <c r="E291" s="1075">
        <v>0</v>
      </c>
      <c r="F291" s="1098">
        <v>1000</v>
      </c>
      <c r="G291" s="1104" t="s">
        <v>387</v>
      </c>
      <c r="H291" s="1095" t="s">
        <v>208</v>
      </c>
      <c r="I291" s="1095" t="s">
        <v>112</v>
      </c>
      <c r="J291" s="1079">
        <v>9</v>
      </c>
      <c r="K291" s="1079">
        <v>3</v>
      </c>
      <c r="L291" s="1073" t="s">
        <v>567</v>
      </c>
      <c r="M291" s="1077" t="s">
        <v>607</v>
      </c>
      <c r="N291" s="1083" t="s">
        <v>2063</v>
      </c>
    </row>
    <row r="292" spans="1:14" ht="15" customHeight="1" x14ac:dyDescent="0.2">
      <c r="A292" s="1077" t="s">
        <v>578</v>
      </c>
      <c r="B292" s="1077" t="s">
        <v>607</v>
      </c>
      <c r="C292" s="1071" t="s">
        <v>1607</v>
      </c>
      <c r="D292" s="1083" t="s">
        <v>739</v>
      </c>
      <c r="E292" s="1075">
        <v>0</v>
      </c>
      <c r="F292" s="1098">
        <v>1000</v>
      </c>
      <c r="G292" s="1095" t="s">
        <v>1016</v>
      </c>
      <c r="H292" s="1095" t="s">
        <v>208</v>
      </c>
      <c r="I292" s="1095" t="s">
        <v>112</v>
      </c>
      <c r="J292" s="1079">
        <v>9</v>
      </c>
      <c r="K292" s="1079">
        <v>3</v>
      </c>
      <c r="L292" s="1073" t="s">
        <v>567</v>
      </c>
      <c r="M292" s="1077" t="s">
        <v>607</v>
      </c>
      <c r="N292" s="1083" t="s">
        <v>2064</v>
      </c>
    </row>
    <row r="293" spans="1:14" ht="15" customHeight="1" x14ac:dyDescent="0.2">
      <c r="A293" s="1077" t="s">
        <v>578</v>
      </c>
      <c r="B293" s="1077" t="s">
        <v>607</v>
      </c>
      <c r="C293" s="1071" t="s">
        <v>1608</v>
      </c>
      <c r="D293" s="1095" t="s">
        <v>740</v>
      </c>
      <c r="E293" s="1075">
        <v>0</v>
      </c>
      <c r="F293" s="1098">
        <v>1000</v>
      </c>
      <c r="G293" s="1095" t="s">
        <v>1016</v>
      </c>
      <c r="H293" s="1095" t="s">
        <v>208</v>
      </c>
      <c r="I293" s="1095" t="s">
        <v>112</v>
      </c>
      <c r="J293" s="1079">
        <v>9</v>
      </c>
      <c r="K293" s="1079">
        <v>3</v>
      </c>
      <c r="L293" s="1073" t="s">
        <v>567</v>
      </c>
      <c r="M293" s="1077" t="s">
        <v>607</v>
      </c>
      <c r="N293" s="1083" t="s">
        <v>2065</v>
      </c>
    </row>
    <row r="294" spans="1:14" ht="15" customHeight="1" x14ac:dyDescent="0.2">
      <c r="A294" s="1077" t="s">
        <v>578</v>
      </c>
      <c r="B294" s="1077" t="s">
        <v>607</v>
      </c>
      <c r="C294" s="1071" t="s">
        <v>1609</v>
      </c>
      <c r="D294" s="1095" t="s">
        <v>741</v>
      </c>
      <c r="E294" s="1075">
        <v>0</v>
      </c>
      <c r="F294" s="1105">
        <v>1000000</v>
      </c>
      <c r="G294" s="1095" t="s">
        <v>1018</v>
      </c>
      <c r="H294" s="1095" t="s">
        <v>208</v>
      </c>
      <c r="I294" s="1095" t="s">
        <v>112</v>
      </c>
      <c r="J294" s="1079">
        <v>9</v>
      </c>
      <c r="K294" s="1079">
        <v>3</v>
      </c>
      <c r="L294" s="1073" t="s">
        <v>567</v>
      </c>
      <c r="M294" s="1077" t="s">
        <v>607</v>
      </c>
      <c r="N294" s="1083" t="s">
        <v>2066</v>
      </c>
    </row>
    <row r="295" spans="1:14" ht="15" customHeight="1" x14ac:dyDescent="0.2">
      <c r="A295" s="1077" t="s">
        <v>578</v>
      </c>
      <c r="B295" s="1077" t="s">
        <v>607</v>
      </c>
      <c r="C295" s="1071" t="s">
        <v>1610</v>
      </c>
      <c r="D295" s="1095" t="s">
        <v>742</v>
      </c>
      <c r="E295" s="1075">
        <v>0</v>
      </c>
      <c r="F295" s="1105">
        <v>1000000</v>
      </c>
      <c r="G295" s="1095" t="s">
        <v>635</v>
      </c>
      <c r="H295" s="1095" t="s">
        <v>208</v>
      </c>
      <c r="I295" s="1095" t="s">
        <v>112</v>
      </c>
      <c r="J295" s="1079">
        <v>9</v>
      </c>
      <c r="K295" s="1079">
        <v>3</v>
      </c>
      <c r="L295" s="1073" t="s">
        <v>567</v>
      </c>
      <c r="M295" s="1077" t="s">
        <v>607</v>
      </c>
      <c r="N295" s="1083" t="s">
        <v>2067</v>
      </c>
    </row>
    <row r="296" spans="1:14" ht="15" customHeight="1" x14ac:dyDescent="0.2">
      <c r="A296" s="1089" t="s">
        <v>567</v>
      </c>
      <c r="B296" s="1089" t="s">
        <v>567</v>
      </c>
      <c r="C296" s="1089" t="s">
        <v>567</v>
      </c>
      <c r="D296" s="1089" t="s">
        <v>567</v>
      </c>
      <c r="E296" s="1089" t="s">
        <v>567</v>
      </c>
      <c r="F296" s="1089" t="s">
        <v>567</v>
      </c>
      <c r="G296" s="1089" t="s">
        <v>567</v>
      </c>
      <c r="H296" s="1089" t="s">
        <v>567</v>
      </c>
      <c r="I296" s="1089" t="s">
        <v>567</v>
      </c>
      <c r="J296" s="1081" t="s">
        <v>567</v>
      </c>
      <c r="K296" s="1081" t="s">
        <v>567</v>
      </c>
      <c r="L296" s="1081" t="s">
        <v>567</v>
      </c>
      <c r="M296" s="1089" t="s">
        <v>567</v>
      </c>
      <c r="N296" s="1089" t="s">
        <v>567</v>
      </c>
    </row>
    <row r="297" spans="1:14" ht="15" customHeight="1" x14ac:dyDescent="0.2">
      <c r="A297" s="1077" t="s">
        <v>578</v>
      </c>
      <c r="B297" s="1077" t="s">
        <v>608</v>
      </c>
      <c r="C297" s="1071" t="s">
        <v>1495</v>
      </c>
      <c r="D297" s="1095" t="s">
        <v>574</v>
      </c>
      <c r="E297" s="1083" t="s">
        <v>561</v>
      </c>
      <c r="F297" s="1083" t="s">
        <v>562</v>
      </c>
      <c r="G297" s="1083" t="s">
        <v>196</v>
      </c>
      <c r="H297" s="1075" t="s">
        <v>206</v>
      </c>
      <c r="I297" s="1095" t="s">
        <v>619</v>
      </c>
      <c r="J297" s="1073" t="s">
        <v>567</v>
      </c>
      <c r="K297" s="1073" t="s">
        <v>567</v>
      </c>
      <c r="L297" s="1079">
        <v>63999</v>
      </c>
      <c r="M297" s="1077" t="s">
        <v>608</v>
      </c>
      <c r="N297" s="1083" t="s">
        <v>154</v>
      </c>
    </row>
    <row r="298" spans="1:14" ht="15" customHeight="1" x14ac:dyDescent="0.2">
      <c r="A298" s="1077" t="s">
        <v>578</v>
      </c>
      <c r="B298" s="1077" t="s">
        <v>608</v>
      </c>
      <c r="C298" s="1071" t="s">
        <v>35</v>
      </c>
      <c r="D298" s="1095" t="s">
        <v>35</v>
      </c>
      <c r="E298" s="1097">
        <v>1</v>
      </c>
      <c r="F298" s="1097">
        <f ca="1">TODAY()</f>
        <v>42886</v>
      </c>
      <c r="G298" s="1095" t="s">
        <v>116</v>
      </c>
      <c r="H298" s="1095" t="s">
        <v>206</v>
      </c>
      <c r="I298" s="1095" t="s">
        <v>565</v>
      </c>
      <c r="J298" s="1073" t="s">
        <v>567</v>
      </c>
      <c r="K298" s="1073" t="s">
        <v>567</v>
      </c>
      <c r="L298" s="1073" t="s">
        <v>567</v>
      </c>
      <c r="M298" s="1077" t="s">
        <v>608</v>
      </c>
      <c r="N298" s="1083" t="s">
        <v>35</v>
      </c>
    </row>
    <row r="299" spans="1:14" ht="15" customHeight="1" x14ac:dyDescent="0.2">
      <c r="A299" s="1077" t="s">
        <v>578</v>
      </c>
      <c r="B299" s="1077" t="s">
        <v>608</v>
      </c>
      <c r="C299" s="1071" t="s">
        <v>1456</v>
      </c>
      <c r="D299" s="1095" t="s">
        <v>229</v>
      </c>
      <c r="E299" s="1083" t="s">
        <v>561</v>
      </c>
      <c r="F299" s="1083" t="s">
        <v>562</v>
      </c>
      <c r="G299" s="1083" t="s">
        <v>196</v>
      </c>
      <c r="H299" s="1095" t="s">
        <v>208</v>
      </c>
      <c r="I299" s="1095" t="s">
        <v>619</v>
      </c>
      <c r="J299" s="1073" t="s">
        <v>567</v>
      </c>
      <c r="K299" s="1073" t="s">
        <v>567</v>
      </c>
      <c r="L299" s="1079">
        <v>63999</v>
      </c>
      <c r="M299" s="1077" t="s">
        <v>608</v>
      </c>
      <c r="N299" s="1083" t="s">
        <v>152</v>
      </c>
    </row>
    <row r="300" spans="1:14" ht="15" customHeight="1" x14ac:dyDescent="0.2">
      <c r="A300" s="1077" t="s">
        <v>578</v>
      </c>
      <c r="B300" s="1077" t="s">
        <v>608</v>
      </c>
      <c r="C300" s="1071" t="s">
        <v>1611</v>
      </c>
      <c r="D300" s="1095" t="s">
        <v>655</v>
      </c>
      <c r="E300" s="1083" t="s">
        <v>561</v>
      </c>
      <c r="F300" s="1083" t="s">
        <v>562</v>
      </c>
      <c r="G300" s="1083" t="s">
        <v>196</v>
      </c>
      <c r="H300" s="1095" t="s">
        <v>208</v>
      </c>
      <c r="I300" s="1095" t="s">
        <v>619</v>
      </c>
      <c r="J300" s="1073" t="s">
        <v>567</v>
      </c>
      <c r="K300" s="1073" t="s">
        <v>567</v>
      </c>
      <c r="L300" s="1079">
        <v>63999</v>
      </c>
      <c r="M300" s="1077" t="s">
        <v>608</v>
      </c>
      <c r="N300" s="1083" t="s">
        <v>505</v>
      </c>
    </row>
    <row r="301" spans="1:14" ht="15" customHeight="1" x14ac:dyDescent="0.2">
      <c r="A301" s="1077" t="s">
        <v>578</v>
      </c>
      <c r="B301" s="1077" t="s">
        <v>608</v>
      </c>
      <c r="C301" s="1071" t="s">
        <v>77</v>
      </c>
      <c r="D301" s="1095" t="s">
        <v>267</v>
      </c>
      <c r="E301" s="1083" t="s">
        <v>561</v>
      </c>
      <c r="F301" s="1083" t="s">
        <v>562</v>
      </c>
      <c r="G301" s="1083" t="s">
        <v>196</v>
      </c>
      <c r="H301" s="1095" t="s">
        <v>208</v>
      </c>
      <c r="I301" s="1095" t="s">
        <v>619</v>
      </c>
      <c r="J301" s="1073" t="s">
        <v>567</v>
      </c>
      <c r="K301" s="1073" t="s">
        <v>567</v>
      </c>
      <c r="L301" s="1079">
        <v>63999</v>
      </c>
      <c r="M301" s="1077" t="s">
        <v>608</v>
      </c>
      <c r="N301" s="1083" t="s">
        <v>77</v>
      </c>
    </row>
    <row r="302" spans="1:14" ht="15" customHeight="1" x14ac:dyDescent="0.2">
      <c r="A302" s="1077" t="s">
        <v>578</v>
      </c>
      <c r="B302" s="1077" t="s">
        <v>608</v>
      </c>
      <c r="C302" s="1071" t="s">
        <v>1612</v>
      </c>
      <c r="D302" s="1095" t="s">
        <v>654</v>
      </c>
      <c r="E302" s="1075">
        <v>0</v>
      </c>
      <c r="F302" s="1075">
        <v>100</v>
      </c>
      <c r="G302" s="1095" t="s">
        <v>40</v>
      </c>
      <c r="H302" s="1096" t="s">
        <v>208</v>
      </c>
      <c r="I302" s="1095" t="s">
        <v>618</v>
      </c>
      <c r="J302" s="1073" t="s">
        <v>567</v>
      </c>
      <c r="K302" s="1073" t="s">
        <v>567</v>
      </c>
      <c r="L302" s="1073" t="s">
        <v>567</v>
      </c>
      <c r="M302" s="1077" t="s">
        <v>608</v>
      </c>
      <c r="N302" s="1083" t="s">
        <v>2068</v>
      </c>
    </row>
    <row r="303" spans="1:14" ht="15" customHeight="1" x14ac:dyDescent="0.2">
      <c r="A303" s="1089" t="s">
        <v>567</v>
      </c>
      <c r="B303" s="1089" t="s">
        <v>567</v>
      </c>
      <c r="C303" s="1089" t="s">
        <v>567</v>
      </c>
      <c r="D303" s="1089" t="s">
        <v>567</v>
      </c>
      <c r="E303" s="1089" t="s">
        <v>567</v>
      </c>
      <c r="F303" s="1089" t="s">
        <v>567</v>
      </c>
      <c r="G303" s="1089" t="s">
        <v>567</v>
      </c>
      <c r="H303" s="1089" t="s">
        <v>567</v>
      </c>
      <c r="I303" s="1089" t="s">
        <v>567</v>
      </c>
      <c r="J303" s="1081" t="s">
        <v>567</v>
      </c>
      <c r="K303" s="1081" t="s">
        <v>567</v>
      </c>
      <c r="L303" s="1081" t="s">
        <v>567</v>
      </c>
      <c r="M303" s="1089" t="s">
        <v>567</v>
      </c>
      <c r="N303" s="1089" t="s">
        <v>567</v>
      </c>
    </row>
    <row r="304" spans="1:14" ht="15" customHeight="1" x14ac:dyDescent="0.2">
      <c r="A304" s="1077" t="s">
        <v>578</v>
      </c>
      <c r="B304" s="1077" t="s">
        <v>2302</v>
      </c>
      <c r="C304" s="1071" t="s">
        <v>1495</v>
      </c>
      <c r="D304" s="1095" t="s">
        <v>574</v>
      </c>
      <c r="E304" s="1108" t="s">
        <v>561</v>
      </c>
      <c r="F304" s="1108" t="s">
        <v>562</v>
      </c>
      <c r="G304" s="1108" t="s">
        <v>196</v>
      </c>
      <c r="H304" s="1075" t="s">
        <v>206</v>
      </c>
      <c r="I304" s="1095" t="s">
        <v>619</v>
      </c>
      <c r="J304" s="1073" t="s">
        <v>567</v>
      </c>
      <c r="K304" s="1073" t="s">
        <v>567</v>
      </c>
      <c r="L304" s="1079">
        <v>63999</v>
      </c>
      <c r="M304" s="1135"/>
      <c r="N304" s="1135"/>
    </row>
    <row r="305" spans="1:14" ht="15" customHeight="1" x14ac:dyDescent="0.2">
      <c r="A305" s="1077" t="s">
        <v>578</v>
      </c>
      <c r="B305" s="1077" t="s">
        <v>2302</v>
      </c>
      <c r="C305" s="1071" t="s">
        <v>35</v>
      </c>
      <c r="D305" s="1095" t="s">
        <v>35</v>
      </c>
      <c r="E305" s="1097">
        <v>1</v>
      </c>
      <c r="F305" s="1097">
        <f ca="1">TODAY()</f>
        <v>42886</v>
      </c>
      <c r="G305" s="1095" t="s">
        <v>116</v>
      </c>
      <c r="H305" s="1095" t="s">
        <v>206</v>
      </c>
      <c r="I305" s="1095" t="s">
        <v>565</v>
      </c>
      <c r="J305" s="1073" t="s">
        <v>567</v>
      </c>
      <c r="K305" s="1073" t="s">
        <v>567</v>
      </c>
      <c r="L305" s="1073" t="s">
        <v>567</v>
      </c>
      <c r="M305" s="1135"/>
      <c r="N305" s="1135"/>
    </row>
    <row r="306" spans="1:14" ht="15" customHeight="1" x14ac:dyDescent="0.2">
      <c r="A306" s="1077" t="s">
        <v>578</v>
      </c>
      <c r="B306" s="1077" t="s">
        <v>2302</v>
      </c>
      <c r="C306" s="1071" t="s">
        <v>1456</v>
      </c>
      <c r="D306" s="1095" t="s">
        <v>229</v>
      </c>
      <c r="E306" s="1108" t="s">
        <v>561</v>
      </c>
      <c r="F306" s="1108" t="s">
        <v>562</v>
      </c>
      <c r="G306" s="1108" t="s">
        <v>196</v>
      </c>
      <c r="H306" s="1095" t="s">
        <v>208</v>
      </c>
      <c r="I306" s="1095" t="s">
        <v>619</v>
      </c>
      <c r="J306" s="1073" t="s">
        <v>567</v>
      </c>
      <c r="K306" s="1073" t="s">
        <v>567</v>
      </c>
      <c r="L306" s="1079">
        <v>63999</v>
      </c>
      <c r="M306" s="1135"/>
      <c r="N306" s="1135"/>
    </row>
    <row r="307" spans="1:14" ht="15" customHeight="1" x14ac:dyDescent="0.2">
      <c r="A307" s="1077" t="s">
        <v>578</v>
      </c>
      <c r="B307" s="1077" t="s">
        <v>2302</v>
      </c>
      <c r="C307" s="1089" t="s">
        <v>2252</v>
      </c>
      <c r="D307" s="1089"/>
      <c r="E307" s="1089"/>
      <c r="F307" s="1089"/>
      <c r="G307" s="1089"/>
      <c r="H307" s="1089"/>
      <c r="I307" s="1089"/>
      <c r="J307" s="1081"/>
      <c r="K307" s="1081"/>
      <c r="L307" s="1081"/>
      <c r="M307" s="1136"/>
      <c r="N307" s="1136"/>
    </row>
    <row r="308" spans="1:14" ht="15" customHeight="1" x14ac:dyDescent="0.2">
      <c r="A308" s="1077" t="s">
        <v>578</v>
      </c>
      <c r="B308" s="1077" t="s">
        <v>2302</v>
      </c>
      <c r="C308" s="1089" t="s">
        <v>2253</v>
      </c>
      <c r="D308" s="1089"/>
      <c r="E308" s="1089"/>
      <c r="F308" s="1089"/>
      <c r="G308" s="1089"/>
      <c r="H308" s="1089"/>
      <c r="I308" s="1089"/>
      <c r="J308" s="1081"/>
      <c r="K308" s="1081"/>
      <c r="L308" s="1081"/>
      <c r="M308" s="1136"/>
      <c r="N308" s="1136"/>
    </row>
    <row r="309" spans="1:14" ht="15" customHeight="1" x14ac:dyDescent="0.2">
      <c r="A309" s="1077" t="s">
        <v>578</v>
      </c>
      <c r="B309" s="1077" t="s">
        <v>2302</v>
      </c>
      <c r="C309" s="1071" t="s">
        <v>1530</v>
      </c>
      <c r="D309" s="1095" t="s">
        <v>296</v>
      </c>
      <c r="E309" s="1075">
        <v>0</v>
      </c>
      <c r="F309" s="1098">
        <v>200</v>
      </c>
      <c r="G309" s="1095" t="s">
        <v>46</v>
      </c>
      <c r="H309" s="1095" t="s">
        <v>208</v>
      </c>
      <c r="I309" s="1095" t="s">
        <v>618</v>
      </c>
      <c r="J309" s="1073" t="s">
        <v>567</v>
      </c>
      <c r="K309" s="1073" t="s">
        <v>567</v>
      </c>
      <c r="L309" s="1073" t="s">
        <v>567</v>
      </c>
      <c r="M309" s="1135"/>
      <c r="N309" s="1135"/>
    </row>
    <row r="310" spans="1:14" ht="15" customHeight="1" x14ac:dyDescent="0.2">
      <c r="A310" s="1077" t="s">
        <v>578</v>
      </c>
      <c r="B310" s="1077" t="s">
        <v>2302</v>
      </c>
      <c r="C310" s="1071" t="s">
        <v>1531</v>
      </c>
      <c r="D310" s="1095" t="s">
        <v>297</v>
      </c>
      <c r="E310" s="1075">
        <v>0</v>
      </c>
      <c r="F310" s="1098">
        <v>200</v>
      </c>
      <c r="G310" s="1095" t="s">
        <v>46</v>
      </c>
      <c r="H310" s="1095" t="s">
        <v>208</v>
      </c>
      <c r="I310" s="1095" t="s">
        <v>618</v>
      </c>
      <c r="J310" s="1073" t="s">
        <v>567</v>
      </c>
      <c r="K310" s="1073" t="s">
        <v>567</v>
      </c>
      <c r="L310" s="1073" t="s">
        <v>567</v>
      </c>
      <c r="M310" s="1135"/>
      <c r="N310" s="1135"/>
    </row>
    <row r="311" spans="1:14" ht="15" customHeight="1" x14ac:dyDescent="0.2">
      <c r="A311" s="1077" t="s">
        <v>578</v>
      </c>
      <c r="B311" s="1077" t="s">
        <v>2302</v>
      </c>
      <c r="C311" s="1089" t="s">
        <v>2254</v>
      </c>
      <c r="D311" s="1089"/>
      <c r="E311" s="1089"/>
      <c r="F311" s="1089"/>
      <c r="G311" s="1089"/>
      <c r="H311" s="1089"/>
      <c r="I311" s="1089"/>
      <c r="J311" s="1081"/>
      <c r="K311" s="1081"/>
      <c r="L311" s="1081"/>
      <c r="M311" s="1136"/>
      <c r="N311" s="1136"/>
    </row>
    <row r="312" spans="1:14" ht="15" customHeight="1" x14ac:dyDescent="0.2">
      <c r="A312" s="1077" t="s">
        <v>578</v>
      </c>
      <c r="B312" s="1077" t="s">
        <v>2302</v>
      </c>
      <c r="C312" s="1089" t="s">
        <v>2298</v>
      </c>
      <c r="D312" s="1089"/>
      <c r="E312" s="1089"/>
      <c r="F312" s="1089"/>
      <c r="G312" s="1089"/>
      <c r="H312" s="1089"/>
      <c r="I312" s="1089"/>
      <c r="J312" s="1081"/>
      <c r="K312" s="1081"/>
      <c r="L312" s="1081"/>
      <c r="M312" s="1136"/>
      <c r="N312" s="1136"/>
    </row>
    <row r="313" spans="1:14" ht="15" customHeight="1" x14ac:dyDescent="0.2">
      <c r="A313" s="1077" t="s">
        <v>578</v>
      </c>
      <c r="B313" s="1077" t="s">
        <v>2302</v>
      </c>
      <c r="C313" s="1089" t="s">
        <v>2256</v>
      </c>
      <c r="D313" s="1089"/>
      <c r="E313" s="1089"/>
      <c r="F313" s="1089"/>
      <c r="G313" s="1089"/>
      <c r="H313" s="1089"/>
      <c r="I313" s="1089"/>
      <c r="J313" s="1081"/>
      <c r="K313" s="1081"/>
      <c r="L313" s="1081"/>
      <c r="M313" s="1136"/>
      <c r="N313" s="1136"/>
    </row>
    <row r="314" spans="1:14" ht="15" customHeight="1" x14ac:dyDescent="0.2">
      <c r="A314" s="1077" t="s">
        <v>578</v>
      </c>
      <c r="B314" s="1077" t="s">
        <v>2302</v>
      </c>
      <c r="C314" s="1089" t="s">
        <v>200</v>
      </c>
      <c r="D314" s="1089"/>
      <c r="E314" s="1089"/>
      <c r="F314" s="1089"/>
      <c r="G314" s="1089"/>
      <c r="H314" s="1089"/>
      <c r="I314" s="1089"/>
      <c r="J314" s="1081"/>
      <c r="K314" s="1081"/>
      <c r="L314" s="1081"/>
      <c r="M314" s="1136"/>
      <c r="N314" s="1136"/>
    </row>
    <row r="315" spans="1:14" ht="15" customHeight="1" x14ac:dyDescent="0.2">
      <c r="A315" s="1089" t="s">
        <v>567</v>
      </c>
      <c r="B315" s="1089" t="s">
        <v>567</v>
      </c>
      <c r="C315" s="1089" t="s">
        <v>567</v>
      </c>
      <c r="D315" s="1089" t="s">
        <v>567</v>
      </c>
      <c r="E315" s="1089" t="s">
        <v>567</v>
      </c>
      <c r="F315" s="1089" t="s">
        <v>567</v>
      </c>
      <c r="G315" s="1089" t="s">
        <v>567</v>
      </c>
      <c r="H315" s="1089" t="s">
        <v>567</v>
      </c>
      <c r="I315" s="1089" t="s">
        <v>567</v>
      </c>
      <c r="J315" s="1081" t="s">
        <v>567</v>
      </c>
      <c r="K315" s="1081" t="s">
        <v>567</v>
      </c>
      <c r="L315" s="1081" t="s">
        <v>567</v>
      </c>
      <c r="M315" s="1089" t="s">
        <v>567</v>
      </c>
      <c r="N315" s="1089" t="s">
        <v>567</v>
      </c>
    </row>
    <row r="316" spans="1:14" ht="15" customHeight="1" x14ac:dyDescent="0.2">
      <c r="A316" s="1077" t="s">
        <v>578</v>
      </c>
      <c r="B316" s="1077" t="s">
        <v>609</v>
      </c>
      <c r="C316" s="1071" t="s">
        <v>1495</v>
      </c>
      <c r="D316" s="1095" t="s">
        <v>574</v>
      </c>
      <c r="E316" s="1083" t="s">
        <v>561</v>
      </c>
      <c r="F316" s="1083" t="s">
        <v>562</v>
      </c>
      <c r="G316" s="1083" t="s">
        <v>196</v>
      </c>
      <c r="H316" s="1075" t="s">
        <v>206</v>
      </c>
      <c r="I316" s="1095" t="s">
        <v>619</v>
      </c>
      <c r="J316" s="1073" t="s">
        <v>567</v>
      </c>
      <c r="K316" s="1073" t="s">
        <v>567</v>
      </c>
      <c r="L316" s="1079">
        <v>63999</v>
      </c>
      <c r="M316" s="1077" t="s">
        <v>609</v>
      </c>
      <c r="N316" s="1083" t="s">
        <v>154</v>
      </c>
    </row>
    <row r="317" spans="1:14" ht="15" customHeight="1" x14ac:dyDescent="0.2">
      <c r="A317" s="1077" t="s">
        <v>578</v>
      </c>
      <c r="B317" s="1077" t="s">
        <v>609</v>
      </c>
      <c r="C317" s="1071" t="s">
        <v>35</v>
      </c>
      <c r="D317" s="1095" t="s">
        <v>35</v>
      </c>
      <c r="E317" s="1097">
        <v>1</v>
      </c>
      <c r="F317" s="1097">
        <f ca="1">TODAY()</f>
        <v>42886</v>
      </c>
      <c r="G317" s="1095" t="s">
        <v>116</v>
      </c>
      <c r="H317" s="1095" t="s">
        <v>206</v>
      </c>
      <c r="I317" s="1095" t="s">
        <v>565</v>
      </c>
      <c r="J317" s="1073" t="s">
        <v>567</v>
      </c>
      <c r="K317" s="1073" t="s">
        <v>567</v>
      </c>
      <c r="L317" s="1073" t="s">
        <v>567</v>
      </c>
      <c r="M317" s="1077" t="s">
        <v>609</v>
      </c>
      <c r="N317" s="1083" t="s">
        <v>35</v>
      </c>
    </row>
    <row r="318" spans="1:14" ht="15" customHeight="1" x14ac:dyDescent="0.2">
      <c r="A318" s="1077" t="s">
        <v>578</v>
      </c>
      <c r="B318" s="1077" t="s">
        <v>609</v>
      </c>
      <c r="C318" s="1071" t="s">
        <v>198</v>
      </c>
      <c r="D318" s="1095" t="s">
        <v>656</v>
      </c>
      <c r="E318" s="1072">
        <v>6.9444444444444447E-4</v>
      </c>
      <c r="F318" s="1072">
        <v>0.99998842592592585</v>
      </c>
      <c r="G318" s="1095" t="s">
        <v>583</v>
      </c>
      <c r="H318" s="1095" t="s">
        <v>208</v>
      </c>
      <c r="I318" s="1095" t="s">
        <v>565</v>
      </c>
      <c r="J318" s="1073" t="s">
        <v>567</v>
      </c>
      <c r="K318" s="1073" t="s">
        <v>567</v>
      </c>
      <c r="L318" s="1079">
        <v>63999</v>
      </c>
      <c r="M318" s="1077" t="s">
        <v>609</v>
      </c>
      <c r="N318" s="1083" t="s">
        <v>198</v>
      </c>
    </row>
    <row r="319" spans="1:14" ht="15" customHeight="1" x14ac:dyDescent="0.2">
      <c r="A319" s="1077" t="s">
        <v>578</v>
      </c>
      <c r="B319" s="1077" t="s">
        <v>609</v>
      </c>
      <c r="C319" s="1071" t="s">
        <v>1456</v>
      </c>
      <c r="D319" s="1095" t="s">
        <v>229</v>
      </c>
      <c r="E319" s="1083" t="s">
        <v>561</v>
      </c>
      <c r="F319" s="1083" t="s">
        <v>562</v>
      </c>
      <c r="G319" s="1083" t="s">
        <v>196</v>
      </c>
      <c r="H319" s="1095" t="s">
        <v>208</v>
      </c>
      <c r="I319" s="1095" t="s">
        <v>619</v>
      </c>
      <c r="J319" s="1073" t="s">
        <v>567</v>
      </c>
      <c r="K319" s="1073" t="s">
        <v>567</v>
      </c>
      <c r="L319" s="1079">
        <v>63999</v>
      </c>
      <c r="M319" s="1077" t="s">
        <v>609</v>
      </c>
      <c r="N319" s="1083" t="s">
        <v>152</v>
      </c>
    </row>
    <row r="320" spans="1:14" ht="15" customHeight="1" x14ac:dyDescent="0.2">
      <c r="A320" s="1077" t="s">
        <v>578</v>
      </c>
      <c r="B320" s="1077" t="s">
        <v>609</v>
      </c>
      <c r="C320" s="1071" t="s">
        <v>77</v>
      </c>
      <c r="D320" s="1095" t="s">
        <v>267</v>
      </c>
      <c r="E320" s="1083" t="s">
        <v>561</v>
      </c>
      <c r="F320" s="1083" t="s">
        <v>562</v>
      </c>
      <c r="G320" s="1083" t="s">
        <v>196</v>
      </c>
      <c r="H320" s="1095" t="s">
        <v>208</v>
      </c>
      <c r="I320" s="1095" t="s">
        <v>619</v>
      </c>
      <c r="J320" s="1073" t="s">
        <v>567</v>
      </c>
      <c r="K320" s="1073" t="s">
        <v>567</v>
      </c>
      <c r="L320" s="1079">
        <v>63999</v>
      </c>
      <c r="M320" s="1077" t="s">
        <v>609</v>
      </c>
      <c r="N320" s="1083" t="s">
        <v>77</v>
      </c>
    </row>
    <row r="321" spans="1:14" ht="15" customHeight="1" x14ac:dyDescent="0.2">
      <c r="A321" s="1077" t="s">
        <v>578</v>
      </c>
      <c r="B321" s="1077" t="s">
        <v>609</v>
      </c>
      <c r="C321" s="1071" t="s">
        <v>1613</v>
      </c>
      <c r="D321" s="1095" t="s">
        <v>312</v>
      </c>
      <c r="E321" s="1083" t="s">
        <v>561</v>
      </c>
      <c r="F321" s="1083" t="s">
        <v>562</v>
      </c>
      <c r="G321" s="1083" t="s">
        <v>196</v>
      </c>
      <c r="H321" s="1096" t="s">
        <v>208</v>
      </c>
      <c r="I321" s="1095" t="s">
        <v>619</v>
      </c>
      <c r="J321" s="1073" t="s">
        <v>567</v>
      </c>
      <c r="K321" s="1073" t="s">
        <v>567</v>
      </c>
      <c r="L321" s="1079">
        <v>63999</v>
      </c>
      <c r="M321" s="1077" t="s">
        <v>609</v>
      </c>
      <c r="N321" s="1083" t="s">
        <v>166</v>
      </c>
    </row>
    <row r="322" spans="1:14" ht="15" customHeight="1" x14ac:dyDescent="0.35">
      <c r="A322" s="1077" t="s">
        <v>578</v>
      </c>
      <c r="B322" s="1077" t="s">
        <v>609</v>
      </c>
      <c r="C322" s="1071" t="s">
        <v>1790</v>
      </c>
      <c r="D322" s="1095" t="s">
        <v>1039</v>
      </c>
      <c r="E322" s="1083">
        <v>-100</v>
      </c>
      <c r="F322" s="1078">
        <v>10000</v>
      </c>
      <c r="G322" s="1095" t="s">
        <v>1023</v>
      </c>
      <c r="H322" s="1096" t="s">
        <v>208</v>
      </c>
      <c r="I322" s="1095" t="s">
        <v>112</v>
      </c>
      <c r="J322" s="1079">
        <v>9</v>
      </c>
      <c r="K322" s="1079">
        <v>3</v>
      </c>
      <c r="L322" s="1073" t="s">
        <v>567</v>
      </c>
      <c r="M322" s="1077" t="s">
        <v>609</v>
      </c>
      <c r="N322" s="1083" t="s">
        <v>2069</v>
      </c>
    </row>
    <row r="323" spans="1:14" ht="15" customHeight="1" x14ac:dyDescent="0.35">
      <c r="A323" s="1077" t="s">
        <v>578</v>
      </c>
      <c r="B323" s="1077" t="s">
        <v>609</v>
      </c>
      <c r="C323" s="1071" t="s">
        <v>2237</v>
      </c>
      <c r="D323" s="1095" t="s">
        <v>979</v>
      </c>
      <c r="E323" s="1078">
        <v>0</v>
      </c>
      <c r="F323" s="1078">
        <v>1</v>
      </c>
      <c r="G323" s="1095" t="s">
        <v>196</v>
      </c>
      <c r="H323" s="1096" t="s">
        <v>208</v>
      </c>
      <c r="I323" s="1098" t="s">
        <v>618</v>
      </c>
      <c r="J323" s="1073" t="s">
        <v>567</v>
      </c>
      <c r="K323" s="1073" t="s">
        <v>567</v>
      </c>
      <c r="L323" s="1073" t="s">
        <v>567</v>
      </c>
      <c r="M323" s="1077" t="s">
        <v>609</v>
      </c>
      <c r="N323" s="1083" t="s">
        <v>2070</v>
      </c>
    </row>
    <row r="324" spans="1:14" ht="15" customHeight="1" x14ac:dyDescent="0.35">
      <c r="A324" s="1077" t="s">
        <v>578</v>
      </c>
      <c r="B324" s="1077" t="s">
        <v>609</v>
      </c>
      <c r="C324" s="1071" t="s">
        <v>1792</v>
      </c>
      <c r="D324" s="1095" t="s">
        <v>1040</v>
      </c>
      <c r="E324" s="1083">
        <v>-100</v>
      </c>
      <c r="F324" s="1078">
        <v>10000</v>
      </c>
      <c r="G324" s="1095" t="s">
        <v>1024</v>
      </c>
      <c r="H324" s="1096" t="s">
        <v>208</v>
      </c>
      <c r="I324" s="1095" t="s">
        <v>112</v>
      </c>
      <c r="J324" s="1079">
        <v>9</v>
      </c>
      <c r="K324" s="1079">
        <v>3</v>
      </c>
      <c r="L324" s="1073" t="s">
        <v>567</v>
      </c>
      <c r="M324" s="1077" t="s">
        <v>609</v>
      </c>
      <c r="N324" s="1083" t="s">
        <v>2071</v>
      </c>
    </row>
    <row r="325" spans="1:14" ht="15" customHeight="1" x14ac:dyDescent="0.35">
      <c r="A325" s="1077" t="s">
        <v>578</v>
      </c>
      <c r="B325" s="1077" t="s">
        <v>609</v>
      </c>
      <c r="C325" s="1071" t="s">
        <v>1793</v>
      </c>
      <c r="D325" s="1095" t="s">
        <v>980</v>
      </c>
      <c r="E325" s="1078">
        <v>0</v>
      </c>
      <c r="F325" s="1078">
        <v>1</v>
      </c>
      <c r="G325" s="1095" t="s">
        <v>196</v>
      </c>
      <c r="H325" s="1096" t="s">
        <v>208</v>
      </c>
      <c r="I325" s="1098" t="s">
        <v>618</v>
      </c>
      <c r="J325" s="1073" t="s">
        <v>567</v>
      </c>
      <c r="K325" s="1073" t="s">
        <v>567</v>
      </c>
      <c r="L325" s="1073" t="s">
        <v>567</v>
      </c>
      <c r="M325" s="1077" t="s">
        <v>609</v>
      </c>
      <c r="N325" s="1083" t="s">
        <v>2072</v>
      </c>
    </row>
    <row r="326" spans="1:14" ht="15" customHeight="1" x14ac:dyDescent="0.35">
      <c r="A326" s="1077" t="s">
        <v>578</v>
      </c>
      <c r="B326" s="1077" t="s">
        <v>609</v>
      </c>
      <c r="C326" s="1071" t="s">
        <v>1794</v>
      </c>
      <c r="D326" s="1095" t="s">
        <v>1041</v>
      </c>
      <c r="E326" s="1078">
        <v>-10000</v>
      </c>
      <c r="F326" s="1078">
        <v>10000</v>
      </c>
      <c r="G326" s="1095" t="s">
        <v>1024</v>
      </c>
      <c r="H326" s="1096" t="s">
        <v>208</v>
      </c>
      <c r="I326" s="1095" t="s">
        <v>112</v>
      </c>
      <c r="J326" s="1079">
        <v>9</v>
      </c>
      <c r="K326" s="1079">
        <v>3</v>
      </c>
      <c r="L326" s="1073" t="s">
        <v>567</v>
      </c>
      <c r="M326" s="1077" t="s">
        <v>609</v>
      </c>
      <c r="N326" s="1083" t="s">
        <v>2073</v>
      </c>
    </row>
    <row r="327" spans="1:14" ht="15" customHeight="1" x14ac:dyDescent="0.35">
      <c r="A327" s="1077" t="s">
        <v>578</v>
      </c>
      <c r="B327" s="1077" t="s">
        <v>609</v>
      </c>
      <c r="C327" s="1071" t="s">
        <v>1795</v>
      </c>
      <c r="D327" s="1095" t="s">
        <v>981</v>
      </c>
      <c r="E327" s="1078">
        <v>0</v>
      </c>
      <c r="F327" s="1078">
        <v>1</v>
      </c>
      <c r="G327" s="1095" t="s">
        <v>196</v>
      </c>
      <c r="H327" s="1096" t="s">
        <v>208</v>
      </c>
      <c r="I327" s="1098" t="s">
        <v>618</v>
      </c>
      <c r="J327" s="1073" t="s">
        <v>567</v>
      </c>
      <c r="K327" s="1073" t="s">
        <v>567</v>
      </c>
      <c r="L327" s="1073" t="s">
        <v>567</v>
      </c>
      <c r="M327" s="1077" t="s">
        <v>609</v>
      </c>
      <c r="N327" s="1083" t="s">
        <v>2074</v>
      </c>
    </row>
    <row r="328" spans="1:14" ht="15" customHeight="1" x14ac:dyDescent="0.2">
      <c r="A328" s="1077" t="s">
        <v>578</v>
      </c>
      <c r="B328" s="1077" t="s">
        <v>609</v>
      </c>
      <c r="C328" s="1071" t="s">
        <v>1614</v>
      </c>
      <c r="D328" s="1095" t="s">
        <v>313</v>
      </c>
      <c r="E328" s="1083">
        <v>-20</v>
      </c>
      <c r="F328" s="1083">
        <v>40</v>
      </c>
      <c r="G328" s="1095" t="s">
        <v>1010</v>
      </c>
      <c r="H328" s="1096" t="s">
        <v>208</v>
      </c>
      <c r="I328" s="1095" t="s">
        <v>112</v>
      </c>
      <c r="J328" s="1079">
        <v>9</v>
      </c>
      <c r="K328" s="1079">
        <v>3</v>
      </c>
      <c r="L328" s="1073" t="s">
        <v>567</v>
      </c>
      <c r="M328" s="1077" t="s">
        <v>609</v>
      </c>
      <c r="N328" s="1083" t="s">
        <v>2075</v>
      </c>
    </row>
    <row r="329" spans="1:14" ht="15" customHeight="1" x14ac:dyDescent="0.2">
      <c r="A329" s="1077" t="s">
        <v>578</v>
      </c>
      <c r="B329" s="1077" t="s">
        <v>609</v>
      </c>
      <c r="C329" s="1071" t="s">
        <v>1615</v>
      </c>
      <c r="D329" s="1095" t="s">
        <v>314</v>
      </c>
      <c r="E329" s="1083">
        <v>-20</v>
      </c>
      <c r="F329" s="1083">
        <v>40</v>
      </c>
      <c r="G329" s="1095" t="s">
        <v>1010</v>
      </c>
      <c r="H329" s="1096" t="s">
        <v>208</v>
      </c>
      <c r="I329" s="1095" t="s">
        <v>112</v>
      </c>
      <c r="J329" s="1079">
        <v>9</v>
      </c>
      <c r="K329" s="1079">
        <v>3</v>
      </c>
      <c r="L329" s="1073" t="s">
        <v>567</v>
      </c>
      <c r="M329" s="1077" t="s">
        <v>609</v>
      </c>
      <c r="N329" s="1083" t="s">
        <v>2076</v>
      </c>
    </row>
    <row r="330" spans="1:14" ht="15" customHeight="1" x14ac:dyDescent="0.2">
      <c r="A330" s="1077" t="s">
        <v>578</v>
      </c>
      <c r="B330" s="1077" t="s">
        <v>609</v>
      </c>
      <c r="C330" s="1071" t="s">
        <v>1616</v>
      </c>
      <c r="D330" s="1095" t="s">
        <v>657</v>
      </c>
      <c r="E330" s="1083">
        <v>1</v>
      </c>
      <c r="F330" s="1083">
        <v>100</v>
      </c>
      <c r="G330" s="1095" t="s">
        <v>245</v>
      </c>
      <c r="H330" s="1096" t="s">
        <v>208</v>
      </c>
      <c r="I330" s="1095" t="s">
        <v>112</v>
      </c>
      <c r="J330" s="1079">
        <v>9</v>
      </c>
      <c r="K330" s="1079">
        <v>3</v>
      </c>
      <c r="L330" s="1073" t="s">
        <v>567</v>
      </c>
      <c r="M330" s="1077" t="s">
        <v>609</v>
      </c>
      <c r="N330" s="1083" t="s">
        <v>2077</v>
      </c>
    </row>
    <row r="331" spans="1:14" ht="15" customHeight="1" x14ac:dyDescent="0.2">
      <c r="A331" s="1077" t="s">
        <v>578</v>
      </c>
      <c r="B331" s="1077" t="s">
        <v>609</v>
      </c>
      <c r="C331" s="1071" t="s">
        <v>1617</v>
      </c>
      <c r="D331" s="1095" t="s">
        <v>315</v>
      </c>
      <c r="E331" s="1083">
        <v>0</v>
      </c>
      <c r="F331" s="1083">
        <v>100</v>
      </c>
      <c r="G331" s="1095" t="s">
        <v>46</v>
      </c>
      <c r="H331" s="1096" t="s">
        <v>208</v>
      </c>
      <c r="I331" s="1095" t="s">
        <v>112</v>
      </c>
      <c r="J331" s="1079">
        <v>9</v>
      </c>
      <c r="K331" s="1079">
        <v>3</v>
      </c>
      <c r="L331" s="1073" t="s">
        <v>567</v>
      </c>
      <c r="M331" s="1077" t="s">
        <v>609</v>
      </c>
      <c r="N331" s="1083" t="s">
        <v>2078</v>
      </c>
    </row>
    <row r="332" spans="1:14" ht="15" customHeight="1" x14ac:dyDescent="0.35">
      <c r="A332" s="1077" t="s">
        <v>578</v>
      </c>
      <c r="B332" s="1077" t="s">
        <v>609</v>
      </c>
      <c r="C332" s="1071" t="s">
        <v>1796</v>
      </c>
      <c r="D332" s="1095" t="s">
        <v>1042</v>
      </c>
      <c r="E332" s="1083">
        <v>-100</v>
      </c>
      <c r="F332" s="1078">
        <v>10000</v>
      </c>
      <c r="G332" s="1095" t="s">
        <v>1023</v>
      </c>
      <c r="H332" s="1096" t="s">
        <v>208</v>
      </c>
      <c r="I332" s="1095" t="s">
        <v>112</v>
      </c>
      <c r="J332" s="1073" t="s">
        <v>567</v>
      </c>
      <c r="K332" s="1073" t="s">
        <v>567</v>
      </c>
      <c r="L332" s="1073" t="s">
        <v>567</v>
      </c>
      <c r="M332" s="1077" t="s">
        <v>609</v>
      </c>
      <c r="N332" s="1083" t="s">
        <v>2079</v>
      </c>
    </row>
    <row r="333" spans="1:14" ht="15" customHeight="1" x14ac:dyDescent="0.35">
      <c r="A333" s="1077" t="s">
        <v>578</v>
      </c>
      <c r="B333" s="1077" t="s">
        <v>609</v>
      </c>
      <c r="C333" s="1071" t="s">
        <v>1797</v>
      </c>
      <c r="D333" s="1095" t="s">
        <v>1043</v>
      </c>
      <c r="E333" s="1083">
        <v>-100</v>
      </c>
      <c r="F333" s="1078">
        <v>10000</v>
      </c>
      <c r="G333" s="1095" t="s">
        <v>1024</v>
      </c>
      <c r="H333" s="1096" t="s">
        <v>208</v>
      </c>
      <c r="I333" s="1095" t="s">
        <v>112</v>
      </c>
      <c r="J333" s="1073" t="s">
        <v>567</v>
      </c>
      <c r="K333" s="1073" t="s">
        <v>567</v>
      </c>
      <c r="L333" s="1073" t="s">
        <v>567</v>
      </c>
      <c r="M333" s="1077" t="s">
        <v>609</v>
      </c>
      <c r="N333" s="1083" t="s">
        <v>2080</v>
      </c>
    </row>
    <row r="334" spans="1:14" ht="15" customHeight="1" x14ac:dyDescent="0.35">
      <c r="A334" s="1077" t="s">
        <v>578</v>
      </c>
      <c r="B334" s="1077" t="s">
        <v>609</v>
      </c>
      <c r="C334" s="1071" t="s">
        <v>1798</v>
      </c>
      <c r="D334" s="1095" t="s">
        <v>1044</v>
      </c>
      <c r="E334" s="1078">
        <v>-10000</v>
      </c>
      <c r="F334" s="1078">
        <v>10000</v>
      </c>
      <c r="G334" s="1095" t="s">
        <v>1024</v>
      </c>
      <c r="H334" s="1096" t="s">
        <v>208</v>
      </c>
      <c r="I334" s="1095" t="s">
        <v>112</v>
      </c>
      <c r="J334" s="1073" t="s">
        <v>567</v>
      </c>
      <c r="K334" s="1073" t="s">
        <v>567</v>
      </c>
      <c r="L334" s="1073" t="s">
        <v>567</v>
      </c>
      <c r="M334" s="1077" t="s">
        <v>609</v>
      </c>
      <c r="N334" s="1083" t="s">
        <v>2081</v>
      </c>
    </row>
    <row r="335" spans="1:14" ht="15" customHeight="1" x14ac:dyDescent="0.2">
      <c r="A335" s="1077" t="s">
        <v>578</v>
      </c>
      <c r="B335" s="1077" t="s">
        <v>609</v>
      </c>
      <c r="C335" s="1071" t="s">
        <v>1618</v>
      </c>
      <c r="D335" s="1095" t="s">
        <v>676</v>
      </c>
      <c r="E335" s="1083">
        <v>-20</v>
      </c>
      <c r="F335" s="1083">
        <v>40</v>
      </c>
      <c r="G335" s="1095" t="s">
        <v>1010</v>
      </c>
      <c r="H335" s="1096" t="s">
        <v>208</v>
      </c>
      <c r="I335" s="1095" t="s">
        <v>112</v>
      </c>
      <c r="J335" s="1079">
        <v>9</v>
      </c>
      <c r="K335" s="1079">
        <v>3</v>
      </c>
      <c r="L335" s="1073" t="s">
        <v>567</v>
      </c>
      <c r="M335" s="1077" t="s">
        <v>609</v>
      </c>
      <c r="N335" s="1083" t="s">
        <v>2082</v>
      </c>
    </row>
    <row r="336" spans="1:14" ht="15" customHeight="1" x14ac:dyDescent="0.2">
      <c r="A336" s="1077" t="s">
        <v>578</v>
      </c>
      <c r="B336" s="1077" t="s">
        <v>609</v>
      </c>
      <c r="C336" s="1071" t="s">
        <v>1619</v>
      </c>
      <c r="D336" s="1095" t="s">
        <v>677</v>
      </c>
      <c r="E336" s="1083">
        <v>-20</v>
      </c>
      <c r="F336" s="1083">
        <v>40</v>
      </c>
      <c r="G336" s="1095" t="s">
        <v>1010</v>
      </c>
      <c r="H336" s="1096" t="s">
        <v>208</v>
      </c>
      <c r="I336" s="1095" t="s">
        <v>112</v>
      </c>
      <c r="J336" s="1079">
        <v>9</v>
      </c>
      <c r="K336" s="1079">
        <v>3</v>
      </c>
      <c r="L336" s="1073" t="s">
        <v>567</v>
      </c>
      <c r="M336" s="1077" t="s">
        <v>609</v>
      </c>
      <c r="N336" s="1083" t="s">
        <v>2083</v>
      </c>
    </row>
    <row r="337" spans="1:14" ht="15" customHeight="1" x14ac:dyDescent="0.2">
      <c r="A337" s="1077" t="s">
        <v>578</v>
      </c>
      <c r="B337" s="1077" t="s">
        <v>609</v>
      </c>
      <c r="C337" s="1071" t="s">
        <v>1620</v>
      </c>
      <c r="D337" s="1095" t="s">
        <v>775</v>
      </c>
      <c r="E337" s="1083">
        <v>1</v>
      </c>
      <c r="F337" s="1083">
        <v>100</v>
      </c>
      <c r="G337" s="1095" t="s">
        <v>245</v>
      </c>
      <c r="H337" s="1096" t="s">
        <v>208</v>
      </c>
      <c r="I337" s="1095" t="s">
        <v>112</v>
      </c>
      <c r="J337" s="1079">
        <v>9</v>
      </c>
      <c r="K337" s="1079">
        <v>3</v>
      </c>
      <c r="L337" s="1073" t="s">
        <v>567</v>
      </c>
      <c r="M337" s="1077" t="s">
        <v>609</v>
      </c>
      <c r="N337" s="1083" t="s">
        <v>2084</v>
      </c>
    </row>
    <row r="338" spans="1:14" ht="15" customHeight="1" x14ac:dyDescent="0.2">
      <c r="A338" s="1089" t="s">
        <v>567</v>
      </c>
      <c r="B338" s="1089" t="s">
        <v>567</v>
      </c>
      <c r="C338" s="1089" t="s">
        <v>567</v>
      </c>
      <c r="D338" s="1089" t="s">
        <v>567</v>
      </c>
      <c r="E338" s="1089" t="s">
        <v>567</v>
      </c>
      <c r="F338" s="1089" t="s">
        <v>567</v>
      </c>
      <c r="G338" s="1089" t="s">
        <v>567</v>
      </c>
      <c r="H338" s="1089" t="s">
        <v>567</v>
      </c>
      <c r="I338" s="1089" t="s">
        <v>567</v>
      </c>
      <c r="J338" s="1081" t="s">
        <v>567</v>
      </c>
      <c r="K338" s="1081" t="s">
        <v>567</v>
      </c>
      <c r="L338" s="1081" t="s">
        <v>567</v>
      </c>
      <c r="M338" s="1089" t="s">
        <v>567</v>
      </c>
      <c r="N338" s="1089" t="s">
        <v>567</v>
      </c>
    </row>
    <row r="339" spans="1:14" ht="15" customHeight="1" x14ac:dyDescent="0.2">
      <c r="A339" s="1077" t="s">
        <v>578</v>
      </c>
      <c r="B339" s="1077" t="s">
        <v>1892</v>
      </c>
      <c r="C339" s="1071" t="s">
        <v>1495</v>
      </c>
      <c r="D339" s="1095" t="s">
        <v>574</v>
      </c>
      <c r="E339" s="1083" t="s">
        <v>561</v>
      </c>
      <c r="F339" s="1083" t="s">
        <v>562</v>
      </c>
      <c r="G339" s="1083" t="s">
        <v>196</v>
      </c>
      <c r="H339" s="1095" t="s">
        <v>206</v>
      </c>
      <c r="I339" s="1095" t="s">
        <v>619</v>
      </c>
      <c r="J339" s="1073" t="s">
        <v>567</v>
      </c>
      <c r="K339" s="1073" t="s">
        <v>567</v>
      </c>
      <c r="L339" s="1079">
        <v>63999</v>
      </c>
      <c r="M339" s="1077" t="s">
        <v>1895</v>
      </c>
      <c r="N339" s="1083" t="s">
        <v>154</v>
      </c>
    </row>
    <row r="340" spans="1:14" ht="15" customHeight="1" x14ac:dyDescent="0.2">
      <c r="A340" s="1077" t="s">
        <v>578</v>
      </c>
      <c r="B340" s="1077" t="s">
        <v>1892</v>
      </c>
      <c r="C340" s="1071" t="s">
        <v>35</v>
      </c>
      <c r="D340" s="1095" t="s">
        <v>35</v>
      </c>
      <c r="E340" s="1097">
        <v>1</v>
      </c>
      <c r="F340" s="1097">
        <f ca="1">TODAY()</f>
        <v>42886</v>
      </c>
      <c r="G340" s="1095" t="s">
        <v>116</v>
      </c>
      <c r="H340" s="1095" t="s">
        <v>206</v>
      </c>
      <c r="I340" s="1095" t="s">
        <v>565</v>
      </c>
      <c r="J340" s="1073" t="s">
        <v>567</v>
      </c>
      <c r="K340" s="1073" t="s">
        <v>567</v>
      </c>
      <c r="L340" s="1073" t="s">
        <v>567</v>
      </c>
      <c r="M340" s="1077" t="s">
        <v>1895</v>
      </c>
      <c r="N340" s="1083" t="s">
        <v>35</v>
      </c>
    </row>
    <row r="341" spans="1:14" ht="15" customHeight="1" x14ac:dyDescent="0.2">
      <c r="A341" s="1077" t="s">
        <v>578</v>
      </c>
      <c r="B341" s="1077" t="s">
        <v>1892</v>
      </c>
      <c r="C341" s="1071" t="s">
        <v>1456</v>
      </c>
      <c r="D341" s="1095" t="s">
        <v>229</v>
      </c>
      <c r="E341" s="1083" t="s">
        <v>561</v>
      </c>
      <c r="F341" s="1083" t="s">
        <v>562</v>
      </c>
      <c r="G341" s="1083" t="s">
        <v>196</v>
      </c>
      <c r="H341" s="1095" t="s">
        <v>208</v>
      </c>
      <c r="I341" s="1095" t="s">
        <v>619</v>
      </c>
      <c r="J341" s="1073" t="s">
        <v>567</v>
      </c>
      <c r="K341" s="1073" t="s">
        <v>567</v>
      </c>
      <c r="L341" s="1079">
        <v>63999</v>
      </c>
      <c r="M341" s="1077" t="s">
        <v>1895</v>
      </c>
      <c r="N341" s="1083" t="s">
        <v>152</v>
      </c>
    </row>
    <row r="342" spans="1:14" ht="15" customHeight="1" x14ac:dyDescent="0.2">
      <c r="A342" s="1077" t="s">
        <v>578</v>
      </c>
      <c r="B342" s="1077" t="s">
        <v>1892</v>
      </c>
      <c r="C342" s="1071" t="s">
        <v>1518</v>
      </c>
      <c r="D342" s="1095" t="s">
        <v>295</v>
      </c>
      <c r="E342" s="1083" t="s">
        <v>561</v>
      </c>
      <c r="F342" s="1083" t="s">
        <v>562</v>
      </c>
      <c r="G342" s="1083" t="s">
        <v>196</v>
      </c>
      <c r="H342" s="1095" t="s">
        <v>208</v>
      </c>
      <c r="I342" s="1095" t="s">
        <v>619</v>
      </c>
      <c r="J342" s="1073" t="s">
        <v>567</v>
      </c>
      <c r="K342" s="1073" t="s">
        <v>567</v>
      </c>
      <c r="L342" s="1079">
        <v>63999</v>
      </c>
      <c r="M342" s="1077" t="s">
        <v>1895</v>
      </c>
      <c r="N342" s="1083" t="s">
        <v>76</v>
      </c>
    </row>
    <row r="343" spans="1:14" ht="15" customHeight="1" x14ac:dyDescent="0.2">
      <c r="A343" s="1077" t="s">
        <v>578</v>
      </c>
      <c r="B343" s="1077" t="s">
        <v>1892</v>
      </c>
      <c r="C343" s="1071" t="s">
        <v>77</v>
      </c>
      <c r="D343" s="1095" t="s">
        <v>267</v>
      </c>
      <c r="E343" s="1083" t="s">
        <v>561</v>
      </c>
      <c r="F343" s="1083" t="s">
        <v>562</v>
      </c>
      <c r="G343" s="1083" t="s">
        <v>196</v>
      </c>
      <c r="H343" s="1095" t="s">
        <v>208</v>
      </c>
      <c r="I343" s="1095" t="s">
        <v>619</v>
      </c>
      <c r="J343" s="1073" t="s">
        <v>567</v>
      </c>
      <c r="K343" s="1073" t="s">
        <v>567</v>
      </c>
      <c r="L343" s="1079">
        <v>63999</v>
      </c>
      <c r="M343" s="1077" t="s">
        <v>1895</v>
      </c>
      <c r="N343" s="1083" t="s">
        <v>77</v>
      </c>
    </row>
    <row r="344" spans="1:14" ht="15" customHeight="1" x14ac:dyDescent="0.2">
      <c r="A344" s="1077" t="s">
        <v>578</v>
      </c>
      <c r="B344" s="1077" t="s">
        <v>1892</v>
      </c>
      <c r="C344" s="1071" t="s">
        <v>1624</v>
      </c>
      <c r="D344" s="1095" t="s">
        <v>490</v>
      </c>
      <c r="E344" s="1083" t="s">
        <v>561</v>
      </c>
      <c r="F344" s="1083" t="s">
        <v>562</v>
      </c>
      <c r="G344" s="1083" t="s">
        <v>196</v>
      </c>
      <c r="H344" s="1096" t="s">
        <v>208</v>
      </c>
      <c r="I344" s="1095" t="s">
        <v>619</v>
      </c>
      <c r="J344" s="1073" t="s">
        <v>567</v>
      </c>
      <c r="K344" s="1073" t="s">
        <v>567</v>
      </c>
      <c r="L344" s="1079">
        <v>63999</v>
      </c>
      <c r="M344" s="1077" t="s">
        <v>1895</v>
      </c>
      <c r="N344" s="1083" t="s">
        <v>398</v>
      </c>
    </row>
    <row r="345" spans="1:14" ht="15" customHeight="1" x14ac:dyDescent="0.2">
      <c r="A345" s="1077" t="s">
        <v>578</v>
      </c>
      <c r="B345" s="1077" t="s">
        <v>1892</v>
      </c>
      <c r="C345" s="1071" t="s">
        <v>1623</v>
      </c>
      <c r="D345" s="1095" t="s">
        <v>317</v>
      </c>
      <c r="E345" s="1083">
        <v>0</v>
      </c>
      <c r="F345" s="1078">
        <v>50000</v>
      </c>
      <c r="G345" s="1095" t="s">
        <v>46</v>
      </c>
      <c r="H345" s="1096" t="s">
        <v>208</v>
      </c>
      <c r="I345" s="1095" t="s">
        <v>112</v>
      </c>
      <c r="J345" s="1079">
        <v>9</v>
      </c>
      <c r="K345" s="1079">
        <v>3</v>
      </c>
      <c r="L345" s="1073" t="s">
        <v>567</v>
      </c>
      <c r="M345" s="1077" t="s">
        <v>1895</v>
      </c>
      <c r="N345" s="1083" t="s">
        <v>2085</v>
      </c>
    </row>
    <row r="346" spans="1:14" s="1071" customFormat="1" ht="15" customHeight="1" x14ac:dyDescent="0.2">
      <c r="A346" s="1077" t="s">
        <v>578</v>
      </c>
      <c r="B346" s="1077" t="s">
        <v>1892</v>
      </c>
      <c r="C346" s="1071" t="s">
        <v>1625</v>
      </c>
      <c r="D346" s="1095" t="s">
        <v>318</v>
      </c>
      <c r="E346" s="1083">
        <v>0</v>
      </c>
      <c r="F346" s="1078">
        <v>50000</v>
      </c>
      <c r="G346" s="1095" t="s">
        <v>118</v>
      </c>
      <c r="H346" s="1096" t="s">
        <v>208</v>
      </c>
      <c r="I346" s="1095" t="s">
        <v>112</v>
      </c>
      <c r="J346" s="1079">
        <v>9</v>
      </c>
      <c r="K346" s="1079">
        <v>3</v>
      </c>
      <c r="L346" s="1073" t="s">
        <v>567</v>
      </c>
      <c r="M346" s="1077" t="s">
        <v>1895</v>
      </c>
      <c r="N346" s="1083" t="s">
        <v>2086</v>
      </c>
    </row>
    <row r="347" spans="1:14" ht="15" customHeight="1" x14ac:dyDescent="0.2">
      <c r="A347" s="1077" t="s">
        <v>578</v>
      </c>
      <c r="B347" s="1077" t="s">
        <v>1892</v>
      </c>
      <c r="C347" s="1071" t="s">
        <v>1626</v>
      </c>
      <c r="D347" s="1095" t="s">
        <v>776</v>
      </c>
      <c r="E347" s="1083">
        <v>0</v>
      </c>
      <c r="F347" s="1083">
        <v>1000</v>
      </c>
      <c r="G347" s="1095" t="s">
        <v>138</v>
      </c>
      <c r="H347" s="1096" t="s">
        <v>208</v>
      </c>
      <c r="I347" s="1095" t="s">
        <v>112</v>
      </c>
      <c r="J347" s="1079">
        <v>9</v>
      </c>
      <c r="K347" s="1079">
        <v>3</v>
      </c>
      <c r="L347" s="1073" t="s">
        <v>567</v>
      </c>
      <c r="M347" s="1077" t="s">
        <v>1895</v>
      </c>
      <c r="N347" s="1083" t="s">
        <v>2087</v>
      </c>
    </row>
    <row r="348" spans="1:14" ht="15" customHeight="1" x14ac:dyDescent="0.2">
      <c r="A348" s="1077" t="s">
        <v>578</v>
      </c>
      <c r="B348" s="1077" t="s">
        <v>1892</v>
      </c>
      <c r="C348" s="1071" t="s">
        <v>1627</v>
      </c>
      <c r="D348" s="1095" t="s">
        <v>320</v>
      </c>
      <c r="E348" s="1083">
        <v>0</v>
      </c>
      <c r="F348" s="1078">
        <v>50000</v>
      </c>
      <c r="G348" s="1095" t="s">
        <v>118</v>
      </c>
      <c r="H348" s="1096" t="s">
        <v>208</v>
      </c>
      <c r="I348" s="1095" t="s">
        <v>112</v>
      </c>
      <c r="J348" s="1079">
        <v>9</v>
      </c>
      <c r="K348" s="1079">
        <v>3</v>
      </c>
      <c r="L348" s="1073" t="s">
        <v>567</v>
      </c>
      <c r="M348" s="1077" t="s">
        <v>1895</v>
      </c>
      <c r="N348" s="1083" t="s">
        <v>2088</v>
      </c>
    </row>
    <row r="349" spans="1:14" ht="15" customHeight="1" x14ac:dyDescent="0.2">
      <c r="A349" s="1077" t="s">
        <v>578</v>
      </c>
      <c r="B349" s="1077" t="s">
        <v>1892</v>
      </c>
      <c r="C349" s="1071" t="s">
        <v>1628</v>
      </c>
      <c r="D349" s="1095" t="s">
        <v>322</v>
      </c>
      <c r="E349" s="1083">
        <v>0</v>
      </c>
      <c r="F349" s="1083">
        <v>100</v>
      </c>
      <c r="G349" s="1095" t="s">
        <v>40</v>
      </c>
      <c r="H349" s="1096" t="s">
        <v>208</v>
      </c>
      <c r="I349" s="1095" t="s">
        <v>112</v>
      </c>
      <c r="J349" s="1079">
        <v>9</v>
      </c>
      <c r="K349" s="1079">
        <v>3</v>
      </c>
      <c r="L349" s="1073" t="s">
        <v>567</v>
      </c>
      <c r="M349" s="1077" t="s">
        <v>1895</v>
      </c>
      <c r="N349" s="1083" t="s">
        <v>2089</v>
      </c>
    </row>
    <row r="350" spans="1:14" ht="15" customHeight="1" x14ac:dyDescent="0.2">
      <c r="A350" s="1077" t="s">
        <v>578</v>
      </c>
      <c r="B350" s="1077" t="s">
        <v>1892</v>
      </c>
      <c r="C350" s="1071" t="s">
        <v>1629</v>
      </c>
      <c r="D350" s="1095" t="s">
        <v>324</v>
      </c>
      <c r="E350" s="1083">
        <v>0</v>
      </c>
      <c r="F350" s="1078">
        <v>25000</v>
      </c>
      <c r="G350" s="1095" t="s">
        <v>119</v>
      </c>
      <c r="H350" s="1096" t="s">
        <v>208</v>
      </c>
      <c r="I350" s="1095" t="s">
        <v>112</v>
      </c>
      <c r="J350" s="1079">
        <v>9</v>
      </c>
      <c r="K350" s="1079">
        <v>3</v>
      </c>
      <c r="L350" s="1073" t="s">
        <v>567</v>
      </c>
      <c r="M350" s="1077" t="s">
        <v>1895</v>
      </c>
      <c r="N350" s="1083" t="s">
        <v>2090</v>
      </c>
    </row>
    <row r="351" spans="1:14" ht="15" customHeight="1" x14ac:dyDescent="0.2">
      <c r="A351" s="1077" t="s">
        <v>578</v>
      </c>
      <c r="B351" s="1077" t="s">
        <v>1892</v>
      </c>
      <c r="C351" s="1071" t="s">
        <v>1630</v>
      </c>
      <c r="D351" s="1095" t="s">
        <v>326</v>
      </c>
      <c r="E351" s="1083">
        <v>0</v>
      </c>
      <c r="F351" s="1078">
        <v>10000</v>
      </c>
      <c r="G351" s="1095" t="s">
        <v>91</v>
      </c>
      <c r="H351" s="1096" t="s">
        <v>208</v>
      </c>
      <c r="I351" s="1095" t="s">
        <v>112</v>
      </c>
      <c r="J351" s="1079">
        <v>9</v>
      </c>
      <c r="K351" s="1079">
        <v>3</v>
      </c>
      <c r="L351" s="1073" t="s">
        <v>567</v>
      </c>
      <c r="M351" s="1077" t="s">
        <v>1895</v>
      </c>
      <c r="N351" s="1083" t="s">
        <v>2091</v>
      </c>
    </row>
    <row r="352" spans="1:14" ht="15" customHeight="1" x14ac:dyDescent="0.2">
      <c r="A352" s="1077" t="s">
        <v>578</v>
      </c>
      <c r="B352" s="1077" t="s">
        <v>1892</v>
      </c>
      <c r="C352" s="1071" t="s">
        <v>1856</v>
      </c>
      <c r="D352" s="1095" t="s">
        <v>984</v>
      </c>
      <c r="E352" s="1083">
        <v>0</v>
      </c>
      <c r="F352" s="1078">
        <v>50000</v>
      </c>
      <c r="G352" s="1095" t="s">
        <v>118</v>
      </c>
      <c r="H352" s="1096" t="s">
        <v>208</v>
      </c>
      <c r="I352" s="1095" t="s">
        <v>112</v>
      </c>
      <c r="J352" s="1079">
        <v>9</v>
      </c>
      <c r="K352" s="1079">
        <v>3</v>
      </c>
      <c r="L352" s="1073" t="s">
        <v>567</v>
      </c>
      <c r="M352" s="1077" t="s">
        <v>1895</v>
      </c>
      <c r="N352" s="1083" t="s">
        <v>2092</v>
      </c>
    </row>
    <row r="353" spans="1:14" ht="15" customHeight="1" x14ac:dyDescent="0.2">
      <c r="A353" s="1077" t="s">
        <v>578</v>
      </c>
      <c r="B353" s="1077" t="s">
        <v>1892</v>
      </c>
      <c r="C353" s="1071" t="s">
        <v>1631</v>
      </c>
      <c r="D353" s="1095" t="s">
        <v>329</v>
      </c>
      <c r="E353" s="1083">
        <v>0</v>
      </c>
      <c r="F353" s="1083">
        <v>100</v>
      </c>
      <c r="G353" s="1095" t="s">
        <v>40</v>
      </c>
      <c r="H353" s="1096" t="s">
        <v>208</v>
      </c>
      <c r="I353" s="1095" t="s">
        <v>112</v>
      </c>
      <c r="J353" s="1079">
        <v>9</v>
      </c>
      <c r="K353" s="1079">
        <v>3</v>
      </c>
      <c r="L353" s="1073" t="s">
        <v>567</v>
      </c>
      <c r="M353" s="1077" t="s">
        <v>1895</v>
      </c>
      <c r="N353" s="1083" t="s">
        <v>2093</v>
      </c>
    </row>
    <row r="354" spans="1:14" ht="15" customHeight="1" x14ac:dyDescent="0.2">
      <c r="A354" s="1077" t="s">
        <v>578</v>
      </c>
      <c r="B354" s="1077" t="s">
        <v>1892</v>
      </c>
      <c r="C354" s="1071" t="s">
        <v>1632</v>
      </c>
      <c r="D354" s="1095" t="s">
        <v>982</v>
      </c>
      <c r="E354" s="1083">
        <v>0</v>
      </c>
      <c r="F354" s="1078">
        <v>25000</v>
      </c>
      <c r="G354" s="1095" t="s">
        <v>119</v>
      </c>
      <c r="H354" s="1096" t="s">
        <v>208</v>
      </c>
      <c r="I354" s="1095" t="s">
        <v>112</v>
      </c>
      <c r="J354" s="1079">
        <v>9</v>
      </c>
      <c r="K354" s="1079">
        <v>3</v>
      </c>
      <c r="L354" s="1073" t="s">
        <v>567</v>
      </c>
      <c r="M354" s="1077" t="s">
        <v>1895</v>
      </c>
      <c r="N354" s="1083" t="s">
        <v>2094</v>
      </c>
    </row>
    <row r="355" spans="1:14" ht="15" customHeight="1" x14ac:dyDescent="0.2">
      <c r="A355" s="1077" t="s">
        <v>578</v>
      </c>
      <c r="B355" s="1077" t="s">
        <v>1892</v>
      </c>
      <c r="C355" s="1071" t="s">
        <v>1633</v>
      </c>
      <c r="D355" s="1095" t="s">
        <v>986</v>
      </c>
      <c r="E355" s="1083">
        <v>0</v>
      </c>
      <c r="F355" s="1078">
        <v>25000</v>
      </c>
      <c r="G355" s="1095" t="s">
        <v>91</v>
      </c>
      <c r="H355" s="1095" t="s">
        <v>208</v>
      </c>
      <c r="I355" s="1095" t="s">
        <v>112</v>
      </c>
      <c r="J355" s="1079">
        <v>9</v>
      </c>
      <c r="K355" s="1079">
        <v>3</v>
      </c>
      <c r="L355" s="1073" t="s">
        <v>567</v>
      </c>
      <c r="M355" s="1077" t="s">
        <v>1895</v>
      </c>
      <c r="N355" s="1083" t="s">
        <v>2095</v>
      </c>
    </row>
    <row r="356" spans="1:14" ht="15" customHeight="1" x14ac:dyDescent="0.2">
      <c r="A356" s="1077" t="s">
        <v>578</v>
      </c>
      <c r="B356" s="1077" t="s">
        <v>1892</v>
      </c>
      <c r="C356" s="1071" t="s">
        <v>1857</v>
      </c>
      <c r="D356" s="1095" t="s">
        <v>985</v>
      </c>
      <c r="E356" s="1083">
        <v>0</v>
      </c>
      <c r="F356" s="1078">
        <v>5000</v>
      </c>
      <c r="G356" s="1095" t="s">
        <v>118</v>
      </c>
      <c r="H356" s="1096" t="s">
        <v>208</v>
      </c>
      <c r="I356" s="1095" t="s">
        <v>112</v>
      </c>
      <c r="J356" s="1079">
        <v>9</v>
      </c>
      <c r="K356" s="1079">
        <v>3</v>
      </c>
      <c r="L356" s="1073" t="s">
        <v>567</v>
      </c>
      <c r="M356" s="1077" t="s">
        <v>1895</v>
      </c>
      <c r="N356" s="1083" t="s">
        <v>2096</v>
      </c>
    </row>
    <row r="357" spans="1:14" ht="15" customHeight="1" x14ac:dyDescent="0.2">
      <c r="A357" s="1077" t="s">
        <v>578</v>
      </c>
      <c r="B357" s="1077" t="s">
        <v>1892</v>
      </c>
      <c r="C357" s="1071" t="s">
        <v>1863</v>
      </c>
      <c r="D357" s="1095" t="s">
        <v>329</v>
      </c>
      <c r="E357" s="1083">
        <v>0</v>
      </c>
      <c r="F357" s="1083">
        <v>100</v>
      </c>
      <c r="G357" s="1095" t="s">
        <v>40</v>
      </c>
      <c r="H357" s="1096" t="s">
        <v>208</v>
      </c>
      <c r="I357" s="1095" t="s">
        <v>112</v>
      </c>
      <c r="J357" s="1079">
        <v>9</v>
      </c>
      <c r="K357" s="1079">
        <v>3</v>
      </c>
      <c r="L357" s="1073" t="s">
        <v>567</v>
      </c>
      <c r="M357" s="1077" t="s">
        <v>1895</v>
      </c>
      <c r="N357" s="1083" t="s">
        <v>2097</v>
      </c>
    </row>
    <row r="358" spans="1:14" ht="15" customHeight="1" x14ac:dyDescent="0.2">
      <c r="A358" s="1077" t="s">
        <v>578</v>
      </c>
      <c r="B358" s="1077" t="s">
        <v>1892</v>
      </c>
      <c r="C358" s="1071" t="s">
        <v>1864</v>
      </c>
      <c r="D358" s="1095" t="s">
        <v>983</v>
      </c>
      <c r="E358" s="1083">
        <v>0</v>
      </c>
      <c r="F358" s="1078">
        <v>25000</v>
      </c>
      <c r="G358" s="1095" t="s">
        <v>119</v>
      </c>
      <c r="H358" s="1096" t="s">
        <v>208</v>
      </c>
      <c r="I358" s="1095" t="s">
        <v>112</v>
      </c>
      <c r="J358" s="1079">
        <v>9</v>
      </c>
      <c r="K358" s="1079">
        <v>3</v>
      </c>
      <c r="L358" s="1073" t="s">
        <v>567</v>
      </c>
      <c r="M358" s="1077" t="s">
        <v>1895</v>
      </c>
      <c r="N358" s="1083" t="s">
        <v>2098</v>
      </c>
    </row>
    <row r="359" spans="1:14" ht="15" customHeight="1" x14ac:dyDescent="0.2">
      <c r="A359" s="1077" t="s">
        <v>578</v>
      </c>
      <c r="B359" s="1077" t="s">
        <v>1892</v>
      </c>
      <c r="C359" s="1071" t="s">
        <v>1862</v>
      </c>
      <c r="D359" s="1095" t="s">
        <v>987</v>
      </c>
      <c r="E359" s="1083">
        <v>0</v>
      </c>
      <c r="F359" s="1078">
        <v>10000</v>
      </c>
      <c r="G359" s="1095" t="s">
        <v>91</v>
      </c>
      <c r="H359" s="1096" t="s">
        <v>208</v>
      </c>
      <c r="I359" s="1095" t="s">
        <v>112</v>
      </c>
      <c r="J359" s="1079">
        <v>9</v>
      </c>
      <c r="K359" s="1079">
        <v>3</v>
      </c>
      <c r="L359" s="1073" t="s">
        <v>567</v>
      </c>
      <c r="M359" s="1077" t="s">
        <v>1895</v>
      </c>
      <c r="N359" s="1083" t="s">
        <v>2099</v>
      </c>
    </row>
    <row r="360" spans="1:14" ht="15" customHeight="1" x14ac:dyDescent="0.2">
      <c r="A360" s="1077" t="s">
        <v>578</v>
      </c>
      <c r="B360" s="1077" t="s">
        <v>1892</v>
      </c>
      <c r="C360" s="1071" t="s">
        <v>1634</v>
      </c>
      <c r="D360" s="1095" t="s">
        <v>333</v>
      </c>
      <c r="E360" s="1083">
        <v>0</v>
      </c>
      <c r="F360" s="1078">
        <v>50000</v>
      </c>
      <c r="G360" s="1095" t="s">
        <v>118</v>
      </c>
      <c r="H360" s="1096" t="s">
        <v>208</v>
      </c>
      <c r="I360" s="1095" t="s">
        <v>112</v>
      </c>
      <c r="J360" s="1079">
        <v>9</v>
      </c>
      <c r="K360" s="1079">
        <v>3</v>
      </c>
      <c r="L360" s="1073" t="s">
        <v>567</v>
      </c>
      <c r="M360" s="1077" t="s">
        <v>1895</v>
      </c>
      <c r="N360" s="1083" t="s">
        <v>2100</v>
      </c>
    </row>
    <row r="361" spans="1:14" ht="15" customHeight="1" x14ac:dyDescent="0.2">
      <c r="A361" s="1077" t="s">
        <v>578</v>
      </c>
      <c r="B361" s="1077" t="s">
        <v>1892</v>
      </c>
      <c r="C361" s="1071" t="s">
        <v>1635</v>
      </c>
      <c r="D361" s="1095" t="s">
        <v>334</v>
      </c>
      <c r="E361" s="1083">
        <v>0</v>
      </c>
      <c r="F361" s="1083">
        <v>100</v>
      </c>
      <c r="G361" s="1095" t="s">
        <v>40</v>
      </c>
      <c r="H361" s="1096" t="s">
        <v>208</v>
      </c>
      <c r="I361" s="1095" t="s">
        <v>112</v>
      </c>
      <c r="J361" s="1079">
        <v>9</v>
      </c>
      <c r="K361" s="1079">
        <v>3</v>
      </c>
      <c r="L361" s="1073" t="s">
        <v>567</v>
      </c>
      <c r="M361" s="1077" t="s">
        <v>1895</v>
      </c>
      <c r="N361" s="1083" t="s">
        <v>2101</v>
      </c>
    </row>
    <row r="362" spans="1:14" ht="15" customHeight="1" x14ac:dyDescent="0.2">
      <c r="A362" s="1077" t="s">
        <v>578</v>
      </c>
      <c r="B362" s="1077" t="s">
        <v>1892</v>
      </c>
      <c r="C362" s="1071" t="s">
        <v>1636</v>
      </c>
      <c r="D362" s="1095" t="s">
        <v>336</v>
      </c>
      <c r="E362" s="1083">
        <v>0</v>
      </c>
      <c r="F362" s="1078">
        <v>25000</v>
      </c>
      <c r="G362" s="1095" t="s">
        <v>119</v>
      </c>
      <c r="H362" s="1096" t="s">
        <v>208</v>
      </c>
      <c r="I362" s="1095" t="s">
        <v>112</v>
      </c>
      <c r="J362" s="1079">
        <v>9</v>
      </c>
      <c r="K362" s="1079">
        <v>3</v>
      </c>
      <c r="L362" s="1073" t="s">
        <v>567</v>
      </c>
      <c r="M362" s="1077" t="s">
        <v>1895</v>
      </c>
      <c r="N362" s="1083" t="s">
        <v>2102</v>
      </c>
    </row>
    <row r="363" spans="1:14" ht="15" customHeight="1" x14ac:dyDescent="0.2">
      <c r="A363" s="1077" t="s">
        <v>578</v>
      </c>
      <c r="B363" s="1077" t="s">
        <v>1892</v>
      </c>
      <c r="C363" s="1071" t="s">
        <v>1637</v>
      </c>
      <c r="D363" s="1095" t="s">
        <v>0</v>
      </c>
      <c r="E363" s="1083">
        <v>0</v>
      </c>
      <c r="F363" s="1078">
        <v>10000</v>
      </c>
      <c r="G363" s="1095" t="s">
        <v>91</v>
      </c>
      <c r="H363" s="1096" t="s">
        <v>208</v>
      </c>
      <c r="I363" s="1095" t="s">
        <v>112</v>
      </c>
      <c r="J363" s="1079">
        <v>9</v>
      </c>
      <c r="K363" s="1079">
        <v>3</v>
      </c>
      <c r="L363" s="1073" t="s">
        <v>567</v>
      </c>
      <c r="M363" s="1077" t="s">
        <v>1895</v>
      </c>
      <c r="N363" s="1083" t="s">
        <v>2103</v>
      </c>
    </row>
    <row r="364" spans="1:14" ht="15" customHeight="1" x14ac:dyDescent="0.2">
      <c r="A364" s="1077" t="s">
        <v>578</v>
      </c>
      <c r="B364" s="1077" t="s">
        <v>1892</v>
      </c>
      <c r="C364" s="1071" t="s">
        <v>1638</v>
      </c>
      <c r="D364" s="1095" t="s">
        <v>584</v>
      </c>
      <c r="E364" s="1083">
        <v>0</v>
      </c>
      <c r="F364" s="1078">
        <v>50000</v>
      </c>
      <c r="G364" s="1095" t="s">
        <v>46</v>
      </c>
      <c r="H364" s="1095" t="s">
        <v>208</v>
      </c>
      <c r="I364" s="1095" t="s">
        <v>112</v>
      </c>
      <c r="J364" s="1079">
        <v>9</v>
      </c>
      <c r="K364" s="1079">
        <v>3</v>
      </c>
      <c r="L364" s="1073" t="s">
        <v>567</v>
      </c>
      <c r="M364" s="1077" t="s">
        <v>1895</v>
      </c>
      <c r="N364" s="1083" t="s">
        <v>2104</v>
      </c>
    </row>
    <row r="365" spans="1:14" ht="15" customHeight="1" x14ac:dyDescent="0.2">
      <c r="A365" s="1077" t="s">
        <v>578</v>
      </c>
      <c r="B365" s="1077" t="s">
        <v>1892</v>
      </c>
      <c r="C365" s="1071" t="s">
        <v>1639</v>
      </c>
      <c r="D365" s="1095" t="s">
        <v>658</v>
      </c>
      <c r="E365" s="1083">
        <v>0</v>
      </c>
      <c r="F365" s="1078">
        <v>50000</v>
      </c>
      <c r="G365" s="1095" t="s">
        <v>118</v>
      </c>
      <c r="H365" s="1096" t="s">
        <v>208</v>
      </c>
      <c r="I365" s="1095" t="s">
        <v>112</v>
      </c>
      <c r="J365" s="1079">
        <v>9</v>
      </c>
      <c r="K365" s="1079">
        <v>3</v>
      </c>
      <c r="L365" s="1073" t="s">
        <v>567</v>
      </c>
      <c r="M365" s="1077" t="s">
        <v>1895</v>
      </c>
      <c r="N365" s="1083" t="s">
        <v>2105</v>
      </c>
    </row>
    <row r="366" spans="1:14" ht="15" customHeight="1" x14ac:dyDescent="0.2">
      <c r="A366" s="1077" t="s">
        <v>578</v>
      </c>
      <c r="B366" s="1077" t="s">
        <v>1892</v>
      </c>
      <c r="C366" s="1071" t="s">
        <v>1640</v>
      </c>
      <c r="D366" s="1095" t="s">
        <v>319</v>
      </c>
      <c r="E366" s="1083">
        <v>0</v>
      </c>
      <c r="F366" s="1083">
        <v>1000</v>
      </c>
      <c r="G366" s="1095" t="s">
        <v>138</v>
      </c>
      <c r="H366" s="1096" t="s">
        <v>208</v>
      </c>
      <c r="I366" s="1095" t="s">
        <v>112</v>
      </c>
      <c r="J366" s="1079">
        <v>9</v>
      </c>
      <c r="K366" s="1079">
        <v>3</v>
      </c>
      <c r="L366" s="1073" t="s">
        <v>567</v>
      </c>
      <c r="M366" s="1077" t="s">
        <v>1895</v>
      </c>
      <c r="N366" s="1083" t="s">
        <v>2106</v>
      </c>
    </row>
    <row r="367" spans="1:14" ht="15" customHeight="1" x14ac:dyDescent="0.2">
      <c r="A367" s="1077" t="s">
        <v>578</v>
      </c>
      <c r="B367" s="1077" t="s">
        <v>1892</v>
      </c>
      <c r="C367" s="1071" t="s">
        <v>1641</v>
      </c>
      <c r="D367" s="1095" t="s">
        <v>321</v>
      </c>
      <c r="E367" s="1083">
        <v>0</v>
      </c>
      <c r="F367" s="1078">
        <v>50000</v>
      </c>
      <c r="G367" s="1095" t="s">
        <v>118</v>
      </c>
      <c r="H367" s="1096" t="s">
        <v>208</v>
      </c>
      <c r="I367" s="1095" t="s">
        <v>112</v>
      </c>
      <c r="J367" s="1079">
        <v>9</v>
      </c>
      <c r="K367" s="1079">
        <v>3</v>
      </c>
      <c r="L367" s="1073" t="s">
        <v>567</v>
      </c>
      <c r="M367" s="1077" t="s">
        <v>1895</v>
      </c>
      <c r="N367" s="1083" t="s">
        <v>2107</v>
      </c>
    </row>
    <row r="368" spans="1:14" ht="15" customHeight="1" x14ac:dyDescent="0.2">
      <c r="A368" s="1077" t="s">
        <v>578</v>
      </c>
      <c r="B368" s="1077" t="s">
        <v>1892</v>
      </c>
      <c r="C368" s="1071" t="s">
        <v>1642</v>
      </c>
      <c r="D368" s="1095" t="s">
        <v>323</v>
      </c>
      <c r="E368" s="1083">
        <v>0</v>
      </c>
      <c r="F368" s="1083">
        <v>100</v>
      </c>
      <c r="G368" s="1095" t="s">
        <v>40</v>
      </c>
      <c r="H368" s="1096" t="s">
        <v>208</v>
      </c>
      <c r="I368" s="1095" t="s">
        <v>112</v>
      </c>
      <c r="J368" s="1079">
        <v>9</v>
      </c>
      <c r="K368" s="1079">
        <v>3</v>
      </c>
      <c r="L368" s="1073" t="s">
        <v>567</v>
      </c>
      <c r="M368" s="1077" t="s">
        <v>1895</v>
      </c>
      <c r="N368" s="1083" t="s">
        <v>2108</v>
      </c>
    </row>
    <row r="369" spans="1:14" ht="15" customHeight="1" x14ac:dyDescent="0.2">
      <c r="A369" s="1077" t="s">
        <v>578</v>
      </c>
      <c r="B369" s="1077" t="s">
        <v>1892</v>
      </c>
      <c r="C369" s="1071" t="s">
        <v>1643</v>
      </c>
      <c r="D369" s="1095" t="s">
        <v>325</v>
      </c>
      <c r="E369" s="1083">
        <v>0</v>
      </c>
      <c r="F369" s="1078">
        <v>25000</v>
      </c>
      <c r="G369" s="1095" t="s">
        <v>119</v>
      </c>
      <c r="H369" s="1096" t="s">
        <v>208</v>
      </c>
      <c r="I369" s="1095" t="s">
        <v>112</v>
      </c>
      <c r="J369" s="1079">
        <v>9</v>
      </c>
      <c r="K369" s="1079">
        <v>3</v>
      </c>
      <c r="L369" s="1073" t="s">
        <v>567</v>
      </c>
      <c r="M369" s="1077" t="s">
        <v>1895</v>
      </c>
      <c r="N369" s="1083" t="s">
        <v>2109</v>
      </c>
    </row>
    <row r="370" spans="1:14" ht="15" customHeight="1" x14ac:dyDescent="0.2">
      <c r="A370" s="1077" t="s">
        <v>578</v>
      </c>
      <c r="B370" s="1077" t="s">
        <v>1892</v>
      </c>
      <c r="C370" s="1071" t="s">
        <v>1644</v>
      </c>
      <c r="D370" s="1095" t="s">
        <v>327</v>
      </c>
      <c r="E370" s="1083">
        <v>0</v>
      </c>
      <c r="F370" s="1078">
        <v>10000</v>
      </c>
      <c r="G370" s="1095" t="s">
        <v>91</v>
      </c>
      <c r="H370" s="1096" t="s">
        <v>208</v>
      </c>
      <c r="I370" s="1095" t="s">
        <v>112</v>
      </c>
      <c r="J370" s="1079">
        <v>9</v>
      </c>
      <c r="K370" s="1079">
        <v>3</v>
      </c>
      <c r="L370" s="1073" t="s">
        <v>567</v>
      </c>
      <c r="M370" s="1077" t="s">
        <v>1895</v>
      </c>
      <c r="N370" s="1083" t="s">
        <v>2110</v>
      </c>
    </row>
    <row r="371" spans="1:14" ht="15" customHeight="1" x14ac:dyDescent="0.2">
      <c r="A371" s="1077" t="s">
        <v>578</v>
      </c>
      <c r="B371" s="1077" t="s">
        <v>1892</v>
      </c>
      <c r="C371" s="1071" t="s">
        <v>1855</v>
      </c>
      <c r="D371" s="1095" t="s">
        <v>988</v>
      </c>
      <c r="E371" s="1083">
        <v>0</v>
      </c>
      <c r="F371" s="1078">
        <v>50000</v>
      </c>
      <c r="G371" s="1095" t="s">
        <v>118</v>
      </c>
      <c r="H371" s="1096" t="s">
        <v>208</v>
      </c>
      <c r="I371" s="1095" t="s">
        <v>112</v>
      </c>
      <c r="J371" s="1079">
        <v>9</v>
      </c>
      <c r="K371" s="1079">
        <v>3</v>
      </c>
      <c r="L371" s="1073" t="s">
        <v>567</v>
      </c>
      <c r="M371" s="1077" t="s">
        <v>1895</v>
      </c>
      <c r="N371" s="1083" t="s">
        <v>2111</v>
      </c>
    </row>
    <row r="372" spans="1:14" ht="15" customHeight="1" x14ac:dyDescent="0.2">
      <c r="A372" s="1077" t="s">
        <v>578</v>
      </c>
      <c r="B372" s="1077" t="s">
        <v>1892</v>
      </c>
      <c r="C372" s="1071" t="s">
        <v>1645</v>
      </c>
      <c r="D372" s="1095" t="s">
        <v>330</v>
      </c>
      <c r="E372" s="1083">
        <v>0</v>
      </c>
      <c r="F372" s="1083">
        <v>100</v>
      </c>
      <c r="G372" s="1095" t="s">
        <v>40</v>
      </c>
      <c r="H372" s="1096" t="s">
        <v>208</v>
      </c>
      <c r="I372" s="1095" t="s">
        <v>112</v>
      </c>
      <c r="J372" s="1079">
        <v>9</v>
      </c>
      <c r="K372" s="1079">
        <v>3</v>
      </c>
      <c r="L372" s="1073" t="s">
        <v>567</v>
      </c>
      <c r="M372" s="1077" t="s">
        <v>1895</v>
      </c>
      <c r="N372" s="1083" t="s">
        <v>2112</v>
      </c>
    </row>
    <row r="373" spans="1:14" ht="15" customHeight="1" x14ac:dyDescent="0.2">
      <c r="A373" s="1077" t="s">
        <v>578</v>
      </c>
      <c r="B373" s="1077" t="s">
        <v>1892</v>
      </c>
      <c r="C373" s="1071" t="s">
        <v>1646</v>
      </c>
      <c r="D373" s="1095" t="s">
        <v>989</v>
      </c>
      <c r="E373" s="1083">
        <v>0</v>
      </c>
      <c r="F373" s="1078">
        <v>25000</v>
      </c>
      <c r="G373" s="1095" t="s">
        <v>119</v>
      </c>
      <c r="H373" s="1096" t="s">
        <v>208</v>
      </c>
      <c r="I373" s="1095" t="s">
        <v>112</v>
      </c>
      <c r="J373" s="1079">
        <v>9</v>
      </c>
      <c r="K373" s="1079">
        <v>3</v>
      </c>
      <c r="L373" s="1073" t="s">
        <v>567</v>
      </c>
      <c r="M373" s="1077" t="s">
        <v>1895</v>
      </c>
      <c r="N373" s="1083" t="s">
        <v>2113</v>
      </c>
    </row>
    <row r="374" spans="1:14" ht="15" customHeight="1" x14ac:dyDescent="0.2">
      <c r="A374" s="1077" t="s">
        <v>578</v>
      </c>
      <c r="B374" s="1077" t="s">
        <v>1892</v>
      </c>
      <c r="C374" s="1071" t="s">
        <v>1647</v>
      </c>
      <c r="D374" s="1095" t="s">
        <v>990</v>
      </c>
      <c r="E374" s="1083">
        <v>0</v>
      </c>
      <c r="F374" s="1078">
        <v>25000</v>
      </c>
      <c r="G374" s="1095" t="s">
        <v>91</v>
      </c>
      <c r="H374" s="1096" t="s">
        <v>208</v>
      </c>
      <c r="I374" s="1095" t="s">
        <v>112</v>
      </c>
      <c r="J374" s="1079">
        <v>9</v>
      </c>
      <c r="K374" s="1079">
        <v>3</v>
      </c>
      <c r="L374" s="1073" t="s">
        <v>567</v>
      </c>
      <c r="M374" s="1077" t="s">
        <v>1895</v>
      </c>
      <c r="N374" s="1083" t="s">
        <v>2114</v>
      </c>
    </row>
    <row r="375" spans="1:14" ht="15" customHeight="1" x14ac:dyDescent="0.2">
      <c r="A375" s="1077" t="s">
        <v>578</v>
      </c>
      <c r="B375" s="1077" t="s">
        <v>1892</v>
      </c>
      <c r="C375" s="1071" t="s">
        <v>1858</v>
      </c>
      <c r="D375" s="1095" t="s">
        <v>328</v>
      </c>
      <c r="E375" s="1083">
        <v>0</v>
      </c>
      <c r="F375" s="1078">
        <v>5000</v>
      </c>
      <c r="G375" s="1095" t="s">
        <v>118</v>
      </c>
      <c r="H375" s="1096" t="s">
        <v>208</v>
      </c>
      <c r="I375" s="1095" t="s">
        <v>112</v>
      </c>
      <c r="J375" s="1079">
        <v>9</v>
      </c>
      <c r="K375" s="1079">
        <v>3</v>
      </c>
      <c r="L375" s="1073" t="s">
        <v>567</v>
      </c>
      <c r="M375" s="1077" t="s">
        <v>1895</v>
      </c>
      <c r="N375" s="1083" t="s">
        <v>2115</v>
      </c>
    </row>
    <row r="376" spans="1:14" ht="15" customHeight="1" x14ac:dyDescent="0.2">
      <c r="A376" s="1077" t="s">
        <v>578</v>
      </c>
      <c r="B376" s="1077" t="s">
        <v>1892</v>
      </c>
      <c r="C376" s="1071" t="s">
        <v>1859</v>
      </c>
      <c r="D376" s="1095" t="s">
        <v>330</v>
      </c>
      <c r="E376" s="1083">
        <v>0</v>
      </c>
      <c r="F376" s="1083">
        <v>100</v>
      </c>
      <c r="G376" s="1095" t="s">
        <v>40</v>
      </c>
      <c r="H376" s="1096" t="s">
        <v>208</v>
      </c>
      <c r="I376" s="1095" t="s">
        <v>112</v>
      </c>
      <c r="J376" s="1079">
        <v>9</v>
      </c>
      <c r="K376" s="1079">
        <v>3</v>
      </c>
      <c r="L376" s="1073" t="s">
        <v>567</v>
      </c>
      <c r="M376" s="1077" t="s">
        <v>1895</v>
      </c>
      <c r="N376" s="1083" t="s">
        <v>2116</v>
      </c>
    </row>
    <row r="377" spans="1:14" ht="15" customHeight="1" x14ac:dyDescent="0.2">
      <c r="A377" s="1077" t="s">
        <v>578</v>
      </c>
      <c r="B377" s="1077" t="s">
        <v>1892</v>
      </c>
      <c r="C377" s="1071" t="s">
        <v>1860</v>
      </c>
      <c r="D377" s="1095" t="s">
        <v>331</v>
      </c>
      <c r="E377" s="1083">
        <v>0</v>
      </c>
      <c r="F377" s="1078">
        <v>25000</v>
      </c>
      <c r="G377" s="1095" t="s">
        <v>119</v>
      </c>
      <c r="H377" s="1096" t="s">
        <v>208</v>
      </c>
      <c r="I377" s="1095" t="s">
        <v>112</v>
      </c>
      <c r="J377" s="1079">
        <v>9</v>
      </c>
      <c r="K377" s="1079">
        <v>3</v>
      </c>
      <c r="L377" s="1073" t="s">
        <v>567</v>
      </c>
      <c r="M377" s="1077" t="s">
        <v>1895</v>
      </c>
      <c r="N377" s="1083" t="s">
        <v>2117</v>
      </c>
    </row>
    <row r="378" spans="1:14" ht="15" customHeight="1" x14ac:dyDescent="0.2">
      <c r="A378" s="1077" t="s">
        <v>578</v>
      </c>
      <c r="B378" s="1077" t="s">
        <v>1892</v>
      </c>
      <c r="C378" s="1071" t="s">
        <v>1861</v>
      </c>
      <c r="D378" s="1095" t="s">
        <v>332</v>
      </c>
      <c r="E378" s="1083">
        <v>0</v>
      </c>
      <c r="F378" s="1078">
        <v>10000</v>
      </c>
      <c r="G378" s="1095" t="s">
        <v>91</v>
      </c>
      <c r="H378" s="1096" t="s">
        <v>208</v>
      </c>
      <c r="I378" s="1095" t="s">
        <v>112</v>
      </c>
      <c r="J378" s="1079">
        <v>9</v>
      </c>
      <c r="K378" s="1079">
        <v>3</v>
      </c>
      <c r="L378" s="1073" t="s">
        <v>567</v>
      </c>
      <c r="M378" s="1077" t="s">
        <v>1895</v>
      </c>
      <c r="N378" s="1083" t="s">
        <v>2118</v>
      </c>
    </row>
    <row r="379" spans="1:14" ht="15" customHeight="1" x14ac:dyDescent="0.2">
      <c r="A379" s="1077" t="s">
        <v>578</v>
      </c>
      <c r="B379" s="1077" t="s">
        <v>1892</v>
      </c>
      <c r="C379" s="1071" t="s">
        <v>1648</v>
      </c>
      <c r="D379" s="1095" t="s">
        <v>678</v>
      </c>
      <c r="E379" s="1083">
        <v>0</v>
      </c>
      <c r="F379" s="1078">
        <v>50000</v>
      </c>
      <c r="G379" s="1095" t="s">
        <v>118</v>
      </c>
      <c r="H379" s="1096" t="s">
        <v>208</v>
      </c>
      <c r="I379" s="1095" t="s">
        <v>112</v>
      </c>
      <c r="J379" s="1079">
        <v>9</v>
      </c>
      <c r="K379" s="1079">
        <v>3</v>
      </c>
      <c r="L379" s="1073" t="s">
        <v>567</v>
      </c>
      <c r="M379" s="1077" t="s">
        <v>1895</v>
      </c>
      <c r="N379" s="1083" t="s">
        <v>2119</v>
      </c>
    </row>
    <row r="380" spans="1:14" ht="15" customHeight="1" x14ac:dyDescent="0.2">
      <c r="A380" s="1077" t="s">
        <v>578</v>
      </c>
      <c r="B380" s="1077" t="s">
        <v>1892</v>
      </c>
      <c r="C380" s="1071" t="s">
        <v>1649</v>
      </c>
      <c r="D380" s="1095" t="s">
        <v>335</v>
      </c>
      <c r="E380" s="1083">
        <v>0</v>
      </c>
      <c r="F380" s="1083">
        <v>100</v>
      </c>
      <c r="G380" s="1095" t="s">
        <v>40</v>
      </c>
      <c r="H380" s="1096" t="s">
        <v>208</v>
      </c>
      <c r="I380" s="1095" t="s">
        <v>112</v>
      </c>
      <c r="J380" s="1079">
        <v>9</v>
      </c>
      <c r="K380" s="1079">
        <v>3</v>
      </c>
      <c r="L380" s="1073" t="s">
        <v>567</v>
      </c>
      <c r="M380" s="1077" t="s">
        <v>1895</v>
      </c>
      <c r="N380" s="1083" t="s">
        <v>2120</v>
      </c>
    </row>
    <row r="381" spans="1:14" ht="15" customHeight="1" x14ac:dyDescent="0.2">
      <c r="A381" s="1077" t="s">
        <v>578</v>
      </c>
      <c r="B381" s="1077" t="s">
        <v>1892</v>
      </c>
      <c r="C381" s="1071" t="s">
        <v>1650</v>
      </c>
      <c r="D381" s="1095" t="s">
        <v>337</v>
      </c>
      <c r="E381" s="1083">
        <v>0</v>
      </c>
      <c r="F381" s="1078">
        <v>25000</v>
      </c>
      <c r="G381" s="1095" t="s">
        <v>119</v>
      </c>
      <c r="H381" s="1096" t="s">
        <v>208</v>
      </c>
      <c r="I381" s="1095" t="s">
        <v>112</v>
      </c>
      <c r="J381" s="1079">
        <v>9</v>
      </c>
      <c r="K381" s="1079">
        <v>3</v>
      </c>
      <c r="L381" s="1073" t="s">
        <v>567</v>
      </c>
      <c r="M381" s="1077" t="s">
        <v>1895</v>
      </c>
      <c r="N381" s="1083" t="s">
        <v>2121</v>
      </c>
    </row>
    <row r="382" spans="1:14" ht="15" customHeight="1" x14ac:dyDescent="0.2">
      <c r="A382" s="1077" t="s">
        <v>578</v>
      </c>
      <c r="B382" s="1077" t="s">
        <v>1892</v>
      </c>
      <c r="C382" s="1071" t="s">
        <v>1651</v>
      </c>
      <c r="D382" s="1095" t="s">
        <v>1</v>
      </c>
      <c r="E382" s="1083">
        <v>0</v>
      </c>
      <c r="F382" s="1078">
        <v>10000</v>
      </c>
      <c r="G382" s="1095" t="s">
        <v>91</v>
      </c>
      <c r="H382" s="1096" t="s">
        <v>208</v>
      </c>
      <c r="I382" s="1095" t="s">
        <v>112</v>
      </c>
      <c r="J382" s="1079">
        <v>9</v>
      </c>
      <c r="K382" s="1079">
        <v>3</v>
      </c>
      <c r="L382" s="1073" t="s">
        <v>567</v>
      </c>
      <c r="M382" s="1077" t="s">
        <v>1895</v>
      </c>
      <c r="N382" s="1083" t="s">
        <v>2122</v>
      </c>
    </row>
    <row r="383" spans="1:14" ht="15" customHeight="1" x14ac:dyDescent="0.2">
      <c r="A383" s="1089" t="s">
        <v>567</v>
      </c>
      <c r="B383" s="1089" t="s">
        <v>567</v>
      </c>
      <c r="C383" s="1089" t="s">
        <v>567</v>
      </c>
      <c r="D383" s="1089" t="s">
        <v>567</v>
      </c>
      <c r="E383" s="1089" t="s">
        <v>567</v>
      </c>
      <c r="F383" s="1089" t="s">
        <v>567</v>
      </c>
      <c r="G383" s="1089" t="s">
        <v>567</v>
      </c>
      <c r="H383" s="1089" t="s">
        <v>567</v>
      </c>
      <c r="I383" s="1089" t="s">
        <v>567</v>
      </c>
      <c r="J383" s="1081" t="s">
        <v>567</v>
      </c>
      <c r="K383" s="1081" t="s">
        <v>567</v>
      </c>
      <c r="L383" s="1081" t="s">
        <v>567</v>
      </c>
      <c r="M383" s="1089" t="s">
        <v>567</v>
      </c>
      <c r="N383" s="1089" t="s">
        <v>567</v>
      </c>
    </row>
    <row r="384" spans="1:14" ht="15" customHeight="1" x14ac:dyDescent="0.2">
      <c r="A384" s="1077" t="s">
        <v>578</v>
      </c>
      <c r="B384" s="1077" t="s">
        <v>1853</v>
      </c>
      <c r="C384" s="1071" t="s">
        <v>1495</v>
      </c>
      <c r="D384" s="1095" t="s">
        <v>574</v>
      </c>
      <c r="E384" s="1083" t="s">
        <v>561</v>
      </c>
      <c r="F384" s="1083" t="s">
        <v>562</v>
      </c>
      <c r="G384" s="1083" t="s">
        <v>196</v>
      </c>
      <c r="H384" s="1095" t="s">
        <v>206</v>
      </c>
      <c r="I384" s="1095" t="s">
        <v>619</v>
      </c>
      <c r="J384" s="1073" t="s">
        <v>567</v>
      </c>
      <c r="K384" s="1073" t="s">
        <v>567</v>
      </c>
      <c r="L384" s="1079">
        <v>63999</v>
      </c>
      <c r="M384" s="1077" t="s">
        <v>2227</v>
      </c>
      <c r="N384" s="1083" t="s">
        <v>154</v>
      </c>
    </row>
    <row r="385" spans="1:14" ht="15" customHeight="1" x14ac:dyDescent="0.2">
      <c r="A385" s="1077" t="s">
        <v>578</v>
      </c>
      <c r="B385" s="1077" t="s">
        <v>1853</v>
      </c>
      <c r="C385" s="1071" t="s">
        <v>1652</v>
      </c>
      <c r="D385" s="1095" t="s">
        <v>35</v>
      </c>
      <c r="E385" s="1097">
        <v>1</v>
      </c>
      <c r="F385" s="1097">
        <f ca="1">TODAY()</f>
        <v>42886</v>
      </c>
      <c r="G385" s="1095" t="s">
        <v>116</v>
      </c>
      <c r="H385" s="1095" t="s">
        <v>206</v>
      </c>
      <c r="I385" s="1095" t="s">
        <v>565</v>
      </c>
      <c r="J385" s="1073" t="s">
        <v>567</v>
      </c>
      <c r="K385" s="1073" t="s">
        <v>567</v>
      </c>
      <c r="L385" s="1073" t="s">
        <v>567</v>
      </c>
      <c r="M385" s="1077" t="s">
        <v>2227</v>
      </c>
      <c r="N385" s="1083" t="s">
        <v>2123</v>
      </c>
    </row>
    <row r="386" spans="1:14" ht="15" customHeight="1" x14ac:dyDescent="0.2">
      <c r="A386" s="1077" t="s">
        <v>578</v>
      </c>
      <c r="B386" s="1077" t="s">
        <v>1853</v>
      </c>
      <c r="C386" s="1071" t="s">
        <v>1456</v>
      </c>
      <c r="D386" s="1095" t="s">
        <v>229</v>
      </c>
      <c r="E386" s="1083" t="s">
        <v>561</v>
      </c>
      <c r="F386" s="1083" t="s">
        <v>562</v>
      </c>
      <c r="G386" s="1083" t="s">
        <v>196</v>
      </c>
      <c r="H386" s="1095" t="s">
        <v>208</v>
      </c>
      <c r="I386" s="1095" t="s">
        <v>619</v>
      </c>
      <c r="J386" s="1073" t="s">
        <v>567</v>
      </c>
      <c r="K386" s="1073" t="s">
        <v>567</v>
      </c>
      <c r="L386" s="1079">
        <v>63999</v>
      </c>
      <c r="M386" s="1077" t="s">
        <v>2227</v>
      </c>
      <c r="N386" s="1083" t="s">
        <v>152</v>
      </c>
    </row>
    <row r="387" spans="1:14" ht="15" customHeight="1" x14ac:dyDescent="0.2">
      <c r="A387" s="1077" t="s">
        <v>578</v>
      </c>
      <c r="B387" s="1077" t="s">
        <v>1853</v>
      </c>
      <c r="C387" s="1071" t="s">
        <v>1518</v>
      </c>
      <c r="D387" s="1095" t="s">
        <v>295</v>
      </c>
      <c r="E387" s="1083" t="s">
        <v>561</v>
      </c>
      <c r="F387" s="1083" t="s">
        <v>562</v>
      </c>
      <c r="G387" s="1083" t="s">
        <v>196</v>
      </c>
      <c r="H387" s="1095" t="s">
        <v>208</v>
      </c>
      <c r="I387" s="1095" t="s">
        <v>619</v>
      </c>
      <c r="J387" s="1073" t="s">
        <v>567</v>
      </c>
      <c r="K387" s="1073" t="s">
        <v>567</v>
      </c>
      <c r="L387" s="1079">
        <v>63999</v>
      </c>
      <c r="M387" s="1077" t="s">
        <v>2227</v>
      </c>
      <c r="N387" s="1083" t="s">
        <v>76</v>
      </c>
    </row>
    <row r="388" spans="1:14" ht="15" customHeight="1" x14ac:dyDescent="0.2">
      <c r="A388" s="1077" t="s">
        <v>578</v>
      </c>
      <c r="B388" s="1077" t="s">
        <v>1853</v>
      </c>
      <c r="C388" s="1071" t="s">
        <v>77</v>
      </c>
      <c r="D388" s="1095" t="s">
        <v>267</v>
      </c>
      <c r="E388" s="1083" t="s">
        <v>561</v>
      </c>
      <c r="F388" s="1083" t="s">
        <v>562</v>
      </c>
      <c r="G388" s="1083" t="s">
        <v>196</v>
      </c>
      <c r="H388" s="1095" t="s">
        <v>208</v>
      </c>
      <c r="I388" s="1095" t="s">
        <v>619</v>
      </c>
      <c r="J388" s="1073" t="s">
        <v>567</v>
      </c>
      <c r="K388" s="1073" t="s">
        <v>567</v>
      </c>
      <c r="L388" s="1079">
        <v>63999</v>
      </c>
      <c r="M388" s="1077" t="s">
        <v>2227</v>
      </c>
      <c r="N388" s="1083" t="s">
        <v>77</v>
      </c>
    </row>
    <row r="389" spans="1:14" ht="15" customHeight="1" x14ac:dyDescent="0.2">
      <c r="A389" s="1077" t="s">
        <v>578</v>
      </c>
      <c r="B389" s="1077" t="s">
        <v>1853</v>
      </c>
      <c r="C389" s="1071" t="s">
        <v>1653</v>
      </c>
      <c r="D389" s="1095" t="s">
        <v>585</v>
      </c>
      <c r="E389" s="1083" t="s">
        <v>561</v>
      </c>
      <c r="F389" s="1083" t="s">
        <v>562</v>
      </c>
      <c r="G389" s="1083" t="s">
        <v>196</v>
      </c>
      <c r="H389" s="1095" t="s">
        <v>208</v>
      </c>
      <c r="I389" s="1095" t="s">
        <v>619</v>
      </c>
      <c r="J389" s="1073" t="s">
        <v>567</v>
      </c>
      <c r="K389" s="1073" t="s">
        <v>567</v>
      </c>
      <c r="L389" s="1079">
        <v>63999</v>
      </c>
      <c r="M389" s="1077" t="s">
        <v>2227</v>
      </c>
      <c r="N389" s="1083" t="s">
        <v>383</v>
      </c>
    </row>
    <row r="390" spans="1:14" ht="15" customHeight="1" x14ac:dyDescent="0.2">
      <c r="A390" s="1077" t="s">
        <v>578</v>
      </c>
      <c r="B390" s="1077" t="s">
        <v>1853</v>
      </c>
      <c r="C390" s="1071" t="s">
        <v>1654</v>
      </c>
      <c r="D390" s="1095" t="s">
        <v>659</v>
      </c>
      <c r="E390" s="1075">
        <v>0</v>
      </c>
      <c r="F390" s="1075">
        <v>50000</v>
      </c>
      <c r="G390" s="1095" t="s">
        <v>275</v>
      </c>
      <c r="H390" s="1095" t="s">
        <v>208</v>
      </c>
      <c r="I390" s="1095" t="s">
        <v>112</v>
      </c>
      <c r="J390" s="1079">
        <v>9</v>
      </c>
      <c r="K390" s="1079">
        <v>3</v>
      </c>
      <c r="L390" s="1073" t="s">
        <v>567</v>
      </c>
      <c r="M390" s="1077" t="s">
        <v>2227</v>
      </c>
      <c r="N390" s="1083" t="s">
        <v>2124</v>
      </c>
    </row>
    <row r="391" spans="1:14" ht="15" customHeight="1" x14ac:dyDescent="0.2">
      <c r="A391" s="1077" t="s">
        <v>578</v>
      </c>
      <c r="B391" s="1077" t="s">
        <v>1853</v>
      </c>
      <c r="C391" s="1071" t="s">
        <v>1655</v>
      </c>
      <c r="D391" s="1095" t="s">
        <v>660</v>
      </c>
      <c r="E391" s="1075">
        <v>0</v>
      </c>
      <c r="F391" s="1075">
        <v>100</v>
      </c>
      <c r="G391" s="1095" t="s">
        <v>40</v>
      </c>
      <c r="H391" s="1095" t="s">
        <v>208</v>
      </c>
      <c r="I391" s="1095" t="s">
        <v>112</v>
      </c>
      <c r="J391" s="1079">
        <v>9</v>
      </c>
      <c r="K391" s="1079">
        <v>3</v>
      </c>
      <c r="L391" s="1073" t="s">
        <v>567</v>
      </c>
      <c r="M391" s="1077" t="s">
        <v>2227</v>
      </c>
      <c r="N391" s="1083" t="s">
        <v>2125</v>
      </c>
    </row>
    <row r="392" spans="1:14" x14ac:dyDescent="0.2">
      <c r="A392" s="1077" t="s">
        <v>578</v>
      </c>
      <c r="B392" s="1077" t="s">
        <v>1853</v>
      </c>
      <c r="C392" s="1071" t="s">
        <v>1656</v>
      </c>
      <c r="D392" s="1095" t="s">
        <v>661</v>
      </c>
      <c r="E392" s="1075">
        <v>0</v>
      </c>
      <c r="F392" s="1078">
        <v>25000</v>
      </c>
      <c r="G392" s="1095" t="s">
        <v>119</v>
      </c>
      <c r="H392" s="1095" t="s">
        <v>208</v>
      </c>
      <c r="I392" s="1095" t="s">
        <v>112</v>
      </c>
      <c r="J392" s="1079">
        <v>9</v>
      </c>
      <c r="K392" s="1079">
        <v>3</v>
      </c>
      <c r="L392" s="1073" t="s">
        <v>567</v>
      </c>
      <c r="M392" s="1077" t="s">
        <v>2227</v>
      </c>
      <c r="N392" s="1083" t="s">
        <v>2126</v>
      </c>
    </row>
    <row r="393" spans="1:14" ht="15" customHeight="1" x14ac:dyDescent="0.2">
      <c r="A393" s="1077" t="s">
        <v>578</v>
      </c>
      <c r="B393" s="1077" t="s">
        <v>1853</v>
      </c>
      <c r="C393" s="1071" t="s">
        <v>1657</v>
      </c>
      <c r="D393" s="1095" t="s">
        <v>662</v>
      </c>
      <c r="E393" s="1075">
        <v>0</v>
      </c>
      <c r="F393" s="1078">
        <v>10000</v>
      </c>
      <c r="G393" s="1095" t="s">
        <v>91</v>
      </c>
      <c r="H393" s="1095" t="s">
        <v>208</v>
      </c>
      <c r="I393" s="1095" t="s">
        <v>112</v>
      </c>
      <c r="J393" s="1079">
        <v>9</v>
      </c>
      <c r="K393" s="1079">
        <v>3</v>
      </c>
      <c r="L393" s="1073" t="s">
        <v>567</v>
      </c>
      <c r="M393" s="1077" t="s">
        <v>2227</v>
      </c>
      <c r="N393" s="1083" t="s">
        <v>2127</v>
      </c>
    </row>
    <row r="394" spans="1:14" ht="15" customHeight="1" x14ac:dyDescent="0.2">
      <c r="A394" s="1077" t="s">
        <v>578</v>
      </c>
      <c r="B394" s="1077" t="s">
        <v>1853</v>
      </c>
      <c r="C394" s="1071" t="s">
        <v>1663</v>
      </c>
      <c r="D394" s="1095" t="s">
        <v>1835</v>
      </c>
      <c r="E394" s="1075">
        <v>0</v>
      </c>
      <c r="F394" s="1078">
        <v>1000</v>
      </c>
      <c r="G394" s="1095" t="s">
        <v>1834</v>
      </c>
      <c r="H394" s="1095" t="s">
        <v>208</v>
      </c>
      <c r="I394" s="1095" t="s">
        <v>112</v>
      </c>
      <c r="J394" s="1079">
        <v>9</v>
      </c>
      <c r="K394" s="1079">
        <v>3</v>
      </c>
      <c r="L394" s="1073" t="s">
        <v>567</v>
      </c>
      <c r="M394" s="1077" t="s">
        <v>2227</v>
      </c>
      <c r="N394" s="1083" t="s">
        <v>2087</v>
      </c>
    </row>
    <row r="395" spans="1:14" ht="15" customHeight="1" x14ac:dyDescent="0.2">
      <c r="A395" s="1077" t="s">
        <v>578</v>
      </c>
      <c r="B395" s="1077" t="s">
        <v>1853</v>
      </c>
      <c r="C395" s="1071" t="s">
        <v>1658</v>
      </c>
      <c r="D395" s="1095" t="s">
        <v>743</v>
      </c>
      <c r="E395" s="1075">
        <v>0</v>
      </c>
      <c r="F395" s="1075">
        <v>50000</v>
      </c>
      <c r="G395" s="1095" t="s">
        <v>275</v>
      </c>
      <c r="H395" s="1095" t="s">
        <v>208</v>
      </c>
      <c r="I395" s="1095" t="s">
        <v>112</v>
      </c>
      <c r="J395" s="1079">
        <v>9</v>
      </c>
      <c r="K395" s="1079">
        <v>3</v>
      </c>
      <c r="L395" s="1073" t="s">
        <v>567</v>
      </c>
      <c r="M395" s="1077" t="s">
        <v>2227</v>
      </c>
      <c r="N395" s="1083" t="s">
        <v>2128</v>
      </c>
    </row>
    <row r="396" spans="1:14" ht="15" customHeight="1" x14ac:dyDescent="0.2">
      <c r="A396" s="1077" t="s">
        <v>578</v>
      </c>
      <c r="B396" s="1077" t="s">
        <v>1853</v>
      </c>
      <c r="C396" s="1071" t="s">
        <v>1659</v>
      </c>
      <c r="D396" s="1095" t="s">
        <v>744</v>
      </c>
      <c r="E396" s="1075">
        <v>0</v>
      </c>
      <c r="F396" s="1075">
        <v>100</v>
      </c>
      <c r="G396" s="1095" t="s">
        <v>40</v>
      </c>
      <c r="H396" s="1095" t="s">
        <v>208</v>
      </c>
      <c r="I396" s="1095" t="s">
        <v>112</v>
      </c>
      <c r="J396" s="1079">
        <v>9</v>
      </c>
      <c r="K396" s="1079">
        <v>3</v>
      </c>
      <c r="L396" s="1073" t="s">
        <v>567</v>
      </c>
      <c r="M396" s="1077" t="s">
        <v>2227</v>
      </c>
      <c r="N396" s="1083" t="s">
        <v>2129</v>
      </c>
    </row>
    <row r="397" spans="1:14" ht="15" customHeight="1" x14ac:dyDescent="0.2">
      <c r="A397" s="1077" t="s">
        <v>578</v>
      </c>
      <c r="B397" s="1077" t="s">
        <v>1853</v>
      </c>
      <c r="C397" s="1071" t="s">
        <v>1660</v>
      </c>
      <c r="D397" s="1095" t="s">
        <v>745</v>
      </c>
      <c r="E397" s="1075">
        <v>0</v>
      </c>
      <c r="F397" s="1078">
        <v>25000</v>
      </c>
      <c r="G397" s="1095" t="s">
        <v>119</v>
      </c>
      <c r="H397" s="1095" t="s">
        <v>208</v>
      </c>
      <c r="I397" s="1095" t="s">
        <v>112</v>
      </c>
      <c r="J397" s="1079">
        <v>9</v>
      </c>
      <c r="K397" s="1079">
        <v>3</v>
      </c>
      <c r="L397" s="1073" t="s">
        <v>567</v>
      </c>
      <c r="M397" s="1077" t="s">
        <v>2227</v>
      </c>
      <c r="N397" s="1083" t="s">
        <v>2130</v>
      </c>
    </row>
    <row r="398" spans="1:14" ht="15" customHeight="1" x14ac:dyDescent="0.2">
      <c r="A398" s="1077" t="s">
        <v>578</v>
      </c>
      <c r="B398" s="1077" t="s">
        <v>1853</v>
      </c>
      <c r="C398" s="1071" t="s">
        <v>1661</v>
      </c>
      <c r="D398" s="1095" t="s">
        <v>746</v>
      </c>
      <c r="E398" s="1075">
        <v>0</v>
      </c>
      <c r="F398" s="1078">
        <v>10000</v>
      </c>
      <c r="G398" s="1095" t="s">
        <v>91</v>
      </c>
      <c r="H398" s="1095" t="s">
        <v>208</v>
      </c>
      <c r="I398" s="1095" t="s">
        <v>112</v>
      </c>
      <c r="J398" s="1079">
        <v>9</v>
      </c>
      <c r="K398" s="1079">
        <v>3</v>
      </c>
      <c r="L398" s="1073" t="s">
        <v>567</v>
      </c>
      <c r="M398" s="1077" t="s">
        <v>2227</v>
      </c>
      <c r="N398" s="1083" t="s">
        <v>2131</v>
      </c>
    </row>
    <row r="399" spans="1:14" ht="15" customHeight="1" x14ac:dyDescent="0.2">
      <c r="A399" s="1077" t="s">
        <v>578</v>
      </c>
      <c r="B399" s="1077" t="s">
        <v>1853</v>
      </c>
      <c r="C399" s="1071" t="s">
        <v>1662</v>
      </c>
      <c r="D399" s="1095" t="s">
        <v>1836</v>
      </c>
      <c r="E399" s="1075">
        <v>0</v>
      </c>
      <c r="F399" s="1078">
        <v>1000</v>
      </c>
      <c r="G399" s="1095" t="s">
        <v>1834</v>
      </c>
      <c r="H399" s="1095" t="s">
        <v>208</v>
      </c>
      <c r="I399" s="1095" t="s">
        <v>112</v>
      </c>
      <c r="J399" s="1079">
        <v>9</v>
      </c>
      <c r="K399" s="1079">
        <v>3</v>
      </c>
      <c r="L399" s="1073" t="s">
        <v>567</v>
      </c>
      <c r="M399" s="1077" t="s">
        <v>2227</v>
      </c>
      <c r="N399" s="1083" t="s">
        <v>2106</v>
      </c>
    </row>
    <row r="400" spans="1:14" ht="15" customHeight="1" x14ac:dyDescent="0.2">
      <c r="A400" s="1089" t="s">
        <v>567</v>
      </c>
      <c r="B400" s="1089" t="s">
        <v>567</v>
      </c>
      <c r="C400" s="1089" t="s">
        <v>567</v>
      </c>
      <c r="D400" s="1089" t="s">
        <v>567</v>
      </c>
      <c r="E400" s="1089" t="s">
        <v>567</v>
      </c>
      <c r="F400" s="1089" t="s">
        <v>567</v>
      </c>
      <c r="G400" s="1089" t="s">
        <v>567</v>
      </c>
      <c r="H400" s="1089" t="s">
        <v>567</v>
      </c>
      <c r="I400" s="1089" t="s">
        <v>567</v>
      </c>
      <c r="J400" s="1081" t="s">
        <v>567</v>
      </c>
      <c r="K400" s="1081" t="s">
        <v>567</v>
      </c>
      <c r="L400" s="1081" t="s">
        <v>567</v>
      </c>
      <c r="M400" s="1089" t="s">
        <v>567</v>
      </c>
      <c r="N400" s="1089" t="s">
        <v>567</v>
      </c>
    </row>
    <row r="401" spans="1:14" ht="15" customHeight="1" x14ac:dyDescent="0.2">
      <c r="A401" s="1077" t="s">
        <v>578</v>
      </c>
      <c r="B401" s="1077" t="s">
        <v>610</v>
      </c>
      <c r="C401" s="1071" t="s">
        <v>1495</v>
      </c>
      <c r="D401" s="1095" t="s">
        <v>574</v>
      </c>
      <c r="E401" s="1083" t="s">
        <v>561</v>
      </c>
      <c r="F401" s="1083" t="s">
        <v>562</v>
      </c>
      <c r="G401" s="1083" t="s">
        <v>196</v>
      </c>
      <c r="H401" s="1095" t="s">
        <v>206</v>
      </c>
      <c r="I401" s="1095" t="s">
        <v>619</v>
      </c>
      <c r="J401" s="1073" t="s">
        <v>567</v>
      </c>
      <c r="K401" s="1073" t="s">
        <v>567</v>
      </c>
      <c r="L401" s="1079">
        <v>63999</v>
      </c>
      <c r="M401" s="1077" t="s">
        <v>610</v>
      </c>
      <c r="N401" s="1083" t="s">
        <v>154</v>
      </c>
    </row>
    <row r="402" spans="1:14" ht="15" customHeight="1" x14ac:dyDescent="0.2">
      <c r="A402" s="1077" t="s">
        <v>578</v>
      </c>
      <c r="B402" s="1077" t="s">
        <v>610</v>
      </c>
      <c r="C402" s="1071" t="s">
        <v>35</v>
      </c>
      <c r="D402" s="1095" t="s">
        <v>35</v>
      </c>
      <c r="E402" s="1097">
        <v>1</v>
      </c>
      <c r="F402" s="1097">
        <f ca="1">TODAY()</f>
        <v>42886</v>
      </c>
      <c r="G402" s="1095" t="s">
        <v>116</v>
      </c>
      <c r="H402" s="1095" t="s">
        <v>206</v>
      </c>
      <c r="I402" s="1095" t="s">
        <v>565</v>
      </c>
      <c r="J402" s="1073" t="s">
        <v>567</v>
      </c>
      <c r="K402" s="1073" t="s">
        <v>567</v>
      </c>
      <c r="L402" s="1073" t="s">
        <v>567</v>
      </c>
      <c r="M402" s="1077" t="s">
        <v>610</v>
      </c>
      <c r="N402" s="1083" t="s">
        <v>35</v>
      </c>
    </row>
    <row r="403" spans="1:14" ht="15" customHeight="1" x14ac:dyDescent="0.2">
      <c r="A403" s="1077" t="s">
        <v>578</v>
      </c>
      <c r="B403" s="1077" t="s">
        <v>610</v>
      </c>
      <c r="C403" s="1071" t="s">
        <v>1456</v>
      </c>
      <c r="D403" s="1095" t="s">
        <v>229</v>
      </c>
      <c r="E403" s="1083" t="s">
        <v>561</v>
      </c>
      <c r="F403" s="1083" t="s">
        <v>562</v>
      </c>
      <c r="G403" s="1083" t="s">
        <v>196</v>
      </c>
      <c r="H403" s="1095" t="s">
        <v>208</v>
      </c>
      <c r="I403" s="1095" t="s">
        <v>619</v>
      </c>
      <c r="J403" s="1073" t="s">
        <v>567</v>
      </c>
      <c r="K403" s="1073" t="s">
        <v>567</v>
      </c>
      <c r="L403" s="1079">
        <v>63999</v>
      </c>
      <c r="M403" s="1077" t="s">
        <v>610</v>
      </c>
      <c r="N403" s="1083" t="s">
        <v>152</v>
      </c>
    </row>
    <row r="404" spans="1:14" ht="15" customHeight="1" x14ac:dyDescent="0.2">
      <c r="A404" s="1077" t="s">
        <v>578</v>
      </c>
      <c r="B404" s="1077" t="s">
        <v>610</v>
      </c>
      <c r="C404" s="1071" t="s">
        <v>1518</v>
      </c>
      <c r="D404" s="1095" t="s">
        <v>295</v>
      </c>
      <c r="E404" s="1083" t="s">
        <v>561</v>
      </c>
      <c r="F404" s="1083" t="s">
        <v>562</v>
      </c>
      <c r="G404" s="1083" t="s">
        <v>196</v>
      </c>
      <c r="H404" s="1095" t="s">
        <v>208</v>
      </c>
      <c r="I404" s="1095" t="s">
        <v>619</v>
      </c>
      <c r="J404" s="1073" t="s">
        <v>567</v>
      </c>
      <c r="K404" s="1073" t="s">
        <v>567</v>
      </c>
      <c r="L404" s="1079">
        <v>63999</v>
      </c>
      <c r="M404" s="1077" t="s">
        <v>610</v>
      </c>
      <c r="N404" s="1083" t="s">
        <v>76</v>
      </c>
    </row>
    <row r="405" spans="1:14" ht="15" customHeight="1" x14ac:dyDescent="0.2">
      <c r="A405" s="1077" t="s">
        <v>578</v>
      </c>
      <c r="B405" s="1077" t="s">
        <v>610</v>
      </c>
      <c r="C405" s="1071" t="s">
        <v>77</v>
      </c>
      <c r="D405" s="1095" t="s">
        <v>267</v>
      </c>
      <c r="E405" s="1083" t="s">
        <v>561</v>
      </c>
      <c r="F405" s="1083" t="s">
        <v>562</v>
      </c>
      <c r="G405" s="1083" t="s">
        <v>196</v>
      </c>
      <c r="H405" s="1095" t="s">
        <v>208</v>
      </c>
      <c r="I405" s="1095" t="s">
        <v>619</v>
      </c>
      <c r="J405" s="1073" t="s">
        <v>567</v>
      </c>
      <c r="K405" s="1073" t="s">
        <v>567</v>
      </c>
      <c r="L405" s="1079">
        <v>63999</v>
      </c>
      <c r="M405" s="1077" t="s">
        <v>610</v>
      </c>
      <c r="N405" s="1083" t="s">
        <v>77</v>
      </c>
    </row>
    <row r="406" spans="1:14" ht="15" customHeight="1" x14ac:dyDescent="0.2">
      <c r="A406" s="1077" t="s">
        <v>578</v>
      </c>
      <c r="B406" s="1077" t="s">
        <v>610</v>
      </c>
      <c r="C406" s="1071" t="s">
        <v>1653</v>
      </c>
      <c r="D406" s="1095" t="s">
        <v>585</v>
      </c>
      <c r="E406" s="1083" t="s">
        <v>561</v>
      </c>
      <c r="F406" s="1083" t="s">
        <v>562</v>
      </c>
      <c r="G406" s="1083" t="s">
        <v>196</v>
      </c>
      <c r="H406" s="1095" t="s">
        <v>208</v>
      </c>
      <c r="I406" s="1095" t="s">
        <v>619</v>
      </c>
      <c r="J406" s="1073" t="s">
        <v>567</v>
      </c>
      <c r="K406" s="1073" t="s">
        <v>567</v>
      </c>
      <c r="L406" s="1079">
        <v>63999</v>
      </c>
      <c r="M406" s="1077" t="s">
        <v>610</v>
      </c>
      <c r="N406" s="1083" t="s">
        <v>383</v>
      </c>
    </row>
    <row r="407" spans="1:14" ht="15" customHeight="1" x14ac:dyDescent="0.2">
      <c r="A407" s="1077" t="s">
        <v>578</v>
      </c>
      <c r="B407" s="1077" t="s">
        <v>610</v>
      </c>
      <c r="C407" s="1071" t="s">
        <v>1664</v>
      </c>
      <c r="D407" s="1083" t="s">
        <v>663</v>
      </c>
      <c r="E407" s="1075">
        <v>0</v>
      </c>
      <c r="F407" s="1099">
        <v>1000</v>
      </c>
      <c r="G407" s="1095" t="s">
        <v>387</v>
      </c>
      <c r="H407" s="1095" t="s">
        <v>208</v>
      </c>
      <c r="I407" s="1095" t="s">
        <v>112</v>
      </c>
      <c r="J407" s="1079">
        <v>9</v>
      </c>
      <c r="K407" s="1079">
        <v>3</v>
      </c>
      <c r="L407" s="1073" t="s">
        <v>567</v>
      </c>
      <c r="M407" s="1077" t="s">
        <v>610</v>
      </c>
      <c r="N407" s="1083" t="s">
        <v>2132</v>
      </c>
    </row>
    <row r="408" spans="1:14" ht="15" customHeight="1" x14ac:dyDescent="0.2">
      <c r="A408" s="1077" t="s">
        <v>578</v>
      </c>
      <c r="B408" s="1077" t="s">
        <v>610</v>
      </c>
      <c r="C408" s="1071" t="s">
        <v>1665</v>
      </c>
      <c r="D408" s="1083" t="s">
        <v>664</v>
      </c>
      <c r="E408" s="1075">
        <v>0</v>
      </c>
      <c r="F408" s="1099">
        <v>1000</v>
      </c>
      <c r="G408" s="1095" t="s">
        <v>387</v>
      </c>
      <c r="H408" s="1095" t="s">
        <v>208</v>
      </c>
      <c r="I408" s="1095" t="s">
        <v>112</v>
      </c>
      <c r="J408" s="1079">
        <v>9</v>
      </c>
      <c r="K408" s="1079">
        <v>3</v>
      </c>
      <c r="L408" s="1073" t="s">
        <v>567</v>
      </c>
      <c r="M408" s="1077" t="s">
        <v>610</v>
      </c>
      <c r="N408" s="1083" t="s">
        <v>2133</v>
      </c>
    </row>
    <row r="409" spans="1:14" ht="15" customHeight="1" x14ac:dyDescent="0.2">
      <c r="A409" s="1077" t="s">
        <v>578</v>
      </c>
      <c r="B409" s="1077" t="s">
        <v>610</v>
      </c>
      <c r="C409" s="1071" t="s">
        <v>1666</v>
      </c>
      <c r="D409" s="1083" t="s">
        <v>665</v>
      </c>
      <c r="E409" s="1075">
        <v>0</v>
      </c>
      <c r="F409" s="1099">
        <v>1000</v>
      </c>
      <c r="G409" s="1095" t="s">
        <v>387</v>
      </c>
      <c r="H409" s="1095" t="s">
        <v>208</v>
      </c>
      <c r="I409" s="1095" t="s">
        <v>112</v>
      </c>
      <c r="J409" s="1079">
        <v>9</v>
      </c>
      <c r="K409" s="1079">
        <v>3</v>
      </c>
      <c r="L409" s="1073" t="s">
        <v>567</v>
      </c>
      <c r="M409" s="1077" t="s">
        <v>610</v>
      </c>
      <c r="N409" s="1083" t="s">
        <v>2134</v>
      </c>
    </row>
    <row r="410" spans="1:14" ht="15" customHeight="1" x14ac:dyDescent="0.2">
      <c r="A410" s="1077" t="s">
        <v>578</v>
      </c>
      <c r="B410" s="1077" t="s">
        <v>610</v>
      </c>
      <c r="C410" s="1071" t="s">
        <v>1667</v>
      </c>
      <c r="D410" s="1083" t="s">
        <v>666</v>
      </c>
      <c r="E410" s="1075">
        <v>0</v>
      </c>
      <c r="F410" s="1099">
        <v>1000</v>
      </c>
      <c r="G410" s="1095" t="s">
        <v>387</v>
      </c>
      <c r="H410" s="1095" t="s">
        <v>208</v>
      </c>
      <c r="I410" s="1095" t="s">
        <v>112</v>
      </c>
      <c r="J410" s="1079">
        <v>9</v>
      </c>
      <c r="K410" s="1079">
        <v>3</v>
      </c>
      <c r="L410" s="1073" t="s">
        <v>567</v>
      </c>
      <c r="M410" s="1077" t="s">
        <v>610</v>
      </c>
      <c r="N410" s="1083" t="s">
        <v>2135</v>
      </c>
    </row>
    <row r="411" spans="1:14" ht="15" customHeight="1" x14ac:dyDescent="0.2">
      <c r="A411" s="1077" t="s">
        <v>578</v>
      </c>
      <c r="B411" s="1077" t="s">
        <v>610</v>
      </c>
      <c r="C411" s="1071" t="s">
        <v>1668</v>
      </c>
      <c r="D411" s="1083" t="s">
        <v>667</v>
      </c>
      <c r="E411" s="1075">
        <v>0</v>
      </c>
      <c r="F411" s="1099">
        <v>1000</v>
      </c>
      <c r="G411" s="1095" t="s">
        <v>387</v>
      </c>
      <c r="H411" s="1095" t="s">
        <v>208</v>
      </c>
      <c r="I411" s="1095" t="s">
        <v>112</v>
      </c>
      <c r="J411" s="1079">
        <v>9</v>
      </c>
      <c r="K411" s="1079">
        <v>3</v>
      </c>
      <c r="L411" s="1073" t="s">
        <v>567</v>
      </c>
      <c r="M411" s="1077" t="s">
        <v>610</v>
      </c>
      <c r="N411" s="1083" t="s">
        <v>2136</v>
      </c>
    </row>
    <row r="412" spans="1:14" ht="15" customHeight="1" x14ac:dyDescent="0.2">
      <c r="A412" s="1077" t="s">
        <v>578</v>
      </c>
      <c r="B412" s="1077" t="s">
        <v>610</v>
      </c>
      <c r="C412" s="1071" t="s">
        <v>1669</v>
      </c>
      <c r="D412" s="1083" t="s">
        <v>668</v>
      </c>
      <c r="E412" s="1075">
        <v>0</v>
      </c>
      <c r="F412" s="1099">
        <v>1000</v>
      </c>
      <c r="G412" s="1095" t="s">
        <v>387</v>
      </c>
      <c r="H412" s="1095" t="s">
        <v>208</v>
      </c>
      <c r="I412" s="1095" t="s">
        <v>112</v>
      </c>
      <c r="J412" s="1079">
        <v>9</v>
      </c>
      <c r="K412" s="1079">
        <v>3</v>
      </c>
      <c r="L412" s="1073" t="s">
        <v>567</v>
      </c>
      <c r="M412" s="1077" t="s">
        <v>610</v>
      </c>
      <c r="N412" s="1083" t="s">
        <v>2137</v>
      </c>
    </row>
    <row r="413" spans="1:14" ht="15" customHeight="1" x14ac:dyDescent="0.2">
      <c r="A413" s="1077" t="s">
        <v>578</v>
      </c>
      <c r="B413" s="1077" t="s">
        <v>610</v>
      </c>
      <c r="C413" s="1071" t="s">
        <v>1670</v>
      </c>
      <c r="D413" s="1083" t="s">
        <v>670</v>
      </c>
      <c r="E413" s="1075">
        <v>0</v>
      </c>
      <c r="F413" s="1099">
        <v>1000</v>
      </c>
      <c r="G413" s="1095" t="s">
        <v>387</v>
      </c>
      <c r="H413" s="1095" t="s">
        <v>208</v>
      </c>
      <c r="I413" s="1095" t="s">
        <v>112</v>
      </c>
      <c r="J413" s="1079">
        <v>9</v>
      </c>
      <c r="K413" s="1079">
        <v>3</v>
      </c>
      <c r="L413" s="1073" t="s">
        <v>567</v>
      </c>
      <c r="M413" s="1077" t="s">
        <v>610</v>
      </c>
      <c r="N413" s="1083" t="s">
        <v>2138</v>
      </c>
    </row>
    <row r="414" spans="1:14" ht="15" customHeight="1" x14ac:dyDescent="0.2">
      <c r="A414" s="1077" t="s">
        <v>578</v>
      </c>
      <c r="B414" s="1077" t="s">
        <v>610</v>
      </c>
      <c r="C414" s="1071" t="s">
        <v>1671</v>
      </c>
      <c r="D414" s="1083" t="s">
        <v>671</v>
      </c>
      <c r="E414" s="1075">
        <v>0</v>
      </c>
      <c r="F414" s="1099">
        <v>1000</v>
      </c>
      <c r="G414" s="1095" t="s">
        <v>387</v>
      </c>
      <c r="H414" s="1095" t="s">
        <v>208</v>
      </c>
      <c r="I414" s="1095" t="s">
        <v>112</v>
      </c>
      <c r="J414" s="1079">
        <v>9</v>
      </c>
      <c r="K414" s="1079">
        <v>3</v>
      </c>
      <c r="L414" s="1073" t="s">
        <v>567</v>
      </c>
      <c r="M414" s="1077" t="s">
        <v>610</v>
      </c>
      <c r="N414" s="1083" t="s">
        <v>2139</v>
      </c>
    </row>
    <row r="415" spans="1:14" ht="15" customHeight="1" x14ac:dyDescent="0.2">
      <c r="A415" s="1077" t="s">
        <v>578</v>
      </c>
      <c r="B415" s="1077" t="s">
        <v>610</v>
      </c>
      <c r="C415" s="1071" t="s">
        <v>1685</v>
      </c>
      <c r="D415" s="1083" t="s">
        <v>672</v>
      </c>
      <c r="E415" s="1075">
        <v>0</v>
      </c>
      <c r="F415" s="1099">
        <v>1000</v>
      </c>
      <c r="G415" s="1095" t="s">
        <v>387</v>
      </c>
      <c r="H415" s="1095" t="s">
        <v>208</v>
      </c>
      <c r="I415" s="1095" t="s">
        <v>112</v>
      </c>
      <c r="J415" s="1079">
        <v>9</v>
      </c>
      <c r="K415" s="1079">
        <v>3</v>
      </c>
      <c r="L415" s="1073" t="s">
        <v>567</v>
      </c>
      <c r="M415" s="1077" t="s">
        <v>610</v>
      </c>
      <c r="N415" s="1083" t="s">
        <v>2140</v>
      </c>
    </row>
    <row r="416" spans="1:14" ht="15" customHeight="1" x14ac:dyDescent="0.2">
      <c r="A416" s="1077" t="s">
        <v>578</v>
      </c>
      <c r="B416" s="1077" t="s">
        <v>610</v>
      </c>
      <c r="C416" s="1071" t="s">
        <v>1672</v>
      </c>
      <c r="D416" s="1083" t="s">
        <v>673</v>
      </c>
      <c r="E416" s="1075">
        <v>0</v>
      </c>
      <c r="F416" s="1099">
        <v>1000</v>
      </c>
      <c r="G416" s="1095" t="s">
        <v>387</v>
      </c>
      <c r="H416" s="1095" t="s">
        <v>208</v>
      </c>
      <c r="I416" s="1095" t="s">
        <v>112</v>
      </c>
      <c r="J416" s="1079">
        <v>9</v>
      </c>
      <c r="K416" s="1079">
        <v>3</v>
      </c>
      <c r="L416" s="1073" t="s">
        <v>567</v>
      </c>
      <c r="M416" s="1077" t="s">
        <v>610</v>
      </c>
      <c r="N416" s="1083" t="s">
        <v>2141</v>
      </c>
    </row>
    <row r="417" spans="1:14" ht="15" customHeight="1" x14ac:dyDescent="0.2">
      <c r="A417" s="1077" t="s">
        <v>578</v>
      </c>
      <c r="B417" s="1077" t="s">
        <v>610</v>
      </c>
      <c r="C417" s="1071" t="s">
        <v>1673</v>
      </c>
      <c r="D417" s="1083" t="s">
        <v>674</v>
      </c>
      <c r="E417" s="1075">
        <v>0</v>
      </c>
      <c r="F417" s="1099">
        <v>1000</v>
      </c>
      <c r="G417" s="1095" t="s">
        <v>387</v>
      </c>
      <c r="H417" s="1095" t="s">
        <v>208</v>
      </c>
      <c r="I417" s="1095" t="s">
        <v>112</v>
      </c>
      <c r="J417" s="1079">
        <v>9</v>
      </c>
      <c r="K417" s="1079">
        <v>3</v>
      </c>
      <c r="L417" s="1073" t="s">
        <v>567</v>
      </c>
      <c r="M417" s="1077" t="s">
        <v>610</v>
      </c>
      <c r="N417" s="1083" t="s">
        <v>2142</v>
      </c>
    </row>
    <row r="418" spans="1:14" ht="15" customHeight="1" x14ac:dyDescent="0.2">
      <c r="A418" s="1077" t="s">
        <v>578</v>
      </c>
      <c r="B418" s="1077" t="s">
        <v>610</v>
      </c>
      <c r="C418" s="1071" t="s">
        <v>1674</v>
      </c>
      <c r="D418" s="1083" t="s">
        <v>675</v>
      </c>
      <c r="E418" s="1075">
        <v>0</v>
      </c>
      <c r="F418" s="1099">
        <v>1000</v>
      </c>
      <c r="G418" s="1095" t="s">
        <v>387</v>
      </c>
      <c r="H418" s="1095" t="s">
        <v>208</v>
      </c>
      <c r="I418" s="1095" t="s">
        <v>112</v>
      </c>
      <c r="J418" s="1079">
        <v>9</v>
      </c>
      <c r="K418" s="1079">
        <v>3</v>
      </c>
      <c r="L418" s="1073" t="s">
        <v>567</v>
      </c>
      <c r="M418" s="1077" t="s">
        <v>610</v>
      </c>
      <c r="N418" s="1083" t="s">
        <v>2143</v>
      </c>
    </row>
    <row r="419" spans="1:14" ht="15" customHeight="1" x14ac:dyDescent="0.2">
      <c r="A419" s="1077" t="s">
        <v>578</v>
      </c>
      <c r="B419" s="1077" t="s">
        <v>610</v>
      </c>
      <c r="C419" s="1071" t="s">
        <v>1675</v>
      </c>
      <c r="D419" s="1083" t="s">
        <v>669</v>
      </c>
      <c r="E419" s="1075">
        <v>0</v>
      </c>
      <c r="F419" s="1099">
        <v>1000</v>
      </c>
      <c r="G419" s="1095" t="s">
        <v>387</v>
      </c>
      <c r="H419" s="1095" t="s">
        <v>208</v>
      </c>
      <c r="I419" s="1095" t="s">
        <v>112</v>
      </c>
      <c r="J419" s="1079">
        <v>9</v>
      </c>
      <c r="K419" s="1079">
        <v>3</v>
      </c>
      <c r="L419" s="1073" t="s">
        <v>567</v>
      </c>
      <c r="M419" s="1077" t="s">
        <v>610</v>
      </c>
      <c r="N419" s="1083" t="s">
        <v>2144</v>
      </c>
    </row>
    <row r="420" spans="1:14" ht="15" customHeight="1" x14ac:dyDescent="0.2">
      <c r="A420" s="1077" t="s">
        <v>578</v>
      </c>
      <c r="B420" s="1077" t="s">
        <v>610</v>
      </c>
      <c r="C420" s="1071" t="s">
        <v>1676</v>
      </c>
      <c r="D420" s="1083" t="s">
        <v>747</v>
      </c>
      <c r="E420" s="1075">
        <v>0</v>
      </c>
      <c r="F420" s="1099">
        <v>1000</v>
      </c>
      <c r="G420" s="1095" t="s">
        <v>387</v>
      </c>
      <c r="H420" s="1095" t="s">
        <v>208</v>
      </c>
      <c r="I420" s="1095" t="s">
        <v>112</v>
      </c>
      <c r="J420" s="1079">
        <v>9</v>
      </c>
      <c r="K420" s="1079">
        <v>3</v>
      </c>
      <c r="L420" s="1073" t="s">
        <v>567</v>
      </c>
      <c r="M420" s="1077" t="s">
        <v>610</v>
      </c>
      <c r="N420" s="1083" t="s">
        <v>2145</v>
      </c>
    </row>
    <row r="421" spans="1:14" ht="15" customHeight="1" x14ac:dyDescent="0.2">
      <c r="A421" s="1077" t="s">
        <v>578</v>
      </c>
      <c r="B421" s="1077" t="s">
        <v>610</v>
      </c>
      <c r="C421" s="1071" t="s">
        <v>1677</v>
      </c>
      <c r="D421" s="1083" t="s">
        <v>748</v>
      </c>
      <c r="E421" s="1075">
        <v>0</v>
      </c>
      <c r="F421" s="1099">
        <v>1000</v>
      </c>
      <c r="G421" s="1095" t="s">
        <v>387</v>
      </c>
      <c r="H421" s="1095" t="s">
        <v>208</v>
      </c>
      <c r="I421" s="1095" t="s">
        <v>112</v>
      </c>
      <c r="J421" s="1079">
        <v>9</v>
      </c>
      <c r="K421" s="1079">
        <v>3</v>
      </c>
      <c r="L421" s="1073" t="s">
        <v>567</v>
      </c>
      <c r="M421" s="1077" t="s">
        <v>610</v>
      </c>
      <c r="N421" s="1083" t="s">
        <v>2146</v>
      </c>
    </row>
    <row r="422" spans="1:14" ht="15" customHeight="1" x14ac:dyDescent="0.2">
      <c r="A422" s="1077" t="s">
        <v>578</v>
      </c>
      <c r="B422" s="1077" t="s">
        <v>610</v>
      </c>
      <c r="C422" s="1071" t="s">
        <v>1678</v>
      </c>
      <c r="D422" s="1083" t="s">
        <v>749</v>
      </c>
      <c r="E422" s="1075">
        <v>0</v>
      </c>
      <c r="F422" s="1099">
        <v>1000</v>
      </c>
      <c r="G422" s="1095" t="s">
        <v>387</v>
      </c>
      <c r="H422" s="1095" t="s">
        <v>208</v>
      </c>
      <c r="I422" s="1095" t="s">
        <v>112</v>
      </c>
      <c r="J422" s="1079">
        <v>9</v>
      </c>
      <c r="K422" s="1079">
        <v>3</v>
      </c>
      <c r="L422" s="1073" t="s">
        <v>567</v>
      </c>
      <c r="M422" s="1077" t="s">
        <v>610</v>
      </c>
      <c r="N422" s="1083" t="s">
        <v>2147</v>
      </c>
    </row>
    <row r="423" spans="1:14" ht="15" customHeight="1" x14ac:dyDescent="0.2">
      <c r="A423" s="1077" t="s">
        <v>578</v>
      </c>
      <c r="B423" s="1077" t="s">
        <v>610</v>
      </c>
      <c r="C423" s="1071" t="s">
        <v>1679</v>
      </c>
      <c r="D423" s="1083" t="s">
        <v>750</v>
      </c>
      <c r="E423" s="1075">
        <v>0</v>
      </c>
      <c r="F423" s="1099">
        <v>1000</v>
      </c>
      <c r="G423" s="1095" t="s">
        <v>387</v>
      </c>
      <c r="H423" s="1095" t="s">
        <v>208</v>
      </c>
      <c r="I423" s="1095" t="s">
        <v>112</v>
      </c>
      <c r="J423" s="1079">
        <v>9</v>
      </c>
      <c r="K423" s="1079">
        <v>3</v>
      </c>
      <c r="L423" s="1073" t="s">
        <v>567</v>
      </c>
      <c r="M423" s="1077" t="s">
        <v>610</v>
      </c>
      <c r="N423" s="1083" t="s">
        <v>2148</v>
      </c>
    </row>
    <row r="424" spans="1:14" ht="15" customHeight="1" x14ac:dyDescent="0.2">
      <c r="A424" s="1077" t="s">
        <v>578</v>
      </c>
      <c r="B424" s="1077" t="s">
        <v>610</v>
      </c>
      <c r="C424" s="1071" t="s">
        <v>1680</v>
      </c>
      <c r="D424" s="1083" t="s">
        <v>751</v>
      </c>
      <c r="E424" s="1075">
        <v>0</v>
      </c>
      <c r="F424" s="1099">
        <v>1000</v>
      </c>
      <c r="G424" s="1095" t="s">
        <v>387</v>
      </c>
      <c r="H424" s="1095" t="s">
        <v>208</v>
      </c>
      <c r="I424" s="1095" t="s">
        <v>112</v>
      </c>
      <c r="J424" s="1079">
        <v>9</v>
      </c>
      <c r="K424" s="1079">
        <v>3</v>
      </c>
      <c r="L424" s="1073" t="s">
        <v>567</v>
      </c>
      <c r="M424" s="1077" t="s">
        <v>610</v>
      </c>
      <c r="N424" s="1083" t="s">
        <v>2149</v>
      </c>
    </row>
    <row r="425" spans="1:14" ht="15" customHeight="1" x14ac:dyDescent="0.2">
      <c r="A425" s="1077" t="s">
        <v>578</v>
      </c>
      <c r="B425" s="1077" t="s">
        <v>610</v>
      </c>
      <c r="C425" s="1071" t="s">
        <v>1681</v>
      </c>
      <c r="D425" s="1083" t="s">
        <v>752</v>
      </c>
      <c r="E425" s="1075">
        <v>0</v>
      </c>
      <c r="F425" s="1099">
        <v>1000</v>
      </c>
      <c r="G425" s="1095" t="s">
        <v>387</v>
      </c>
      <c r="H425" s="1095" t="s">
        <v>208</v>
      </c>
      <c r="I425" s="1095" t="s">
        <v>112</v>
      </c>
      <c r="J425" s="1079">
        <v>9</v>
      </c>
      <c r="K425" s="1079">
        <v>3</v>
      </c>
      <c r="L425" s="1073" t="s">
        <v>567</v>
      </c>
      <c r="M425" s="1077" t="s">
        <v>610</v>
      </c>
      <c r="N425" s="1083" t="s">
        <v>2150</v>
      </c>
    </row>
    <row r="426" spans="1:14" ht="15" customHeight="1" x14ac:dyDescent="0.2">
      <c r="A426" s="1077" t="s">
        <v>578</v>
      </c>
      <c r="B426" s="1077" t="s">
        <v>610</v>
      </c>
      <c r="C426" s="1071" t="s">
        <v>1682</v>
      </c>
      <c r="D426" s="1083" t="s">
        <v>753</v>
      </c>
      <c r="E426" s="1075">
        <v>0</v>
      </c>
      <c r="F426" s="1099">
        <v>1000</v>
      </c>
      <c r="G426" s="1095" t="s">
        <v>387</v>
      </c>
      <c r="H426" s="1095" t="s">
        <v>208</v>
      </c>
      <c r="I426" s="1095" t="s">
        <v>112</v>
      </c>
      <c r="J426" s="1079">
        <v>9</v>
      </c>
      <c r="K426" s="1079">
        <v>3</v>
      </c>
      <c r="L426" s="1073" t="s">
        <v>567</v>
      </c>
      <c r="M426" s="1077" t="s">
        <v>610</v>
      </c>
      <c r="N426" s="1083" t="s">
        <v>2151</v>
      </c>
    </row>
    <row r="427" spans="1:14" ht="15" customHeight="1" x14ac:dyDescent="0.2">
      <c r="A427" s="1077" t="s">
        <v>578</v>
      </c>
      <c r="B427" s="1077" t="s">
        <v>610</v>
      </c>
      <c r="C427" s="1071" t="s">
        <v>1683</v>
      </c>
      <c r="D427" s="1083" t="s">
        <v>754</v>
      </c>
      <c r="E427" s="1075">
        <v>0</v>
      </c>
      <c r="F427" s="1099">
        <v>1000</v>
      </c>
      <c r="G427" s="1095" t="s">
        <v>387</v>
      </c>
      <c r="H427" s="1095" t="s">
        <v>208</v>
      </c>
      <c r="I427" s="1095" t="s">
        <v>112</v>
      </c>
      <c r="J427" s="1079">
        <v>9</v>
      </c>
      <c r="K427" s="1079">
        <v>3</v>
      </c>
      <c r="L427" s="1073" t="s">
        <v>567</v>
      </c>
      <c r="M427" s="1077" t="s">
        <v>610</v>
      </c>
      <c r="N427" s="1083" t="s">
        <v>2152</v>
      </c>
    </row>
    <row r="428" spans="1:14" ht="15" customHeight="1" x14ac:dyDescent="0.2">
      <c r="A428" s="1077" t="s">
        <v>578</v>
      </c>
      <c r="B428" s="1077" t="s">
        <v>610</v>
      </c>
      <c r="C428" s="1071" t="s">
        <v>1684</v>
      </c>
      <c r="D428" s="1083" t="s">
        <v>755</v>
      </c>
      <c r="E428" s="1075">
        <v>0</v>
      </c>
      <c r="F428" s="1099">
        <v>1000</v>
      </c>
      <c r="G428" s="1095" t="s">
        <v>387</v>
      </c>
      <c r="H428" s="1095" t="s">
        <v>208</v>
      </c>
      <c r="I428" s="1095" t="s">
        <v>112</v>
      </c>
      <c r="J428" s="1079">
        <v>9</v>
      </c>
      <c r="K428" s="1079">
        <v>3</v>
      </c>
      <c r="L428" s="1073" t="s">
        <v>567</v>
      </c>
      <c r="M428" s="1077" t="s">
        <v>610</v>
      </c>
      <c r="N428" s="1083" t="s">
        <v>2153</v>
      </c>
    </row>
    <row r="429" spans="1:14" ht="15" customHeight="1" x14ac:dyDescent="0.2">
      <c r="A429" s="1077" t="s">
        <v>578</v>
      </c>
      <c r="B429" s="1077" t="s">
        <v>610</v>
      </c>
      <c r="C429" s="1071" t="s">
        <v>1686</v>
      </c>
      <c r="D429" s="1083" t="s">
        <v>756</v>
      </c>
      <c r="E429" s="1075">
        <v>0</v>
      </c>
      <c r="F429" s="1099">
        <v>1000</v>
      </c>
      <c r="G429" s="1095" t="s">
        <v>387</v>
      </c>
      <c r="H429" s="1095" t="s">
        <v>208</v>
      </c>
      <c r="I429" s="1095" t="s">
        <v>112</v>
      </c>
      <c r="J429" s="1079">
        <v>9</v>
      </c>
      <c r="K429" s="1079">
        <v>3</v>
      </c>
      <c r="L429" s="1073" t="s">
        <v>567</v>
      </c>
      <c r="M429" s="1077" t="s">
        <v>610</v>
      </c>
      <c r="N429" s="1083" t="s">
        <v>2242</v>
      </c>
    </row>
    <row r="430" spans="1:14" ht="15" customHeight="1" x14ac:dyDescent="0.2">
      <c r="A430" s="1077" t="s">
        <v>578</v>
      </c>
      <c r="B430" s="1077" t="s">
        <v>610</v>
      </c>
      <c r="C430" s="1071" t="s">
        <v>1687</v>
      </c>
      <c r="D430" s="1083" t="s">
        <v>757</v>
      </c>
      <c r="E430" s="1075">
        <v>0</v>
      </c>
      <c r="F430" s="1099">
        <v>1000</v>
      </c>
      <c r="G430" s="1095" t="s">
        <v>387</v>
      </c>
      <c r="H430" s="1095" t="s">
        <v>208</v>
      </c>
      <c r="I430" s="1095" t="s">
        <v>112</v>
      </c>
      <c r="J430" s="1079">
        <v>9</v>
      </c>
      <c r="K430" s="1079">
        <v>3</v>
      </c>
      <c r="L430" s="1073" t="s">
        <v>567</v>
      </c>
      <c r="M430" s="1077" t="s">
        <v>610</v>
      </c>
      <c r="N430" s="1083" t="s">
        <v>2154</v>
      </c>
    </row>
    <row r="431" spans="1:14" ht="15" customHeight="1" x14ac:dyDescent="0.2">
      <c r="A431" s="1077" t="s">
        <v>578</v>
      </c>
      <c r="B431" s="1077" t="s">
        <v>610</v>
      </c>
      <c r="C431" s="1071" t="s">
        <v>1688</v>
      </c>
      <c r="D431" s="1083" t="s">
        <v>758</v>
      </c>
      <c r="E431" s="1075">
        <v>0</v>
      </c>
      <c r="F431" s="1099">
        <v>1000</v>
      </c>
      <c r="G431" s="1095" t="s">
        <v>387</v>
      </c>
      <c r="H431" s="1095" t="s">
        <v>208</v>
      </c>
      <c r="I431" s="1095" t="s">
        <v>112</v>
      </c>
      <c r="J431" s="1079">
        <v>9</v>
      </c>
      <c r="K431" s="1079">
        <v>3</v>
      </c>
      <c r="L431" s="1073" t="s">
        <v>567</v>
      </c>
      <c r="M431" s="1077" t="s">
        <v>610</v>
      </c>
      <c r="N431" s="1083" t="s">
        <v>2155</v>
      </c>
    </row>
    <row r="432" spans="1:14" ht="15" customHeight="1" x14ac:dyDescent="0.2">
      <c r="A432" s="1077" t="s">
        <v>578</v>
      </c>
      <c r="B432" s="1077" t="s">
        <v>610</v>
      </c>
      <c r="C432" s="1071" t="s">
        <v>1689</v>
      </c>
      <c r="D432" s="1083" t="s">
        <v>759</v>
      </c>
      <c r="E432" s="1075">
        <v>0</v>
      </c>
      <c r="F432" s="1099">
        <v>1000</v>
      </c>
      <c r="G432" s="1095" t="s">
        <v>387</v>
      </c>
      <c r="H432" s="1095" t="s">
        <v>208</v>
      </c>
      <c r="I432" s="1095" t="s">
        <v>112</v>
      </c>
      <c r="J432" s="1079">
        <v>9</v>
      </c>
      <c r="K432" s="1079">
        <v>3</v>
      </c>
      <c r="L432" s="1073" t="s">
        <v>567</v>
      </c>
      <c r="M432" s="1077" t="s">
        <v>610</v>
      </c>
      <c r="N432" s="1083" t="s">
        <v>2156</v>
      </c>
    </row>
    <row r="433" spans="1:14" ht="15" customHeight="1" x14ac:dyDescent="0.2">
      <c r="A433" s="1089" t="s">
        <v>567</v>
      </c>
      <c r="B433" s="1089" t="s">
        <v>567</v>
      </c>
      <c r="C433" s="1089" t="s">
        <v>567</v>
      </c>
      <c r="D433" s="1089" t="s">
        <v>567</v>
      </c>
      <c r="E433" s="1089" t="s">
        <v>567</v>
      </c>
      <c r="F433" s="1089" t="s">
        <v>567</v>
      </c>
      <c r="G433" s="1089" t="s">
        <v>567</v>
      </c>
      <c r="H433" s="1089" t="s">
        <v>567</v>
      </c>
      <c r="I433" s="1089" t="s">
        <v>567</v>
      </c>
      <c r="J433" s="1081" t="s">
        <v>567</v>
      </c>
      <c r="K433" s="1081" t="s">
        <v>567</v>
      </c>
      <c r="L433" s="1081" t="s">
        <v>567</v>
      </c>
      <c r="M433" s="1089" t="s">
        <v>567</v>
      </c>
      <c r="N433" s="1089" t="s">
        <v>567</v>
      </c>
    </row>
    <row r="434" spans="1:14" ht="15" customHeight="1" x14ac:dyDescent="0.2">
      <c r="A434" s="1077" t="s">
        <v>578</v>
      </c>
      <c r="B434" s="1077" t="s">
        <v>611</v>
      </c>
      <c r="C434" s="1071" t="s">
        <v>1495</v>
      </c>
      <c r="D434" s="1095" t="s">
        <v>574</v>
      </c>
      <c r="E434" s="1083" t="s">
        <v>561</v>
      </c>
      <c r="F434" s="1083" t="s">
        <v>562</v>
      </c>
      <c r="G434" s="1083" t="s">
        <v>196</v>
      </c>
      <c r="H434" s="1075" t="s">
        <v>206</v>
      </c>
      <c r="I434" s="1095" t="s">
        <v>619</v>
      </c>
      <c r="J434" s="1073" t="s">
        <v>567</v>
      </c>
      <c r="K434" s="1073" t="s">
        <v>567</v>
      </c>
      <c r="L434" s="1079">
        <v>63999</v>
      </c>
      <c r="M434" s="1077" t="s">
        <v>611</v>
      </c>
      <c r="N434" s="1083" t="s">
        <v>154</v>
      </c>
    </row>
    <row r="435" spans="1:14" ht="15" customHeight="1" x14ac:dyDescent="0.2">
      <c r="A435" s="1077" t="s">
        <v>578</v>
      </c>
      <c r="B435" s="1077" t="s">
        <v>611</v>
      </c>
      <c r="C435" s="1071" t="s">
        <v>35</v>
      </c>
      <c r="D435" s="1095" t="s">
        <v>35</v>
      </c>
      <c r="E435" s="1097">
        <v>1</v>
      </c>
      <c r="F435" s="1097">
        <f ca="1">TODAY()</f>
        <v>42886</v>
      </c>
      <c r="G435" s="1095" t="s">
        <v>116</v>
      </c>
      <c r="H435" s="1095" t="s">
        <v>206</v>
      </c>
      <c r="I435" s="1095" t="s">
        <v>565</v>
      </c>
      <c r="J435" s="1073" t="s">
        <v>567</v>
      </c>
      <c r="K435" s="1073" t="s">
        <v>567</v>
      </c>
      <c r="L435" s="1073" t="s">
        <v>567</v>
      </c>
      <c r="M435" s="1077" t="s">
        <v>611</v>
      </c>
      <c r="N435" s="1083" t="s">
        <v>35</v>
      </c>
    </row>
    <row r="436" spans="1:14" ht="15" customHeight="1" x14ac:dyDescent="0.2">
      <c r="A436" s="1077" t="s">
        <v>578</v>
      </c>
      <c r="B436" s="1077" t="s">
        <v>611</v>
      </c>
      <c r="C436" s="1071" t="s">
        <v>1456</v>
      </c>
      <c r="D436" s="1095" t="s">
        <v>229</v>
      </c>
      <c r="E436" s="1083" t="s">
        <v>561</v>
      </c>
      <c r="F436" s="1083" t="s">
        <v>562</v>
      </c>
      <c r="G436" s="1083" t="s">
        <v>196</v>
      </c>
      <c r="H436" s="1095" t="s">
        <v>208</v>
      </c>
      <c r="I436" s="1095" t="s">
        <v>619</v>
      </c>
      <c r="J436" s="1073" t="s">
        <v>567</v>
      </c>
      <c r="K436" s="1073" t="s">
        <v>567</v>
      </c>
      <c r="L436" s="1079">
        <v>63999</v>
      </c>
      <c r="M436" s="1077" t="s">
        <v>611</v>
      </c>
      <c r="N436" s="1083" t="s">
        <v>152</v>
      </c>
    </row>
    <row r="437" spans="1:14" ht="15" customHeight="1" x14ac:dyDescent="0.2">
      <c r="A437" s="1077" t="s">
        <v>578</v>
      </c>
      <c r="B437" s="1077" t="s">
        <v>611</v>
      </c>
      <c r="C437" s="1071" t="s">
        <v>1518</v>
      </c>
      <c r="D437" s="1095" t="s">
        <v>295</v>
      </c>
      <c r="E437" s="1083" t="s">
        <v>561</v>
      </c>
      <c r="F437" s="1083" t="s">
        <v>562</v>
      </c>
      <c r="G437" s="1083" t="s">
        <v>196</v>
      </c>
      <c r="H437" s="1095" t="s">
        <v>208</v>
      </c>
      <c r="I437" s="1095" t="s">
        <v>619</v>
      </c>
      <c r="J437" s="1073" t="s">
        <v>567</v>
      </c>
      <c r="K437" s="1073" t="s">
        <v>567</v>
      </c>
      <c r="L437" s="1079">
        <v>63999</v>
      </c>
      <c r="M437" s="1077" t="s">
        <v>611</v>
      </c>
      <c r="N437" s="1083" t="s">
        <v>76</v>
      </c>
    </row>
    <row r="438" spans="1:14" ht="15" customHeight="1" x14ac:dyDescent="0.2">
      <c r="A438" s="1077" t="s">
        <v>578</v>
      </c>
      <c r="B438" s="1077" t="s">
        <v>611</v>
      </c>
      <c r="C438" s="1071" t="s">
        <v>77</v>
      </c>
      <c r="D438" s="1095" t="s">
        <v>267</v>
      </c>
      <c r="E438" s="1083" t="s">
        <v>561</v>
      </c>
      <c r="F438" s="1083" t="s">
        <v>562</v>
      </c>
      <c r="G438" s="1083" t="s">
        <v>196</v>
      </c>
      <c r="H438" s="1095" t="s">
        <v>208</v>
      </c>
      <c r="I438" s="1095" t="s">
        <v>619</v>
      </c>
      <c r="J438" s="1073" t="s">
        <v>567</v>
      </c>
      <c r="K438" s="1073" t="s">
        <v>567</v>
      </c>
      <c r="L438" s="1079">
        <v>63999</v>
      </c>
      <c r="M438" s="1077" t="s">
        <v>611</v>
      </c>
      <c r="N438" s="1083" t="s">
        <v>77</v>
      </c>
    </row>
    <row r="439" spans="1:14" ht="15" customHeight="1" x14ac:dyDescent="0.2">
      <c r="A439" s="1077" t="s">
        <v>578</v>
      </c>
      <c r="B439" s="1077" t="s">
        <v>611</v>
      </c>
      <c r="C439" s="1071" t="s">
        <v>1653</v>
      </c>
      <c r="D439" s="1095" t="s">
        <v>585</v>
      </c>
      <c r="E439" s="1083" t="s">
        <v>561</v>
      </c>
      <c r="F439" s="1083" t="s">
        <v>562</v>
      </c>
      <c r="G439" s="1083" t="s">
        <v>196</v>
      </c>
      <c r="H439" s="1095" t="s">
        <v>208</v>
      </c>
      <c r="I439" s="1095" t="s">
        <v>619</v>
      </c>
      <c r="J439" s="1073" t="s">
        <v>567</v>
      </c>
      <c r="K439" s="1073" t="s">
        <v>567</v>
      </c>
      <c r="L439" s="1079">
        <v>63999</v>
      </c>
      <c r="M439" s="1077" t="s">
        <v>611</v>
      </c>
      <c r="N439" s="1083" t="s">
        <v>383</v>
      </c>
    </row>
    <row r="440" spans="1:14" ht="15" customHeight="1" x14ac:dyDescent="0.2">
      <c r="A440" s="1077" t="s">
        <v>578</v>
      </c>
      <c r="B440" s="1077" t="s">
        <v>611</v>
      </c>
      <c r="C440" s="1071" t="s">
        <v>1690</v>
      </c>
      <c r="D440" s="1083" t="s">
        <v>791</v>
      </c>
      <c r="E440" s="1075">
        <v>0</v>
      </c>
      <c r="F440" s="1099">
        <v>1000</v>
      </c>
      <c r="G440" s="1095" t="s">
        <v>387</v>
      </c>
      <c r="H440" s="1095" t="s">
        <v>208</v>
      </c>
      <c r="I440" s="1075" t="s">
        <v>112</v>
      </c>
      <c r="J440" s="1079">
        <v>9</v>
      </c>
      <c r="K440" s="1079">
        <v>3</v>
      </c>
      <c r="L440" s="1073" t="s">
        <v>567</v>
      </c>
      <c r="M440" s="1077" t="s">
        <v>611</v>
      </c>
      <c r="N440" s="1083" t="s">
        <v>2157</v>
      </c>
    </row>
    <row r="441" spans="1:14" ht="15" customHeight="1" x14ac:dyDescent="0.2">
      <c r="A441" s="1077" t="s">
        <v>578</v>
      </c>
      <c r="B441" s="1077" t="s">
        <v>611</v>
      </c>
      <c r="C441" s="1071" t="s">
        <v>1874</v>
      </c>
      <c r="D441" s="1083" t="s">
        <v>1876</v>
      </c>
      <c r="E441" s="1075">
        <v>0</v>
      </c>
      <c r="F441" s="1099">
        <v>1000</v>
      </c>
      <c r="G441" s="1095" t="s">
        <v>387</v>
      </c>
      <c r="H441" s="1095" t="s">
        <v>208</v>
      </c>
      <c r="I441" s="1075" t="s">
        <v>112</v>
      </c>
      <c r="J441" s="1079">
        <v>9</v>
      </c>
      <c r="K441" s="1079">
        <v>3</v>
      </c>
      <c r="L441" s="1073" t="s">
        <v>567</v>
      </c>
      <c r="M441" s="1077" t="s">
        <v>611</v>
      </c>
      <c r="N441" s="1083" t="s">
        <v>2144</v>
      </c>
    </row>
    <row r="442" spans="1:14" ht="15" customHeight="1" x14ac:dyDescent="0.2">
      <c r="A442" s="1077" t="s">
        <v>578</v>
      </c>
      <c r="B442" s="1077" t="s">
        <v>611</v>
      </c>
      <c r="C442" s="1071" t="s">
        <v>1691</v>
      </c>
      <c r="D442" s="1083" t="s">
        <v>792</v>
      </c>
      <c r="E442" s="1075">
        <v>0</v>
      </c>
      <c r="F442" s="1075"/>
      <c r="G442" s="1095" t="s">
        <v>535</v>
      </c>
      <c r="H442" s="1095" t="s">
        <v>208</v>
      </c>
      <c r="I442" s="1075" t="s">
        <v>112</v>
      </c>
      <c r="J442" s="1079">
        <v>9</v>
      </c>
      <c r="K442" s="1079">
        <v>3</v>
      </c>
      <c r="L442" s="1073" t="s">
        <v>567</v>
      </c>
      <c r="M442" s="1077" t="s">
        <v>611</v>
      </c>
      <c r="N442" s="1083" t="s">
        <v>2158</v>
      </c>
    </row>
    <row r="443" spans="1:14" ht="15" customHeight="1" x14ac:dyDescent="0.2">
      <c r="A443" s="1077" t="s">
        <v>578</v>
      </c>
      <c r="B443" s="1077" t="s">
        <v>611</v>
      </c>
      <c r="C443" s="1071" t="s">
        <v>1692</v>
      </c>
      <c r="D443" s="1083" t="s">
        <v>793</v>
      </c>
      <c r="E443" s="1075">
        <v>0</v>
      </c>
      <c r="F443" s="1099">
        <v>1000</v>
      </c>
      <c r="G443" s="1095" t="s">
        <v>387</v>
      </c>
      <c r="H443" s="1095" t="s">
        <v>208</v>
      </c>
      <c r="I443" s="1075" t="s">
        <v>112</v>
      </c>
      <c r="J443" s="1079">
        <v>9</v>
      </c>
      <c r="K443" s="1079">
        <v>3</v>
      </c>
      <c r="L443" s="1073" t="s">
        <v>567</v>
      </c>
      <c r="M443" s="1077" t="s">
        <v>611</v>
      </c>
      <c r="N443" s="1083" t="s">
        <v>2159</v>
      </c>
    </row>
    <row r="444" spans="1:14" ht="15" customHeight="1" x14ac:dyDescent="0.2">
      <c r="A444" s="1077" t="s">
        <v>578</v>
      </c>
      <c r="B444" s="1077" t="s">
        <v>611</v>
      </c>
      <c r="C444" s="1071" t="s">
        <v>1689</v>
      </c>
      <c r="D444" s="1083" t="s">
        <v>1877</v>
      </c>
      <c r="E444" s="1075">
        <v>0</v>
      </c>
      <c r="F444" s="1099">
        <v>1000</v>
      </c>
      <c r="G444" s="1095" t="s">
        <v>387</v>
      </c>
      <c r="H444" s="1095" t="s">
        <v>208</v>
      </c>
      <c r="I444" s="1075" t="s">
        <v>112</v>
      </c>
      <c r="J444" s="1079">
        <v>9</v>
      </c>
      <c r="K444" s="1079">
        <v>3</v>
      </c>
      <c r="L444" s="1073" t="s">
        <v>567</v>
      </c>
      <c r="M444" s="1077" t="s">
        <v>611</v>
      </c>
      <c r="N444" s="1083" t="s">
        <v>2156</v>
      </c>
    </row>
    <row r="445" spans="1:14" ht="15" customHeight="1" x14ac:dyDescent="0.2">
      <c r="A445" s="1077" t="s">
        <v>578</v>
      </c>
      <c r="B445" s="1077" t="s">
        <v>611</v>
      </c>
      <c r="C445" s="1071" t="s">
        <v>1693</v>
      </c>
      <c r="D445" s="1083" t="s">
        <v>794</v>
      </c>
      <c r="E445" s="1075">
        <v>0</v>
      </c>
      <c r="F445" s="1075"/>
      <c r="G445" s="1095" t="s">
        <v>535</v>
      </c>
      <c r="H445" s="1095" t="s">
        <v>208</v>
      </c>
      <c r="I445" s="1075" t="s">
        <v>112</v>
      </c>
      <c r="J445" s="1079">
        <v>9</v>
      </c>
      <c r="K445" s="1079">
        <v>3</v>
      </c>
      <c r="L445" s="1073" t="s">
        <v>567</v>
      </c>
      <c r="M445" s="1077" t="s">
        <v>611</v>
      </c>
      <c r="N445" s="1083" t="s">
        <v>2160</v>
      </c>
    </row>
    <row r="446" spans="1:14" ht="15" customHeight="1" x14ac:dyDescent="0.2">
      <c r="A446" s="1089" t="s">
        <v>567</v>
      </c>
      <c r="B446" s="1089" t="s">
        <v>567</v>
      </c>
      <c r="C446" s="1089" t="s">
        <v>567</v>
      </c>
      <c r="D446" s="1089" t="s">
        <v>567</v>
      </c>
      <c r="E446" s="1089" t="s">
        <v>567</v>
      </c>
      <c r="F446" s="1089" t="s">
        <v>567</v>
      </c>
      <c r="G446" s="1089" t="s">
        <v>567</v>
      </c>
      <c r="H446" s="1089" t="s">
        <v>567</v>
      </c>
      <c r="I446" s="1089" t="s">
        <v>567</v>
      </c>
      <c r="J446" s="1081" t="s">
        <v>567</v>
      </c>
      <c r="K446" s="1081" t="s">
        <v>567</v>
      </c>
      <c r="L446" s="1081" t="s">
        <v>567</v>
      </c>
      <c r="M446" s="1089" t="s">
        <v>567</v>
      </c>
      <c r="N446" s="1089" t="s">
        <v>567</v>
      </c>
    </row>
    <row r="447" spans="1:14" ht="15" customHeight="1" x14ac:dyDescent="0.2">
      <c r="A447" s="1077" t="s">
        <v>578</v>
      </c>
      <c r="B447" s="1077" t="s">
        <v>612</v>
      </c>
      <c r="C447" s="1071" t="s">
        <v>1495</v>
      </c>
      <c r="D447" s="1095" t="s">
        <v>574</v>
      </c>
      <c r="E447" s="1083" t="s">
        <v>561</v>
      </c>
      <c r="F447" s="1083" t="s">
        <v>562</v>
      </c>
      <c r="G447" s="1083" t="s">
        <v>196</v>
      </c>
      <c r="H447" s="1095" t="s">
        <v>206</v>
      </c>
      <c r="I447" s="1095" t="s">
        <v>619</v>
      </c>
      <c r="J447" s="1073" t="s">
        <v>567</v>
      </c>
      <c r="K447" s="1073" t="s">
        <v>567</v>
      </c>
      <c r="L447" s="1079">
        <v>63999</v>
      </c>
      <c r="M447" s="1077" t="s">
        <v>612</v>
      </c>
      <c r="N447" s="1083" t="s">
        <v>154</v>
      </c>
    </row>
    <row r="448" spans="1:14" ht="15" customHeight="1" x14ac:dyDescent="0.2">
      <c r="A448" s="1077" t="s">
        <v>578</v>
      </c>
      <c r="B448" s="1077" t="s">
        <v>612</v>
      </c>
      <c r="C448" s="1071" t="s">
        <v>35</v>
      </c>
      <c r="D448" s="1095" t="s">
        <v>35</v>
      </c>
      <c r="E448" s="1097">
        <v>1</v>
      </c>
      <c r="F448" s="1097">
        <f ca="1">TODAY()</f>
        <v>42886</v>
      </c>
      <c r="G448" s="1095" t="s">
        <v>116</v>
      </c>
      <c r="H448" s="1095" t="s">
        <v>206</v>
      </c>
      <c r="I448" s="1095" t="s">
        <v>565</v>
      </c>
      <c r="J448" s="1073" t="s">
        <v>567</v>
      </c>
      <c r="K448" s="1073" t="s">
        <v>567</v>
      </c>
      <c r="L448" s="1073" t="s">
        <v>567</v>
      </c>
      <c r="M448" s="1077" t="s">
        <v>612</v>
      </c>
      <c r="N448" s="1083" t="s">
        <v>35</v>
      </c>
    </row>
    <row r="449" spans="1:14" ht="15" customHeight="1" x14ac:dyDescent="0.2">
      <c r="A449" s="1077" t="s">
        <v>578</v>
      </c>
      <c r="B449" s="1077" t="s">
        <v>612</v>
      </c>
      <c r="C449" s="1071" t="s">
        <v>1456</v>
      </c>
      <c r="D449" s="1095" t="s">
        <v>229</v>
      </c>
      <c r="E449" s="1083" t="s">
        <v>561</v>
      </c>
      <c r="F449" s="1083" t="s">
        <v>562</v>
      </c>
      <c r="G449" s="1083" t="s">
        <v>196</v>
      </c>
      <c r="H449" s="1095" t="s">
        <v>208</v>
      </c>
      <c r="I449" s="1095" t="s">
        <v>619</v>
      </c>
      <c r="J449" s="1073" t="s">
        <v>567</v>
      </c>
      <c r="K449" s="1073" t="s">
        <v>567</v>
      </c>
      <c r="L449" s="1079">
        <v>63999</v>
      </c>
      <c r="M449" s="1077" t="s">
        <v>612</v>
      </c>
      <c r="N449" s="1083" t="s">
        <v>152</v>
      </c>
    </row>
    <row r="450" spans="1:14" ht="15" customHeight="1" x14ac:dyDescent="0.2">
      <c r="A450" s="1077" t="s">
        <v>578</v>
      </c>
      <c r="B450" s="1077" t="s">
        <v>612</v>
      </c>
      <c r="C450" s="1071" t="s">
        <v>1518</v>
      </c>
      <c r="D450" s="1095" t="s">
        <v>295</v>
      </c>
      <c r="E450" s="1083" t="s">
        <v>561</v>
      </c>
      <c r="F450" s="1083" t="s">
        <v>562</v>
      </c>
      <c r="G450" s="1083" t="s">
        <v>196</v>
      </c>
      <c r="H450" s="1095" t="s">
        <v>208</v>
      </c>
      <c r="I450" s="1095" t="s">
        <v>619</v>
      </c>
      <c r="J450" s="1073" t="s">
        <v>567</v>
      </c>
      <c r="K450" s="1073" t="s">
        <v>567</v>
      </c>
      <c r="L450" s="1079">
        <v>63999</v>
      </c>
      <c r="M450" s="1077" t="s">
        <v>612</v>
      </c>
      <c r="N450" s="1083" t="s">
        <v>76</v>
      </c>
    </row>
    <row r="451" spans="1:14" ht="15" customHeight="1" x14ac:dyDescent="0.2">
      <c r="A451" s="1077" t="s">
        <v>578</v>
      </c>
      <c r="B451" s="1077" t="s">
        <v>612</v>
      </c>
      <c r="C451" s="1071" t="s">
        <v>77</v>
      </c>
      <c r="D451" s="1095" t="s">
        <v>267</v>
      </c>
      <c r="E451" s="1083" t="s">
        <v>561</v>
      </c>
      <c r="F451" s="1083" t="s">
        <v>562</v>
      </c>
      <c r="G451" s="1083" t="s">
        <v>196</v>
      </c>
      <c r="H451" s="1095" t="s">
        <v>208</v>
      </c>
      <c r="I451" s="1095" t="s">
        <v>619</v>
      </c>
      <c r="J451" s="1073" t="s">
        <v>567</v>
      </c>
      <c r="K451" s="1073" t="s">
        <v>567</v>
      </c>
      <c r="L451" s="1079">
        <v>63999</v>
      </c>
      <c r="M451" s="1077" t="s">
        <v>612</v>
      </c>
      <c r="N451" s="1083" t="s">
        <v>77</v>
      </c>
    </row>
    <row r="452" spans="1:14" ht="15" customHeight="1" x14ac:dyDescent="0.2">
      <c r="A452" s="1077" t="s">
        <v>578</v>
      </c>
      <c r="B452" s="1077" t="s">
        <v>612</v>
      </c>
      <c r="C452" s="1071" t="s">
        <v>1653</v>
      </c>
      <c r="D452" s="1095" t="s">
        <v>585</v>
      </c>
      <c r="E452" s="1083" t="s">
        <v>561</v>
      </c>
      <c r="F452" s="1083" t="s">
        <v>562</v>
      </c>
      <c r="G452" s="1083" t="s">
        <v>196</v>
      </c>
      <c r="H452" s="1095" t="s">
        <v>208</v>
      </c>
      <c r="I452" s="1095" t="s">
        <v>619</v>
      </c>
      <c r="J452" s="1073" t="s">
        <v>567</v>
      </c>
      <c r="K452" s="1073" t="s">
        <v>567</v>
      </c>
      <c r="L452" s="1079">
        <v>63999</v>
      </c>
      <c r="M452" s="1077" t="s">
        <v>612</v>
      </c>
      <c r="N452" s="1083" t="s">
        <v>383</v>
      </c>
    </row>
    <row r="453" spans="1:14" ht="15" customHeight="1" x14ac:dyDescent="0.2">
      <c r="A453" s="1077" t="s">
        <v>578</v>
      </c>
      <c r="B453" s="1077" t="s">
        <v>612</v>
      </c>
      <c r="C453" s="1071" t="s">
        <v>1694</v>
      </c>
      <c r="D453" s="1083" t="s">
        <v>680</v>
      </c>
      <c r="E453" s="1075">
        <v>0</v>
      </c>
      <c r="F453" s="1075">
        <v>1000</v>
      </c>
      <c r="G453" s="1095" t="s">
        <v>387</v>
      </c>
      <c r="H453" s="1095" t="s">
        <v>208</v>
      </c>
      <c r="I453" s="1075" t="s">
        <v>112</v>
      </c>
      <c r="J453" s="1079">
        <v>9</v>
      </c>
      <c r="K453" s="1079">
        <v>3</v>
      </c>
      <c r="L453" s="1073" t="s">
        <v>567</v>
      </c>
      <c r="M453" s="1077" t="s">
        <v>612</v>
      </c>
      <c r="N453" s="1083" t="s">
        <v>2161</v>
      </c>
    </row>
    <row r="454" spans="1:14" ht="15" customHeight="1" x14ac:dyDescent="0.2">
      <c r="A454" s="1077" t="s">
        <v>578</v>
      </c>
      <c r="B454" s="1077" t="s">
        <v>612</v>
      </c>
      <c r="C454" s="1071" t="s">
        <v>1695</v>
      </c>
      <c r="D454" s="1083" t="s">
        <v>681</v>
      </c>
      <c r="E454" s="1075">
        <v>0</v>
      </c>
      <c r="F454" s="1075">
        <v>1000</v>
      </c>
      <c r="G454" s="1095" t="s">
        <v>387</v>
      </c>
      <c r="H454" s="1095" t="s">
        <v>208</v>
      </c>
      <c r="I454" s="1075" t="s">
        <v>112</v>
      </c>
      <c r="J454" s="1079">
        <v>9</v>
      </c>
      <c r="K454" s="1079">
        <v>3</v>
      </c>
      <c r="L454" s="1073" t="s">
        <v>567</v>
      </c>
      <c r="M454" s="1077" t="s">
        <v>612</v>
      </c>
      <c r="N454" s="1083" t="s">
        <v>2162</v>
      </c>
    </row>
    <row r="455" spans="1:14" ht="15" customHeight="1" x14ac:dyDescent="0.2">
      <c r="A455" s="1077" t="s">
        <v>578</v>
      </c>
      <c r="B455" s="1077" t="s">
        <v>612</v>
      </c>
      <c r="C455" s="1071" t="s">
        <v>1696</v>
      </c>
      <c r="D455" s="1083" t="s">
        <v>679</v>
      </c>
      <c r="E455" s="1075">
        <v>0</v>
      </c>
      <c r="F455" s="1075">
        <v>1000</v>
      </c>
      <c r="G455" s="1095" t="s">
        <v>387</v>
      </c>
      <c r="H455" s="1095" t="s">
        <v>208</v>
      </c>
      <c r="I455" s="1075" t="s">
        <v>112</v>
      </c>
      <c r="J455" s="1079">
        <v>9</v>
      </c>
      <c r="K455" s="1079">
        <v>3</v>
      </c>
      <c r="L455" s="1073" t="s">
        <v>567</v>
      </c>
      <c r="M455" s="1077" t="s">
        <v>612</v>
      </c>
      <c r="N455" s="1083" t="s">
        <v>2163</v>
      </c>
    </row>
    <row r="456" spans="1:14" ht="15" customHeight="1" x14ac:dyDescent="0.2">
      <c r="A456" s="1077" t="s">
        <v>578</v>
      </c>
      <c r="B456" s="1077" t="s">
        <v>612</v>
      </c>
      <c r="C456" s="1071" t="s">
        <v>1697</v>
      </c>
      <c r="D456" s="1083" t="s">
        <v>682</v>
      </c>
      <c r="E456" s="1075">
        <v>0</v>
      </c>
      <c r="F456" s="1075">
        <v>1000</v>
      </c>
      <c r="G456" s="1095" t="s">
        <v>387</v>
      </c>
      <c r="H456" s="1095" t="s">
        <v>208</v>
      </c>
      <c r="I456" s="1075" t="s">
        <v>112</v>
      </c>
      <c r="J456" s="1079">
        <v>9</v>
      </c>
      <c r="K456" s="1079">
        <v>3</v>
      </c>
      <c r="L456" s="1073" t="s">
        <v>567</v>
      </c>
      <c r="M456" s="1077" t="s">
        <v>612</v>
      </c>
      <c r="N456" s="1083" t="s">
        <v>2164</v>
      </c>
    </row>
    <row r="457" spans="1:14" ht="15" customHeight="1" x14ac:dyDescent="0.2">
      <c r="A457" s="1077" t="s">
        <v>578</v>
      </c>
      <c r="B457" s="1077" t="s">
        <v>612</v>
      </c>
      <c r="C457" s="1071" t="s">
        <v>1698</v>
      </c>
      <c r="D457" s="1083" t="s">
        <v>683</v>
      </c>
      <c r="E457" s="1075">
        <v>0</v>
      </c>
      <c r="F457" s="1075">
        <v>1000</v>
      </c>
      <c r="G457" s="1095" t="s">
        <v>387</v>
      </c>
      <c r="H457" s="1095" t="s">
        <v>208</v>
      </c>
      <c r="I457" s="1075" t="s">
        <v>112</v>
      </c>
      <c r="J457" s="1079">
        <v>9</v>
      </c>
      <c r="K457" s="1079">
        <v>3</v>
      </c>
      <c r="L457" s="1073" t="s">
        <v>567</v>
      </c>
      <c r="M457" s="1077" t="s">
        <v>612</v>
      </c>
      <c r="N457" s="1083" t="s">
        <v>2165</v>
      </c>
    </row>
    <row r="458" spans="1:14" ht="15" customHeight="1" x14ac:dyDescent="0.2">
      <c r="A458" s="1077" t="s">
        <v>578</v>
      </c>
      <c r="B458" s="1077" t="s">
        <v>612</v>
      </c>
      <c r="C458" s="1071" t="s">
        <v>1699</v>
      </c>
      <c r="D458" s="1083" t="s">
        <v>684</v>
      </c>
      <c r="E458" s="1075">
        <v>0</v>
      </c>
      <c r="F458" s="1075">
        <v>1000</v>
      </c>
      <c r="G458" s="1095" t="s">
        <v>387</v>
      </c>
      <c r="H458" s="1095" t="s">
        <v>208</v>
      </c>
      <c r="I458" s="1075" t="s">
        <v>112</v>
      </c>
      <c r="J458" s="1079">
        <v>9</v>
      </c>
      <c r="K458" s="1079">
        <v>3</v>
      </c>
      <c r="L458" s="1073" t="s">
        <v>567</v>
      </c>
      <c r="M458" s="1077" t="s">
        <v>612</v>
      </c>
      <c r="N458" s="1083" t="s">
        <v>2166</v>
      </c>
    </row>
    <row r="459" spans="1:14" ht="15" customHeight="1" x14ac:dyDescent="0.2">
      <c r="A459" s="1077" t="s">
        <v>578</v>
      </c>
      <c r="B459" s="1077" t="s">
        <v>612</v>
      </c>
      <c r="C459" s="1071" t="s">
        <v>1700</v>
      </c>
      <c r="D459" s="1083" t="s">
        <v>685</v>
      </c>
      <c r="E459" s="1075">
        <v>0</v>
      </c>
      <c r="F459" s="1075">
        <v>1000</v>
      </c>
      <c r="G459" s="1095" t="s">
        <v>387</v>
      </c>
      <c r="H459" s="1095" t="s">
        <v>208</v>
      </c>
      <c r="I459" s="1075" t="s">
        <v>112</v>
      </c>
      <c r="J459" s="1079">
        <v>9</v>
      </c>
      <c r="K459" s="1079">
        <v>3</v>
      </c>
      <c r="L459" s="1073" t="s">
        <v>567</v>
      </c>
      <c r="M459" s="1077" t="s">
        <v>612</v>
      </c>
      <c r="N459" s="1083" t="s">
        <v>2167</v>
      </c>
    </row>
    <row r="460" spans="1:14" ht="15" customHeight="1" x14ac:dyDescent="0.2">
      <c r="A460" s="1077" t="s">
        <v>578</v>
      </c>
      <c r="B460" s="1077" t="s">
        <v>612</v>
      </c>
      <c r="C460" s="1071" t="s">
        <v>1701</v>
      </c>
      <c r="D460" s="1083" t="s">
        <v>686</v>
      </c>
      <c r="E460" s="1075">
        <v>0</v>
      </c>
      <c r="F460" s="1075">
        <v>1000</v>
      </c>
      <c r="G460" s="1095" t="s">
        <v>387</v>
      </c>
      <c r="H460" s="1095" t="s">
        <v>208</v>
      </c>
      <c r="I460" s="1075" t="s">
        <v>112</v>
      </c>
      <c r="J460" s="1079">
        <v>9</v>
      </c>
      <c r="K460" s="1079">
        <v>3</v>
      </c>
      <c r="L460" s="1073" t="s">
        <v>567</v>
      </c>
      <c r="M460" s="1077" t="s">
        <v>612</v>
      </c>
      <c r="N460" s="1083" t="s">
        <v>2168</v>
      </c>
    </row>
    <row r="461" spans="1:14" ht="15" customHeight="1" x14ac:dyDescent="0.2">
      <c r="A461" s="1077" t="s">
        <v>578</v>
      </c>
      <c r="B461" s="1077" t="s">
        <v>612</v>
      </c>
      <c r="C461" s="1071" t="s">
        <v>1702</v>
      </c>
      <c r="D461" s="1083" t="s">
        <v>687</v>
      </c>
      <c r="E461" s="1075">
        <v>0</v>
      </c>
      <c r="F461" s="1075">
        <v>1000</v>
      </c>
      <c r="G461" s="1095" t="s">
        <v>387</v>
      </c>
      <c r="H461" s="1095" t="s">
        <v>208</v>
      </c>
      <c r="I461" s="1075" t="s">
        <v>112</v>
      </c>
      <c r="J461" s="1079">
        <v>9</v>
      </c>
      <c r="K461" s="1079">
        <v>3</v>
      </c>
      <c r="L461" s="1073" t="s">
        <v>567</v>
      </c>
      <c r="M461" s="1077" t="s">
        <v>612</v>
      </c>
      <c r="N461" s="1083" t="s">
        <v>2169</v>
      </c>
    </row>
    <row r="462" spans="1:14" ht="15" customHeight="1" x14ac:dyDescent="0.2">
      <c r="A462" s="1077" t="s">
        <v>578</v>
      </c>
      <c r="B462" s="1077" t="s">
        <v>612</v>
      </c>
      <c r="C462" s="1071" t="s">
        <v>1816</v>
      </c>
      <c r="D462" s="1083" t="s">
        <v>688</v>
      </c>
      <c r="E462" s="1075">
        <v>0</v>
      </c>
      <c r="F462" s="1075">
        <v>1000</v>
      </c>
      <c r="G462" s="1095" t="s">
        <v>399</v>
      </c>
      <c r="H462" s="1095" t="s">
        <v>208</v>
      </c>
      <c r="I462" s="1075" t="s">
        <v>112</v>
      </c>
      <c r="J462" s="1079">
        <v>9</v>
      </c>
      <c r="K462" s="1079">
        <v>3</v>
      </c>
      <c r="L462" s="1073" t="s">
        <v>567</v>
      </c>
      <c r="M462" s="1077" t="s">
        <v>612</v>
      </c>
      <c r="N462" s="1083" t="s">
        <v>2170</v>
      </c>
    </row>
    <row r="463" spans="1:14" ht="15" customHeight="1" x14ac:dyDescent="0.2">
      <c r="A463" s="1077" t="s">
        <v>578</v>
      </c>
      <c r="B463" s="1077" t="s">
        <v>612</v>
      </c>
      <c r="C463" s="1071" t="s">
        <v>1817</v>
      </c>
      <c r="D463" s="1083" t="s">
        <v>689</v>
      </c>
      <c r="E463" s="1075">
        <v>0</v>
      </c>
      <c r="F463" s="1075">
        <v>1000</v>
      </c>
      <c r="G463" s="1095" t="s">
        <v>399</v>
      </c>
      <c r="H463" s="1095" t="s">
        <v>208</v>
      </c>
      <c r="I463" s="1075" t="s">
        <v>112</v>
      </c>
      <c r="J463" s="1079">
        <v>9</v>
      </c>
      <c r="K463" s="1079">
        <v>3</v>
      </c>
      <c r="L463" s="1073" t="s">
        <v>567</v>
      </c>
      <c r="M463" s="1077" t="s">
        <v>612</v>
      </c>
      <c r="N463" s="1083" t="s">
        <v>2171</v>
      </c>
    </row>
    <row r="464" spans="1:14" ht="15" customHeight="1" x14ac:dyDescent="0.2">
      <c r="A464" s="1077" t="s">
        <v>578</v>
      </c>
      <c r="B464" s="1077" t="s">
        <v>612</v>
      </c>
      <c r="C464" s="1071" t="s">
        <v>1818</v>
      </c>
      <c r="D464" s="1083" t="s">
        <v>690</v>
      </c>
      <c r="E464" s="1075">
        <v>0</v>
      </c>
      <c r="F464" s="1075">
        <v>1000</v>
      </c>
      <c r="G464" s="1095" t="s">
        <v>399</v>
      </c>
      <c r="H464" s="1095" t="s">
        <v>208</v>
      </c>
      <c r="I464" s="1075" t="s">
        <v>112</v>
      </c>
      <c r="J464" s="1079">
        <v>9</v>
      </c>
      <c r="K464" s="1079">
        <v>3</v>
      </c>
      <c r="L464" s="1073" t="s">
        <v>567</v>
      </c>
      <c r="M464" s="1077" t="s">
        <v>612</v>
      </c>
      <c r="N464" s="1083" t="s">
        <v>2172</v>
      </c>
    </row>
    <row r="465" spans="1:14" ht="15" customHeight="1" x14ac:dyDescent="0.2">
      <c r="A465" s="1077" t="s">
        <v>578</v>
      </c>
      <c r="B465" s="1077" t="s">
        <v>612</v>
      </c>
      <c r="C465" s="1071" t="s">
        <v>1819</v>
      </c>
      <c r="D465" s="1083" t="s">
        <v>691</v>
      </c>
      <c r="E465" s="1075">
        <v>0</v>
      </c>
      <c r="F465" s="1075">
        <v>1000</v>
      </c>
      <c r="G465" s="1095" t="s">
        <v>399</v>
      </c>
      <c r="H465" s="1095" t="s">
        <v>208</v>
      </c>
      <c r="I465" s="1075" t="s">
        <v>112</v>
      </c>
      <c r="J465" s="1079">
        <v>9</v>
      </c>
      <c r="K465" s="1079">
        <v>3</v>
      </c>
      <c r="L465" s="1073" t="s">
        <v>567</v>
      </c>
      <c r="M465" s="1077" t="s">
        <v>612</v>
      </c>
      <c r="N465" s="1083" t="s">
        <v>2173</v>
      </c>
    </row>
    <row r="466" spans="1:14" ht="15" customHeight="1" x14ac:dyDescent="0.2">
      <c r="A466" s="1077" t="s">
        <v>578</v>
      </c>
      <c r="B466" s="1077" t="s">
        <v>612</v>
      </c>
      <c r="C466" s="1071" t="s">
        <v>1820</v>
      </c>
      <c r="D466" s="1083" t="s">
        <v>692</v>
      </c>
      <c r="E466" s="1075">
        <v>0</v>
      </c>
      <c r="F466" s="1075">
        <v>1000</v>
      </c>
      <c r="G466" s="1095" t="s">
        <v>399</v>
      </c>
      <c r="H466" s="1095" t="s">
        <v>208</v>
      </c>
      <c r="I466" s="1075" t="s">
        <v>112</v>
      </c>
      <c r="J466" s="1079">
        <v>9</v>
      </c>
      <c r="K466" s="1079">
        <v>3</v>
      </c>
      <c r="L466" s="1073" t="s">
        <v>567</v>
      </c>
      <c r="M466" s="1077" t="s">
        <v>612</v>
      </c>
      <c r="N466" s="1083" t="s">
        <v>2174</v>
      </c>
    </row>
    <row r="467" spans="1:14" ht="15" customHeight="1" x14ac:dyDescent="0.2">
      <c r="A467" s="1077" t="s">
        <v>578</v>
      </c>
      <c r="B467" s="1077" t="s">
        <v>612</v>
      </c>
      <c r="C467" s="1071" t="s">
        <v>1821</v>
      </c>
      <c r="D467" s="1083" t="s">
        <v>693</v>
      </c>
      <c r="E467" s="1075">
        <v>0</v>
      </c>
      <c r="F467" s="1075">
        <v>1000</v>
      </c>
      <c r="G467" s="1095" t="s">
        <v>399</v>
      </c>
      <c r="H467" s="1095" t="s">
        <v>208</v>
      </c>
      <c r="I467" s="1075" t="s">
        <v>112</v>
      </c>
      <c r="J467" s="1079">
        <v>9</v>
      </c>
      <c r="K467" s="1079">
        <v>3</v>
      </c>
      <c r="L467" s="1073" t="s">
        <v>567</v>
      </c>
      <c r="M467" s="1077" t="s">
        <v>612</v>
      </c>
      <c r="N467" s="1083" t="s">
        <v>2175</v>
      </c>
    </row>
    <row r="468" spans="1:14" ht="15" customHeight="1" x14ac:dyDescent="0.2">
      <c r="A468" s="1077" t="s">
        <v>578</v>
      </c>
      <c r="B468" s="1077" t="s">
        <v>612</v>
      </c>
      <c r="C468" s="1071" t="s">
        <v>1703</v>
      </c>
      <c r="D468" s="1083" t="s">
        <v>760</v>
      </c>
      <c r="E468" s="1075">
        <v>0</v>
      </c>
      <c r="F468" s="1075">
        <v>1000</v>
      </c>
      <c r="G468" s="1095" t="s">
        <v>387</v>
      </c>
      <c r="H468" s="1095" t="s">
        <v>208</v>
      </c>
      <c r="I468" s="1075" t="s">
        <v>112</v>
      </c>
      <c r="J468" s="1079">
        <v>9</v>
      </c>
      <c r="K468" s="1079">
        <v>3</v>
      </c>
      <c r="L468" s="1073" t="s">
        <v>567</v>
      </c>
      <c r="M468" s="1077" t="s">
        <v>612</v>
      </c>
      <c r="N468" s="1083" t="s">
        <v>2176</v>
      </c>
    </row>
    <row r="469" spans="1:14" ht="15" customHeight="1" x14ac:dyDescent="0.2">
      <c r="A469" s="1077" t="s">
        <v>578</v>
      </c>
      <c r="B469" s="1077" t="s">
        <v>612</v>
      </c>
      <c r="C469" s="1071" t="s">
        <v>1704</v>
      </c>
      <c r="D469" s="1083" t="s">
        <v>761</v>
      </c>
      <c r="E469" s="1075">
        <v>0</v>
      </c>
      <c r="F469" s="1075">
        <v>1000</v>
      </c>
      <c r="G469" s="1095" t="s">
        <v>387</v>
      </c>
      <c r="H469" s="1095" t="s">
        <v>208</v>
      </c>
      <c r="I469" s="1075" t="s">
        <v>112</v>
      </c>
      <c r="J469" s="1079">
        <v>9</v>
      </c>
      <c r="K469" s="1079">
        <v>3</v>
      </c>
      <c r="L469" s="1073" t="s">
        <v>567</v>
      </c>
      <c r="M469" s="1077" t="s">
        <v>612</v>
      </c>
      <c r="N469" s="1083" t="s">
        <v>2177</v>
      </c>
    </row>
    <row r="470" spans="1:14" ht="15" customHeight="1" x14ac:dyDescent="0.2">
      <c r="A470" s="1077" t="s">
        <v>578</v>
      </c>
      <c r="B470" s="1077" t="s">
        <v>612</v>
      </c>
      <c r="C470" s="1071" t="s">
        <v>1705</v>
      </c>
      <c r="D470" s="1083" t="s">
        <v>762</v>
      </c>
      <c r="E470" s="1075">
        <v>0</v>
      </c>
      <c r="F470" s="1075">
        <v>1000</v>
      </c>
      <c r="G470" s="1095" t="s">
        <v>387</v>
      </c>
      <c r="H470" s="1095" t="s">
        <v>208</v>
      </c>
      <c r="I470" s="1075" t="s">
        <v>112</v>
      </c>
      <c r="J470" s="1079">
        <v>9</v>
      </c>
      <c r="K470" s="1079">
        <v>3</v>
      </c>
      <c r="L470" s="1073" t="s">
        <v>567</v>
      </c>
      <c r="M470" s="1077" t="s">
        <v>612</v>
      </c>
      <c r="N470" s="1083" t="s">
        <v>2178</v>
      </c>
    </row>
    <row r="471" spans="1:14" ht="15" customHeight="1" x14ac:dyDescent="0.2">
      <c r="A471" s="1077" t="s">
        <v>578</v>
      </c>
      <c r="B471" s="1077" t="s">
        <v>612</v>
      </c>
      <c r="C471" s="1071" t="s">
        <v>1706</v>
      </c>
      <c r="D471" s="1083" t="s">
        <v>763</v>
      </c>
      <c r="E471" s="1075">
        <v>0</v>
      </c>
      <c r="F471" s="1075">
        <v>1000</v>
      </c>
      <c r="G471" s="1095" t="s">
        <v>387</v>
      </c>
      <c r="H471" s="1095" t="s">
        <v>208</v>
      </c>
      <c r="I471" s="1075" t="s">
        <v>112</v>
      </c>
      <c r="J471" s="1079">
        <v>9</v>
      </c>
      <c r="K471" s="1079">
        <v>3</v>
      </c>
      <c r="L471" s="1073" t="s">
        <v>567</v>
      </c>
      <c r="M471" s="1077" t="s">
        <v>612</v>
      </c>
      <c r="N471" s="1083" t="s">
        <v>2179</v>
      </c>
    </row>
    <row r="472" spans="1:14" ht="15" customHeight="1" x14ac:dyDescent="0.2">
      <c r="A472" s="1077" t="s">
        <v>578</v>
      </c>
      <c r="B472" s="1077" t="s">
        <v>612</v>
      </c>
      <c r="C472" s="1071" t="s">
        <v>1707</v>
      </c>
      <c r="D472" s="1083" t="s">
        <v>764</v>
      </c>
      <c r="E472" s="1075">
        <v>0</v>
      </c>
      <c r="F472" s="1075">
        <v>1000</v>
      </c>
      <c r="G472" s="1095" t="s">
        <v>387</v>
      </c>
      <c r="H472" s="1095" t="s">
        <v>208</v>
      </c>
      <c r="I472" s="1075" t="s">
        <v>112</v>
      </c>
      <c r="J472" s="1079">
        <v>9</v>
      </c>
      <c r="K472" s="1079">
        <v>3</v>
      </c>
      <c r="L472" s="1073" t="s">
        <v>567</v>
      </c>
      <c r="M472" s="1077" t="s">
        <v>612</v>
      </c>
      <c r="N472" s="1083" t="s">
        <v>2180</v>
      </c>
    </row>
    <row r="473" spans="1:14" ht="15" customHeight="1" x14ac:dyDescent="0.2">
      <c r="A473" s="1077" t="s">
        <v>578</v>
      </c>
      <c r="B473" s="1077" t="s">
        <v>612</v>
      </c>
      <c r="C473" s="1071" t="s">
        <v>1708</v>
      </c>
      <c r="D473" s="1083" t="s">
        <v>765</v>
      </c>
      <c r="E473" s="1075">
        <v>0</v>
      </c>
      <c r="F473" s="1075">
        <v>1000</v>
      </c>
      <c r="G473" s="1095" t="s">
        <v>387</v>
      </c>
      <c r="H473" s="1095" t="s">
        <v>208</v>
      </c>
      <c r="I473" s="1075" t="s">
        <v>112</v>
      </c>
      <c r="J473" s="1079">
        <v>9</v>
      </c>
      <c r="K473" s="1079">
        <v>3</v>
      </c>
      <c r="L473" s="1073" t="s">
        <v>567</v>
      </c>
      <c r="M473" s="1077" t="s">
        <v>612</v>
      </c>
      <c r="N473" s="1083" t="s">
        <v>2181</v>
      </c>
    </row>
    <row r="474" spans="1:14" ht="15" customHeight="1" x14ac:dyDescent="0.2">
      <c r="A474" s="1077" t="s">
        <v>578</v>
      </c>
      <c r="B474" s="1077" t="s">
        <v>612</v>
      </c>
      <c r="C474" s="1071" t="s">
        <v>1709</v>
      </c>
      <c r="D474" s="1083" t="s">
        <v>766</v>
      </c>
      <c r="E474" s="1075">
        <v>0</v>
      </c>
      <c r="F474" s="1075">
        <v>1000</v>
      </c>
      <c r="G474" s="1095" t="s">
        <v>387</v>
      </c>
      <c r="H474" s="1095" t="s">
        <v>208</v>
      </c>
      <c r="I474" s="1075" t="s">
        <v>112</v>
      </c>
      <c r="J474" s="1079">
        <v>9</v>
      </c>
      <c r="K474" s="1079">
        <v>3</v>
      </c>
      <c r="L474" s="1073" t="s">
        <v>567</v>
      </c>
      <c r="M474" s="1077" t="s">
        <v>612</v>
      </c>
      <c r="N474" s="1083" t="s">
        <v>2182</v>
      </c>
    </row>
    <row r="475" spans="1:14" ht="15" customHeight="1" x14ac:dyDescent="0.2">
      <c r="A475" s="1077" t="s">
        <v>578</v>
      </c>
      <c r="B475" s="1077" t="s">
        <v>612</v>
      </c>
      <c r="C475" s="1071" t="s">
        <v>1710</v>
      </c>
      <c r="D475" s="1083" t="s">
        <v>767</v>
      </c>
      <c r="E475" s="1075">
        <v>0</v>
      </c>
      <c r="F475" s="1075">
        <v>1000</v>
      </c>
      <c r="G475" s="1095" t="s">
        <v>387</v>
      </c>
      <c r="H475" s="1095" t="s">
        <v>208</v>
      </c>
      <c r="I475" s="1075" t="s">
        <v>112</v>
      </c>
      <c r="J475" s="1079">
        <v>9</v>
      </c>
      <c r="K475" s="1079">
        <v>3</v>
      </c>
      <c r="L475" s="1073" t="s">
        <v>567</v>
      </c>
      <c r="M475" s="1077" t="s">
        <v>612</v>
      </c>
      <c r="N475" s="1083" t="s">
        <v>2183</v>
      </c>
    </row>
    <row r="476" spans="1:14" ht="15" customHeight="1" x14ac:dyDescent="0.2">
      <c r="A476" s="1077" t="s">
        <v>578</v>
      </c>
      <c r="B476" s="1077" t="s">
        <v>612</v>
      </c>
      <c r="C476" s="1071" t="s">
        <v>1711</v>
      </c>
      <c r="D476" s="1083" t="s">
        <v>768</v>
      </c>
      <c r="E476" s="1075">
        <v>0</v>
      </c>
      <c r="F476" s="1075">
        <v>1000</v>
      </c>
      <c r="G476" s="1095" t="s">
        <v>387</v>
      </c>
      <c r="H476" s="1095" t="s">
        <v>208</v>
      </c>
      <c r="I476" s="1075" t="s">
        <v>112</v>
      </c>
      <c r="J476" s="1079">
        <v>9</v>
      </c>
      <c r="K476" s="1079">
        <v>3</v>
      </c>
      <c r="L476" s="1073" t="s">
        <v>567</v>
      </c>
      <c r="M476" s="1077" t="s">
        <v>612</v>
      </c>
      <c r="N476" s="1083" t="s">
        <v>2184</v>
      </c>
    </row>
    <row r="477" spans="1:14" ht="15" customHeight="1" x14ac:dyDescent="0.2">
      <c r="A477" s="1077" t="s">
        <v>578</v>
      </c>
      <c r="B477" s="1077" t="s">
        <v>612</v>
      </c>
      <c r="C477" s="1071" t="s">
        <v>1823</v>
      </c>
      <c r="D477" s="1083" t="s">
        <v>769</v>
      </c>
      <c r="E477" s="1075">
        <v>0</v>
      </c>
      <c r="F477" s="1075">
        <v>1000</v>
      </c>
      <c r="G477" s="1095" t="s">
        <v>399</v>
      </c>
      <c r="H477" s="1095" t="s">
        <v>208</v>
      </c>
      <c r="I477" s="1075" t="s">
        <v>112</v>
      </c>
      <c r="J477" s="1079">
        <v>9</v>
      </c>
      <c r="K477" s="1079">
        <v>3</v>
      </c>
      <c r="L477" s="1073" t="s">
        <v>567</v>
      </c>
      <c r="M477" s="1077" t="s">
        <v>612</v>
      </c>
      <c r="N477" s="1083" t="s">
        <v>2185</v>
      </c>
    </row>
    <row r="478" spans="1:14" ht="15" customHeight="1" x14ac:dyDescent="0.2">
      <c r="A478" s="1077" t="s">
        <v>578</v>
      </c>
      <c r="B478" s="1077" t="s">
        <v>612</v>
      </c>
      <c r="C478" s="1071" t="s">
        <v>1824</v>
      </c>
      <c r="D478" s="1083" t="s">
        <v>770</v>
      </c>
      <c r="E478" s="1075">
        <v>0</v>
      </c>
      <c r="F478" s="1075">
        <v>1000</v>
      </c>
      <c r="G478" s="1095" t="s">
        <v>399</v>
      </c>
      <c r="H478" s="1095" t="s">
        <v>208</v>
      </c>
      <c r="I478" s="1075" t="s">
        <v>112</v>
      </c>
      <c r="J478" s="1079">
        <v>9</v>
      </c>
      <c r="K478" s="1079">
        <v>3</v>
      </c>
      <c r="L478" s="1073" t="s">
        <v>567</v>
      </c>
      <c r="M478" s="1077" t="s">
        <v>612</v>
      </c>
      <c r="N478" s="1083" t="s">
        <v>2186</v>
      </c>
    </row>
    <row r="479" spans="1:14" ht="15" customHeight="1" x14ac:dyDescent="0.2">
      <c r="A479" s="1077" t="s">
        <v>578</v>
      </c>
      <c r="B479" s="1077" t="s">
        <v>612</v>
      </c>
      <c r="C479" s="1071" t="s">
        <v>1825</v>
      </c>
      <c r="D479" s="1083" t="s">
        <v>771</v>
      </c>
      <c r="E479" s="1075">
        <v>0</v>
      </c>
      <c r="F479" s="1075">
        <v>1000</v>
      </c>
      <c r="G479" s="1095" t="s">
        <v>399</v>
      </c>
      <c r="H479" s="1095" t="s">
        <v>208</v>
      </c>
      <c r="I479" s="1075" t="s">
        <v>112</v>
      </c>
      <c r="J479" s="1079">
        <v>9</v>
      </c>
      <c r="K479" s="1079">
        <v>3</v>
      </c>
      <c r="L479" s="1073" t="s">
        <v>567</v>
      </c>
      <c r="M479" s="1077" t="s">
        <v>612</v>
      </c>
      <c r="N479" s="1083" t="s">
        <v>2187</v>
      </c>
    </row>
    <row r="480" spans="1:14" ht="15" customHeight="1" x14ac:dyDescent="0.2">
      <c r="A480" s="1077" t="s">
        <v>578</v>
      </c>
      <c r="B480" s="1077" t="s">
        <v>612</v>
      </c>
      <c r="C480" s="1071" t="s">
        <v>1826</v>
      </c>
      <c r="D480" s="1083" t="s">
        <v>772</v>
      </c>
      <c r="E480" s="1075">
        <v>0</v>
      </c>
      <c r="F480" s="1075">
        <v>1000</v>
      </c>
      <c r="G480" s="1095" t="s">
        <v>399</v>
      </c>
      <c r="H480" s="1095" t="s">
        <v>208</v>
      </c>
      <c r="I480" s="1075" t="s">
        <v>112</v>
      </c>
      <c r="J480" s="1079">
        <v>9</v>
      </c>
      <c r="K480" s="1079">
        <v>3</v>
      </c>
      <c r="L480" s="1073" t="s">
        <v>567</v>
      </c>
      <c r="M480" s="1077" t="s">
        <v>612</v>
      </c>
      <c r="N480" s="1083" t="s">
        <v>2188</v>
      </c>
    </row>
    <row r="481" spans="1:14" ht="15" customHeight="1" x14ac:dyDescent="0.2">
      <c r="A481" s="1077" t="s">
        <v>578</v>
      </c>
      <c r="B481" s="1077" t="s">
        <v>612</v>
      </c>
      <c r="C481" s="1071" t="s">
        <v>1827</v>
      </c>
      <c r="D481" s="1083" t="s">
        <v>773</v>
      </c>
      <c r="E481" s="1075">
        <v>0</v>
      </c>
      <c r="F481" s="1075">
        <v>1000</v>
      </c>
      <c r="G481" s="1095" t="s">
        <v>399</v>
      </c>
      <c r="H481" s="1095" t="s">
        <v>208</v>
      </c>
      <c r="I481" s="1075" t="s">
        <v>112</v>
      </c>
      <c r="J481" s="1079">
        <v>9</v>
      </c>
      <c r="K481" s="1079">
        <v>3</v>
      </c>
      <c r="L481" s="1073" t="s">
        <v>567</v>
      </c>
      <c r="M481" s="1077" t="s">
        <v>612</v>
      </c>
      <c r="N481" s="1083" t="s">
        <v>2189</v>
      </c>
    </row>
    <row r="482" spans="1:14" ht="15" customHeight="1" x14ac:dyDescent="0.2">
      <c r="A482" s="1077" t="s">
        <v>578</v>
      </c>
      <c r="B482" s="1077" t="s">
        <v>612</v>
      </c>
      <c r="C482" s="1071" t="s">
        <v>1828</v>
      </c>
      <c r="D482" s="1083" t="s">
        <v>774</v>
      </c>
      <c r="E482" s="1075">
        <v>0</v>
      </c>
      <c r="F482" s="1075">
        <v>1000</v>
      </c>
      <c r="G482" s="1095" t="s">
        <v>399</v>
      </c>
      <c r="H482" s="1095" t="s">
        <v>208</v>
      </c>
      <c r="I482" s="1075" t="s">
        <v>112</v>
      </c>
      <c r="J482" s="1079">
        <v>9</v>
      </c>
      <c r="K482" s="1079">
        <v>3</v>
      </c>
      <c r="L482" s="1073" t="s">
        <v>567</v>
      </c>
      <c r="M482" s="1077" t="s">
        <v>612</v>
      </c>
      <c r="N482" s="1083" t="s">
        <v>2190</v>
      </c>
    </row>
    <row r="483" spans="1:14" ht="15" customHeight="1" x14ac:dyDescent="0.2">
      <c r="A483" s="1089" t="s">
        <v>567</v>
      </c>
      <c r="B483" s="1089" t="s">
        <v>567</v>
      </c>
      <c r="C483" s="1089" t="s">
        <v>567</v>
      </c>
      <c r="D483" s="1089" t="s">
        <v>567</v>
      </c>
      <c r="E483" s="1089" t="s">
        <v>567</v>
      </c>
      <c r="F483" s="1089" t="s">
        <v>567</v>
      </c>
      <c r="G483" s="1089" t="s">
        <v>567</v>
      </c>
      <c r="H483" s="1089" t="s">
        <v>567</v>
      </c>
      <c r="I483" s="1089" t="s">
        <v>567</v>
      </c>
      <c r="J483" s="1081" t="s">
        <v>567</v>
      </c>
      <c r="K483" s="1081" t="s">
        <v>567</v>
      </c>
      <c r="L483" s="1081" t="s">
        <v>567</v>
      </c>
      <c r="M483" s="1089" t="s">
        <v>567</v>
      </c>
      <c r="N483" s="1089" t="s">
        <v>567</v>
      </c>
    </row>
    <row r="484" spans="1:14" ht="15" customHeight="1" x14ac:dyDescent="0.2">
      <c r="A484" s="1077" t="s">
        <v>578</v>
      </c>
      <c r="B484" s="1077" t="s">
        <v>613</v>
      </c>
      <c r="C484" s="1071" t="s">
        <v>1495</v>
      </c>
      <c r="D484" s="1095" t="s">
        <v>574</v>
      </c>
      <c r="E484" s="1083" t="s">
        <v>561</v>
      </c>
      <c r="F484" s="1083" t="s">
        <v>562</v>
      </c>
      <c r="G484" s="1083" t="s">
        <v>196</v>
      </c>
      <c r="H484" s="1095" t="s">
        <v>206</v>
      </c>
      <c r="I484" s="1095" t="s">
        <v>619</v>
      </c>
      <c r="J484" s="1073" t="s">
        <v>567</v>
      </c>
      <c r="K484" s="1073" t="s">
        <v>567</v>
      </c>
      <c r="L484" s="1079">
        <v>63999</v>
      </c>
      <c r="M484" s="1077" t="s">
        <v>613</v>
      </c>
      <c r="N484" s="1083" t="s">
        <v>154</v>
      </c>
    </row>
    <row r="485" spans="1:14" ht="15" customHeight="1" x14ac:dyDescent="0.2">
      <c r="A485" s="1077" t="s">
        <v>578</v>
      </c>
      <c r="B485" s="1077" t="s">
        <v>613</v>
      </c>
      <c r="C485" s="1071" t="s">
        <v>35</v>
      </c>
      <c r="D485" s="1095" t="s">
        <v>35</v>
      </c>
      <c r="E485" s="1097">
        <v>1</v>
      </c>
      <c r="F485" s="1097">
        <f ca="1">TODAY()</f>
        <v>42886</v>
      </c>
      <c r="G485" s="1095" t="s">
        <v>116</v>
      </c>
      <c r="H485" s="1095" t="s">
        <v>206</v>
      </c>
      <c r="I485" s="1095" t="s">
        <v>565</v>
      </c>
      <c r="J485" s="1073" t="s">
        <v>567</v>
      </c>
      <c r="K485" s="1073" t="s">
        <v>567</v>
      </c>
      <c r="L485" s="1073" t="s">
        <v>567</v>
      </c>
      <c r="M485" s="1077" t="s">
        <v>613</v>
      </c>
      <c r="N485" s="1083" t="s">
        <v>35</v>
      </c>
    </row>
    <row r="486" spans="1:14" ht="15" customHeight="1" x14ac:dyDescent="0.2">
      <c r="A486" s="1077" t="s">
        <v>578</v>
      </c>
      <c r="B486" s="1077" t="s">
        <v>613</v>
      </c>
      <c r="C486" s="1071" t="s">
        <v>1456</v>
      </c>
      <c r="D486" s="1095" t="s">
        <v>229</v>
      </c>
      <c r="E486" s="1083" t="s">
        <v>561</v>
      </c>
      <c r="F486" s="1083" t="s">
        <v>562</v>
      </c>
      <c r="G486" s="1083" t="s">
        <v>196</v>
      </c>
      <c r="H486" s="1096" t="s">
        <v>208</v>
      </c>
      <c r="I486" s="1095" t="s">
        <v>619</v>
      </c>
      <c r="J486" s="1073" t="s">
        <v>567</v>
      </c>
      <c r="K486" s="1073" t="s">
        <v>567</v>
      </c>
      <c r="L486" s="1079">
        <v>63999</v>
      </c>
      <c r="M486" s="1077" t="s">
        <v>613</v>
      </c>
      <c r="N486" s="1083" t="s">
        <v>152</v>
      </c>
    </row>
    <row r="487" spans="1:14" ht="15" customHeight="1" x14ac:dyDescent="0.2">
      <c r="A487" s="1077" t="s">
        <v>578</v>
      </c>
      <c r="B487" s="1077" t="s">
        <v>613</v>
      </c>
      <c r="C487" s="1071" t="s">
        <v>1712</v>
      </c>
      <c r="D487" s="1095" t="s">
        <v>2</v>
      </c>
      <c r="E487" s="1083" t="s">
        <v>561</v>
      </c>
      <c r="F487" s="1083" t="s">
        <v>562</v>
      </c>
      <c r="G487" s="1083" t="s">
        <v>196</v>
      </c>
      <c r="H487" s="1096" t="s">
        <v>208</v>
      </c>
      <c r="I487" s="1095" t="s">
        <v>619</v>
      </c>
      <c r="J487" s="1073" t="s">
        <v>567</v>
      </c>
      <c r="K487" s="1073" t="s">
        <v>567</v>
      </c>
      <c r="L487" s="1079">
        <v>63999</v>
      </c>
      <c r="M487" s="1077" t="s">
        <v>613</v>
      </c>
      <c r="N487" s="1083" t="s">
        <v>84</v>
      </c>
    </row>
    <row r="488" spans="1:14" ht="15" customHeight="1" x14ac:dyDescent="0.2">
      <c r="A488" s="1077" t="s">
        <v>578</v>
      </c>
      <c r="B488" s="1077" t="s">
        <v>613</v>
      </c>
      <c r="C488" s="1071" t="s">
        <v>1518</v>
      </c>
      <c r="D488" s="1095" t="s">
        <v>316</v>
      </c>
      <c r="E488" s="1083" t="s">
        <v>561</v>
      </c>
      <c r="F488" s="1083" t="s">
        <v>562</v>
      </c>
      <c r="G488" s="1083" t="s">
        <v>196</v>
      </c>
      <c r="H488" s="1096" t="s">
        <v>208</v>
      </c>
      <c r="I488" s="1095" t="s">
        <v>619</v>
      </c>
      <c r="J488" s="1073" t="s">
        <v>567</v>
      </c>
      <c r="K488" s="1073" t="s">
        <v>567</v>
      </c>
      <c r="L488" s="1079">
        <v>63999</v>
      </c>
      <c r="M488" s="1077" t="s">
        <v>613</v>
      </c>
      <c r="N488" s="1083" t="s">
        <v>76</v>
      </c>
    </row>
    <row r="489" spans="1:14" ht="15" customHeight="1" x14ac:dyDescent="0.2">
      <c r="A489" s="1077" t="s">
        <v>578</v>
      </c>
      <c r="B489" s="1077" t="s">
        <v>613</v>
      </c>
      <c r="C489" s="1071" t="s">
        <v>1713</v>
      </c>
      <c r="D489" s="1095" t="s">
        <v>3</v>
      </c>
      <c r="E489" s="1083" t="s">
        <v>561</v>
      </c>
      <c r="F489" s="1083" t="s">
        <v>562</v>
      </c>
      <c r="G489" s="1083" t="s">
        <v>196</v>
      </c>
      <c r="H489" s="1096" t="s">
        <v>208</v>
      </c>
      <c r="I489" s="1095" t="s">
        <v>619</v>
      </c>
      <c r="J489" s="1073" t="s">
        <v>567</v>
      </c>
      <c r="K489" s="1073" t="s">
        <v>567</v>
      </c>
      <c r="L489" s="1079">
        <v>63999</v>
      </c>
      <c r="M489" s="1077" t="s">
        <v>613</v>
      </c>
      <c r="N489" s="1083" t="s">
        <v>79</v>
      </c>
    </row>
    <row r="490" spans="1:14" ht="15" customHeight="1" x14ac:dyDescent="0.2">
      <c r="A490" s="1077" t="s">
        <v>578</v>
      </c>
      <c r="B490" s="1077" t="s">
        <v>613</v>
      </c>
      <c r="C490" s="1071" t="s">
        <v>1714</v>
      </c>
      <c r="D490" s="1095" t="s">
        <v>4</v>
      </c>
      <c r="E490" s="1083">
        <v>0</v>
      </c>
      <c r="F490" s="1078">
        <v>50000</v>
      </c>
      <c r="G490" s="1095" t="s">
        <v>5</v>
      </c>
      <c r="H490" s="1096" t="s">
        <v>208</v>
      </c>
      <c r="I490" s="1075" t="s">
        <v>112</v>
      </c>
      <c r="J490" s="1079">
        <v>9</v>
      </c>
      <c r="K490" s="1079">
        <v>3</v>
      </c>
      <c r="L490" s="1073" t="s">
        <v>567</v>
      </c>
      <c r="M490" s="1077" t="s">
        <v>613</v>
      </c>
      <c r="N490" s="1083" t="s">
        <v>2086</v>
      </c>
    </row>
    <row r="491" spans="1:14" ht="15" customHeight="1" x14ac:dyDescent="0.2">
      <c r="A491" s="1077" t="s">
        <v>578</v>
      </c>
      <c r="B491" s="1077" t="s">
        <v>613</v>
      </c>
      <c r="C491" s="1071" t="s">
        <v>1715</v>
      </c>
      <c r="D491" s="1095" t="s">
        <v>7</v>
      </c>
      <c r="E491" s="1083">
        <v>0</v>
      </c>
      <c r="F491" s="1078">
        <v>50000</v>
      </c>
      <c r="G491" s="1095" t="s">
        <v>5</v>
      </c>
      <c r="H491" s="1096" t="s">
        <v>208</v>
      </c>
      <c r="I491" s="1075" t="s">
        <v>112</v>
      </c>
      <c r="J491" s="1079">
        <v>9</v>
      </c>
      <c r="K491" s="1079">
        <v>3</v>
      </c>
      <c r="L491" s="1073" t="s">
        <v>567</v>
      </c>
      <c r="M491" s="1077" t="s">
        <v>613</v>
      </c>
      <c r="N491" s="1083" t="s">
        <v>2191</v>
      </c>
    </row>
    <row r="492" spans="1:14" ht="15" customHeight="1" x14ac:dyDescent="0.2">
      <c r="A492" s="1077" t="s">
        <v>578</v>
      </c>
      <c r="B492" s="1077" t="s">
        <v>613</v>
      </c>
      <c r="C492" s="1071" t="s">
        <v>1717</v>
      </c>
      <c r="D492" s="1095" t="s">
        <v>9</v>
      </c>
      <c r="E492" s="1083">
        <v>0</v>
      </c>
      <c r="F492" s="1078">
        <v>50000</v>
      </c>
      <c r="G492" s="1095" t="s">
        <v>5</v>
      </c>
      <c r="H492" s="1096" t="s">
        <v>208</v>
      </c>
      <c r="I492" s="1075" t="s">
        <v>112</v>
      </c>
      <c r="J492" s="1079">
        <v>9</v>
      </c>
      <c r="K492" s="1079">
        <v>3</v>
      </c>
      <c r="L492" s="1073" t="s">
        <v>567</v>
      </c>
      <c r="M492" s="1077" t="s">
        <v>613</v>
      </c>
      <c r="N492" s="1083" t="s">
        <v>2192</v>
      </c>
    </row>
    <row r="493" spans="1:14" ht="15" customHeight="1" x14ac:dyDescent="0.2">
      <c r="A493" s="1077" t="s">
        <v>578</v>
      </c>
      <c r="B493" s="1077" t="s">
        <v>613</v>
      </c>
      <c r="C493" s="1071" t="s">
        <v>1716</v>
      </c>
      <c r="D493" s="1095" t="s">
        <v>1850</v>
      </c>
      <c r="E493" s="1083">
        <v>0</v>
      </c>
      <c r="F493" s="1083">
        <v>10</v>
      </c>
      <c r="G493" s="1095" t="s">
        <v>11</v>
      </c>
      <c r="H493" s="1096" t="s">
        <v>208</v>
      </c>
      <c r="I493" s="1075" t="s">
        <v>112</v>
      </c>
      <c r="J493" s="1079">
        <v>9</v>
      </c>
      <c r="K493" s="1079">
        <v>3</v>
      </c>
      <c r="L493" s="1073" t="s">
        <v>567</v>
      </c>
      <c r="M493" s="1077" t="s">
        <v>613</v>
      </c>
      <c r="N493" s="1083" t="s">
        <v>2193</v>
      </c>
    </row>
    <row r="494" spans="1:14" ht="15" customHeight="1" x14ac:dyDescent="0.2">
      <c r="A494" s="1077" t="s">
        <v>578</v>
      </c>
      <c r="B494" s="1077" t="s">
        <v>613</v>
      </c>
      <c r="C494" s="1071" t="s">
        <v>1718</v>
      </c>
      <c r="D494" s="1095" t="s">
        <v>12</v>
      </c>
      <c r="E494" s="1083">
        <v>0</v>
      </c>
      <c r="F494" s="1083">
        <v>100</v>
      </c>
      <c r="G494" s="1095" t="s">
        <v>13</v>
      </c>
      <c r="H494" s="1096" t="s">
        <v>208</v>
      </c>
      <c r="I494" s="1075" t="s">
        <v>112</v>
      </c>
      <c r="J494" s="1079">
        <v>9</v>
      </c>
      <c r="K494" s="1079">
        <v>3</v>
      </c>
      <c r="L494" s="1073" t="s">
        <v>567</v>
      </c>
      <c r="M494" s="1077" t="s">
        <v>613</v>
      </c>
      <c r="N494" s="1083" t="s">
        <v>2194</v>
      </c>
    </row>
    <row r="495" spans="1:14" ht="15" customHeight="1" x14ac:dyDescent="0.2">
      <c r="A495" s="1077" t="s">
        <v>578</v>
      </c>
      <c r="B495" s="1077" t="s">
        <v>613</v>
      </c>
      <c r="C495" s="1071" t="s">
        <v>1722</v>
      </c>
      <c r="D495" s="1095" t="s">
        <v>15</v>
      </c>
      <c r="E495" s="1083">
        <v>0</v>
      </c>
      <c r="F495" s="1083">
        <v>100</v>
      </c>
      <c r="G495" s="1095" t="s">
        <v>16</v>
      </c>
      <c r="H495" s="1096" t="s">
        <v>208</v>
      </c>
      <c r="I495" s="1075" t="s">
        <v>112</v>
      </c>
      <c r="J495" s="1079">
        <v>9</v>
      </c>
      <c r="K495" s="1079">
        <v>3</v>
      </c>
      <c r="L495" s="1073" t="s">
        <v>567</v>
      </c>
      <c r="M495" s="1077" t="s">
        <v>613</v>
      </c>
      <c r="N495" s="1083" t="s">
        <v>2195</v>
      </c>
    </row>
    <row r="496" spans="1:14" ht="15" customHeight="1" x14ac:dyDescent="0.2">
      <c r="A496" s="1077" t="s">
        <v>578</v>
      </c>
      <c r="B496" s="1077" t="s">
        <v>613</v>
      </c>
      <c r="C496" s="1071" t="s">
        <v>1719</v>
      </c>
      <c r="D496" s="1095" t="s">
        <v>1849</v>
      </c>
      <c r="E496" s="1083">
        <v>0</v>
      </c>
      <c r="F496" s="1083">
        <v>100</v>
      </c>
      <c r="G496" s="1095" t="s">
        <v>18</v>
      </c>
      <c r="H496" s="1096" t="s">
        <v>208</v>
      </c>
      <c r="I496" s="1075" t="s">
        <v>112</v>
      </c>
      <c r="J496" s="1079">
        <v>9</v>
      </c>
      <c r="K496" s="1079">
        <v>3</v>
      </c>
      <c r="L496" s="1073" t="s">
        <v>567</v>
      </c>
      <c r="M496" s="1077" t="s">
        <v>613</v>
      </c>
      <c r="N496" s="1083" t="s">
        <v>2196</v>
      </c>
    </row>
    <row r="497" spans="1:14" ht="15" customHeight="1" x14ac:dyDescent="0.2">
      <c r="A497" s="1077" t="s">
        <v>578</v>
      </c>
      <c r="B497" s="1077" t="s">
        <v>613</v>
      </c>
      <c r="C497" s="1071" t="s">
        <v>1720</v>
      </c>
      <c r="D497" s="1095" t="s">
        <v>19</v>
      </c>
      <c r="E497" s="1083">
        <v>0</v>
      </c>
      <c r="F497" s="1078">
        <v>25000</v>
      </c>
      <c r="G497" s="1095" t="s">
        <v>119</v>
      </c>
      <c r="H497" s="1096" t="s">
        <v>208</v>
      </c>
      <c r="I497" s="1075" t="s">
        <v>112</v>
      </c>
      <c r="J497" s="1079">
        <v>9</v>
      </c>
      <c r="K497" s="1079">
        <v>3</v>
      </c>
      <c r="L497" s="1073" t="s">
        <v>567</v>
      </c>
      <c r="M497" s="1077" t="s">
        <v>613</v>
      </c>
      <c r="N497" s="1083" t="s">
        <v>2197</v>
      </c>
    </row>
    <row r="498" spans="1:14" ht="15" customHeight="1" x14ac:dyDescent="0.2">
      <c r="A498" s="1077" t="s">
        <v>578</v>
      </c>
      <c r="B498" s="1077" t="s">
        <v>613</v>
      </c>
      <c r="C498" s="1071" t="s">
        <v>1721</v>
      </c>
      <c r="D498" s="1095" t="s">
        <v>21</v>
      </c>
      <c r="E498" s="1083">
        <v>0</v>
      </c>
      <c r="F498" s="1078">
        <v>2500</v>
      </c>
      <c r="G498" s="1095" t="s">
        <v>91</v>
      </c>
      <c r="H498" s="1096" t="s">
        <v>208</v>
      </c>
      <c r="I498" s="1075" t="s">
        <v>112</v>
      </c>
      <c r="J498" s="1079">
        <v>9</v>
      </c>
      <c r="K498" s="1079">
        <v>3</v>
      </c>
      <c r="L498" s="1073" t="s">
        <v>567</v>
      </c>
      <c r="M498" s="1077" t="s">
        <v>613</v>
      </c>
      <c r="N498" s="1083" t="s">
        <v>2198</v>
      </c>
    </row>
    <row r="499" spans="1:14" ht="15" customHeight="1" x14ac:dyDescent="0.2">
      <c r="A499" s="1077" t="s">
        <v>578</v>
      </c>
      <c r="B499" s="1077" t="s">
        <v>613</v>
      </c>
      <c r="C499" s="1071" t="s">
        <v>1723</v>
      </c>
      <c r="D499" s="1095" t="s">
        <v>23</v>
      </c>
      <c r="E499" s="1083">
        <v>0</v>
      </c>
      <c r="F499" s="1078">
        <v>25000</v>
      </c>
      <c r="G499" s="1095" t="s">
        <v>119</v>
      </c>
      <c r="H499" s="1096" t="s">
        <v>208</v>
      </c>
      <c r="I499" s="1075" t="s">
        <v>112</v>
      </c>
      <c r="J499" s="1079">
        <v>9</v>
      </c>
      <c r="K499" s="1079">
        <v>3</v>
      </c>
      <c r="L499" s="1073" t="s">
        <v>567</v>
      </c>
      <c r="M499" s="1077" t="s">
        <v>613</v>
      </c>
      <c r="N499" s="1083" t="s">
        <v>2199</v>
      </c>
    </row>
    <row r="500" spans="1:14" ht="15" customHeight="1" x14ac:dyDescent="0.2">
      <c r="A500" s="1077" t="s">
        <v>578</v>
      </c>
      <c r="B500" s="1077" t="s">
        <v>613</v>
      </c>
      <c r="C500" s="1071" t="s">
        <v>1724</v>
      </c>
      <c r="D500" s="1095" t="s">
        <v>25</v>
      </c>
      <c r="E500" s="1083">
        <v>0</v>
      </c>
      <c r="F500" s="1078">
        <v>2500</v>
      </c>
      <c r="G500" s="1095" t="s">
        <v>91</v>
      </c>
      <c r="H500" s="1096" t="s">
        <v>208</v>
      </c>
      <c r="I500" s="1075" t="s">
        <v>112</v>
      </c>
      <c r="J500" s="1079">
        <v>9</v>
      </c>
      <c r="K500" s="1079">
        <v>3</v>
      </c>
      <c r="L500" s="1073" t="s">
        <v>567</v>
      </c>
      <c r="M500" s="1077" t="s">
        <v>613</v>
      </c>
      <c r="N500" s="1083" t="s">
        <v>2200</v>
      </c>
    </row>
    <row r="501" spans="1:14" ht="15" customHeight="1" x14ac:dyDescent="0.2">
      <c r="A501" s="1077" t="s">
        <v>578</v>
      </c>
      <c r="B501" s="1077" t="s">
        <v>613</v>
      </c>
      <c r="C501" s="1071" t="s">
        <v>1726</v>
      </c>
      <c r="D501" s="1095" t="s">
        <v>27</v>
      </c>
      <c r="E501" s="1083">
        <v>0</v>
      </c>
      <c r="F501" s="1078">
        <v>25000</v>
      </c>
      <c r="G501" s="1095" t="s">
        <v>1011</v>
      </c>
      <c r="H501" s="1096" t="s">
        <v>208</v>
      </c>
      <c r="I501" s="1075" t="s">
        <v>112</v>
      </c>
      <c r="J501" s="1079">
        <v>9</v>
      </c>
      <c r="K501" s="1079">
        <v>3</v>
      </c>
      <c r="L501" s="1073" t="s">
        <v>567</v>
      </c>
      <c r="M501" s="1077" t="s">
        <v>613</v>
      </c>
      <c r="N501" s="1083" t="s">
        <v>2201</v>
      </c>
    </row>
    <row r="502" spans="1:14" ht="15" customHeight="1" x14ac:dyDescent="0.2">
      <c r="A502" s="1077" t="s">
        <v>578</v>
      </c>
      <c r="B502" s="1077" t="s">
        <v>613</v>
      </c>
      <c r="C502" s="1071" t="s">
        <v>1725</v>
      </c>
      <c r="D502" s="1095" t="s">
        <v>29</v>
      </c>
      <c r="E502" s="1083">
        <v>0</v>
      </c>
      <c r="F502" s="1078">
        <v>2500</v>
      </c>
      <c r="G502" s="1095" t="s">
        <v>1013</v>
      </c>
      <c r="H502" s="1096" t="s">
        <v>208</v>
      </c>
      <c r="I502" s="1075" t="s">
        <v>112</v>
      </c>
      <c r="J502" s="1079">
        <v>9</v>
      </c>
      <c r="K502" s="1079">
        <v>3</v>
      </c>
      <c r="L502" s="1073" t="s">
        <v>567</v>
      </c>
      <c r="M502" s="1077" t="s">
        <v>613</v>
      </c>
      <c r="N502" s="1083" t="s">
        <v>2202</v>
      </c>
    </row>
    <row r="503" spans="1:14" ht="15" customHeight="1" x14ac:dyDescent="0.2">
      <c r="A503" s="1077" t="s">
        <v>578</v>
      </c>
      <c r="B503" s="1077" t="s">
        <v>613</v>
      </c>
      <c r="C503" s="1071" t="s">
        <v>1727</v>
      </c>
      <c r="D503" s="1095" t="s">
        <v>31</v>
      </c>
      <c r="E503" s="1083">
        <v>0</v>
      </c>
      <c r="F503" s="1078">
        <v>25000</v>
      </c>
      <c r="G503" s="1095" t="s">
        <v>1011</v>
      </c>
      <c r="H503" s="1096" t="s">
        <v>208</v>
      </c>
      <c r="I503" s="1075" t="s">
        <v>112</v>
      </c>
      <c r="J503" s="1079">
        <v>9</v>
      </c>
      <c r="K503" s="1079">
        <v>3</v>
      </c>
      <c r="L503" s="1073" t="s">
        <v>567</v>
      </c>
      <c r="M503" s="1077" t="s">
        <v>613</v>
      </c>
      <c r="N503" s="1083" t="s">
        <v>2203</v>
      </c>
    </row>
    <row r="504" spans="1:14" ht="15" customHeight="1" x14ac:dyDescent="0.2">
      <c r="A504" s="1077" t="s">
        <v>578</v>
      </c>
      <c r="B504" s="1077" t="s">
        <v>613</v>
      </c>
      <c r="C504" s="1071" t="s">
        <v>1728</v>
      </c>
      <c r="D504" s="1095" t="s">
        <v>33</v>
      </c>
      <c r="E504" s="1083">
        <v>0</v>
      </c>
      <c r="F504" s="1078">
        <v>2500</v>
      </c>
      <c r="G504" s="1095" t="s">
        <v>1013</v>
      </c>
      <c r="H504" s="1096" t="s">
        <v>208</v>
      </c>
      <c r="I504" s="1075" t="s">
        <v>112</v>
      </c>
      <c r="J504" s="1079">
        <v>9</v>
      </c>
      <c r="K504" s="1079">
        <v>3</v>
      </c>
      <c r="L504" s="1073" t="s">
        <v>567</v>
      </c>
      <c r="M504" s="1077" t="s">
        <v>613</v>
      </c>
      <c r="N504" s="1083" t="s">
        <v>2204</v>
      </c>
    </row>
    <row r="505" spans="1:14" ht="15" customHeight="1" x14ac:dyDescent="0.2">
      <c r="A505" s="1077" t="s">
        <v>578</v>
      </c>
      <c r="B505" s="1077" t="s">
        <v>613</v>
      </c>
      <c r="C505" s="1071" t="s">
        <v>1714</v>
      </c>
      <c r="D505" s="1095" t="s">
        <v>6</v>
      </c>
      <c r="E505" s="1083">
        <v>0</v>
      </c>
      <c r="F505" s="1078">
        <v>50000</v>
      </c>
      <c r="G505" s="1095" t="s">
        <v>5</v>
      </c>
      <c r="H505" s="1096" t="s">
        <v>208</v>
      </c>
      <c r="I505" s="1075" t="s">
        <v>112</v>
      </c>
      <c r="J505" s="1079">
        <v>9</v>
      </c>
      <c r="K505" s="1079">
        <v>3</v>
      </c>
      <c r="L505" s="1073" t="s">
        <v>567</v>
      </c>
      <c r="M505" s="1077" t="s">
        <v>613</v>
      </c>
      <c r="N505" s="1083" t="s">
        <v>2105</v>
      </c>
    </row>
    <row r="506" spans="1:14" ht="15" customHeight="1" x14ac:dyDescent="0.2">
      <c r="A506" s="1077" t="s">
        <v>578</v>
      </c>
      <c r="B506" s="1077" t="s">
        <v>613</v>
      </c>
      <c r="C506" s="1071" t="s">
        <v>1729</v>
      </c>
      <c r="D506" s="1095" t="s">
        <v>8</v>
      </c>
      <c r="E506" s="1083">
        <v>0</v>
      </c>
      <c r="F506" s="1078">
        <v>50000</v>
      </c>
      <c r="G506" s="1095" t="s">
        <v>5</v>
      </c>
      <c r="H506" s="1096" t="s">
        <v>208</v>
      </c>
      <c r="I506" s="1075" t="s">
        <v>112</v>
      </c>
      <c r="J506" s="1079">
        <v>9</v>
      </c>
      <c r="K506" s="1079">
        <v>3</v>
      </c>
      <c r="L506" s="1073" t="s">
        <v>567</v>
      </c>
      <c r="M506" s="1077" t="s">
        <v>613</v>
      </c>
      <c r="N506" s="1083" t="s">
        <v>2205</v>
      </c>
    </row>
    <row r="507" spans="1:14" ht="15" customHeight="1" x14ac:dyDescent="0.2">
      <c r="A507" s="1077" t="s">
        <v>578</v>
      </c>
      <c r="B507" s="1077" t="s">
        <v>613</v>
      </c>
      <c r="C507" s="1071" t="s">
        <v>1730</v>
      </c>
      <c r="D507" s="1095" t="s">
        <v>10</v>
      </c>
      <c r="E507" s="1083">
        <v>0</v>
      </c>
      <c r="F507" s="1078">
        <v>50000</v>
      </c>
      <c r="G507" s="1095" t="s">
        <v>5</v>
      </c>
      <c r="H507" s="1096" t="s">
        <v>208</v>
      </c>
      <c r="I507" s="1075" t="s">
        <v>112</v>
      </c>
      <c r="J507" s="1079">
        <v>9</v>
      </c>
      <c r="K507" s="1079">
        <v>3</v>
      </c>
      <c r="L507" s="1073" t="s">
        <v>567</v>
      </c>
      <c r="M507" s="1077" t="s">
        <v>613</v>
      </c>
      <c r="N507" s="1083" t="s">
        <v>2206</v>
      </c>
    </row>
    <row r="508" spans="1:14" ht="15" customHeight="1" x14ac:dyDescent="0.2">
      <c r="A508" s="1077" t="s">
        <v>578</v>
      </c>
      <c r="B508" s="1077" t="s">
        <v>613</v>
      </c>
      <c r="C508" s="1071" t="s">
        <v>1832</v>
      </c>
      <c r="D508" s="1095" t="s">
        <v>1851</v>
      </c>
      <c r="E508" s="1083">
        <v>0</v>
      </c>
      <c r="F508" s="1083">
        <v>10</v>
      </c>
      <c r="G508" s="1095" t="s">
        <v>11</v>
      </c>
      <c r="H508" s="1096" t="s">
        <v>208</v>
      </c>
      <c r="I508" s="1075" t="s">
        <v>112</v>
      </c>
      <c r="J508" s="1079">
        <v>9</v>
      </c>
      <c r="K508" s="1079">
        <v>3</v>
      </c>
      <c r="L508" s="1073" t="s">
        <v>567</v>
      </c>
      <c r="M508" s="1077" t="s">
        <v>613</v>
      </c>
      <c r="N508" s="1083" t="s">
        <v>2207</v>
      </c>
    </row>
    <row r="509" spans="1:14" ht="15" customHeight="1" x14ac:dyDescent="0.2">
      <c r="A509" s="1077" t="s">
        <v>578</v>
      </c>
      <c r="B509" s="1077" t="s">
        <v>613</v>
      </c>
      <c r="C509" s="1071" t="s">
        <v>1731</v>
      </c>
      <c r="D509" s="1095" t="s">
        <v>14</v>
      </c>
      <c r="E509" s="1083">
        <v>0</v>
      </c>
      <c r="F509" s="1083">
        <v>100</v>
      </c>
      <c r="G509" s="1095" t="s">
        <v>13</v>
      </c>
      <c r="H509" s="1096" t="s">
        <v>208</v>
      </c>
      <c r="I509" s="1075" t="s">
        <v>112</v>
      </c>
      <c r="J509" s="1079">
        <v>9</v>
      </c>
      <c r="K509" s="1079">
        <v>3</v>
      </c>
      <c r="L509" s="1073" t="s">
        <v>567</v>
      </c>
      <c r="M509" s="1077" t="s">
        <v>613</v>
      </c>
      <c r="N509" s="1083" t="s">
        <v>2208</v>
      </c>
    </row>
    <row r="510" spans="1:14" ht="15" customHeight="1" x14ac:dyDescent="0.2">
      <c r="A510" s="1077" t="s">
        <v>578</v>
      </c>
      <c r="B510" s="1077" t="s">
        <v>613</v>
      </c>
      <c r="C510" s="1071" t="s">
        <v>1732</v>
      </c>
      <c r="D510" s="1095" t="s">
        <v>17</v>
      </c>
      <c r="E510" s="1083">
        <v>0</v>
      </c>
      <c r="F510" s="1083">
        <v>100</v>
      </c>
      <c r="G510" s="1095" t="s">
        <v>16</v>
      </c>
      <c r="H510" s="1096" t="s">
        <v>208</v>
      </c>
      <c r="I510" s="1075" t="s">
        <v>112</v>
      </c>
      <c r="J510" s="1079">
        <v>9</v>
      </c>
      <c r="K510" s="1079">
        <v>3</v>
      </c>
      <c r="L510" s="1073" t="s">
        <v>567</v>
      </c>
      <c r="M510" s="1077" t="s">
        <v>613</v>
      </c>
      <c r="N510" s="1083" t="s">
        <v>2209</v>
      </c>
    </row>
    <row r="511" spans="1:14" ht="15" customHeight="1" x14ac:dyDescent="0.2">
      <c r="A511" s="1077" t="s">
        <v>578</v>
      </c>
      <c r="B511" s="1077" t="s">
        <v>613</v>
      </c>
      <c r="C511" s="1071" t="s">
        <v>1733</v>
      </c>
      <c r="D511" s="1095" t="s">
        <v>1848</v>
      </c>
      <c r="E511" s="1083">
        <v>0</v>
      </c>
      <c r="F511" s="1083">
        <v>100</v>
      </c>
      <c r="G511" s="1095" t="s">
        <v>18</v>
      </c>
      <c r="H511" s="1096" t="s">
        <v>208</v>
      </c>
      <c r="I511" s="1075" t="s">
        <v>112</v>
      </c>
      <c r="J511" s="1079">
        <v>9</v>
      </c>
      <c r="K511" s="1079">
        <v>3</v>
      </c>
      <c r="L511" s="1073" t="s">
        <v>567</v>
      </c>
      <c r="M511" s="1077" t="s">
        <v>613</v>
      </c>
      <c r="N511" s="1083" t="s">
        <v>2210</v>
      </c>
    </row>
    <row r="512" spans="1:14" ht="15" customHeight="1" x14ac:dyDescent="0.2">
      <c r="A512" s="1077" t="s">
        <v>578</v>
      </c>
      <c r="B512" s="1077" t="s">
        <v>613</v>
      </c>
      <c r="C512" s="1071" t="s">
        <v>1734</v>
      </c>
      <c r="D512" s="1095" t="s">
        <v>20</v>
      </c>
      <c r="E512" s="1083">
        <v>0</v>
      </c>
      <c r="F512" s="1078">
        <v>25000</v>
      </c>
      <c r="G512" s="1095" t="s">
        <v>119</v>
      </c>
      <c r="H512" s="1096" t="s">
        <v>208</v>
      </c>
      <c r="I512" s="1075" t="s">
        <v>112</v>
      </c>
      <c r="J512" s="1079">
        <v>9</v>
      </c>
      <c r="K512" s="1079">
        <v>3</v>
      </c>
      <c r="L512" s="1073" t="s">
        <v>567</v>
      </c>
      <c r="M512" s="1077" t="s">
        <v>613</v>
      </c>
      <c r="N512" s="1083" t="s">
        <v>2211</v>
      </c>
    </row>
    <row r="513" spans="1:14" ht="15" customHeight="1" x14ac:dyDescent="0.2">
      <c r="A513" s="1077" t="s">
        <v>578</v>
      </c>
      <c r="B513" s="1077" t="s">
        <v>613</v>
      </c>
      <c r="C513" s="1071" t="s">
        <v>1735</v>
      </c>
      <c r="D513" s="1095" t="s">
        <v>22</v>
      </c>
      <c r="E513" s="1083">
        <v>0</v>
      </c>
      <c r="F513" s="1078">
        <v>2500</v>
      </c>
      <c r="G513" s="1095" t="s">
        <v>91</v>
      </c>
      <c r="H513" s="1096" t="s">
        <v>208</v>
      </c>
      <c r="I513" s="1075" t="s">
        <v>112</v>
      </c>
      <c r="J513" s="1079">
        <v>9</v>
      </c>
      <c r="K513" s="1079">
        <v>3</v>
      </c>
      <c r="L513" s="1073" t="s">
        <v>567</v>
      </c>
      <c r="M513" s="1077" t="s">
        <v>613</v>
      </c>
      <c r="N513" s="1083" t="s">
        <v>2212</v>
      </c>
    </row>
    <row r="514" spans="1:14" ht="15" customHeight="1" x14ac:dyDescent="0.2">
      <c r="A514" s="1077" t="s">
        <v>578</v>
      </c>
      <c r="B514" s="1077" t="s">
        <v>613</v>
      </c>
      <c r="C514" s="1071" t="s">
        <v>1736</v>
      </c>
      <c r="D514" s="1095" t="s">
        <v>24</v>
      </c>
      <c r="E514" s="1083">
        <v>0</v>
      </c>
      <c r="F514" s="1078">
        <v>25000</v>
      </c>
      <c r="G514" s="1095" t="s">
        <v>119</v>
      </c>
      <c r="H514" s="1096" t="s">
        <v>208</v>
      </c>
      <c r="I514" s="1075" t="s">
        <v>112</v>
      </c>
      <c r="J514" s="1079">
        <v>9</v>
      </c>
      <c r="K514" s="1079">
        <v>3</v>
      </c>
      <c r="L514" s="1073" t="s">
        <v>567</v>
      </c>
      <c r="M514" s="1077" t="s">
        <v>613</v>
      </c>
      <c r="N514" s="1083" t="s">
        <v>2213</v>
      </c>
    </row>
    <row r="515" spans="1:14" ht="15" customHeight="1" x14ac:dyDescent="0.2">
      <c r="A515" s="1077" t="s">
        <v>578</v>
      </c>
      <c r="B515" s="1077" t="s">
        <v>613</v>
      </c>
      <c r="C515" s="1071" t="s">
        <v>1737</v>
      </c>
      <c r="D515" s="1095" t="s">
        <v>26</v>
      </c>
      <c r="E515" s="1083">
        <v>0</v>
      </c>
      <c r="F515" s="1078">
        <v>2500</v>
      </c>
      <c r="G515" s="1095" t="s">
        <v>91</v>
      </c>
      <c r="H515" s="1096" t="s">
        <v>208</v>
      </c>
      <c r="I515" s="1075" t="s">
        <v>112</v>
      </c>
      <c r="J515" s="1079">
        <v>9</v>
      </c>
      <c r="K515" s="1079">
        <v>3</v>
      </c>
      <c r="L515" s="1073" t="s">
        <v>567</v>
      </c>
      <c r="M515" s="1077" t="s">
        <v>613</v>
      </c>
      <c r="N515" s="1083" t="s">
        <v>2214</v>
      </c>
    </row>
    <row r="516" spans="1:14" ht="15" customHeight="1" x14ac:dyDescent="0.2">
      <c r="A516" s="1077" t="s">
        <v>578</v>
      </c>
      <c r="B516" s="1077" t="s">
        <v>613</v>
      </c>
      <c r="C516" s="1071" t="s">
        <v>1738</v>
      </c>
      <c r="D516" s="1095" t="s">
        <v>28</v>
      </c>
      <c r="E516" s="1083">
        <v>0</v>
      </c>
      <c r="F516" s="1078">
        <v>25000</v>
      </c>
      <c r="G516" s="1095" t="s">
        <v>1011</v>
      </c>
      <c r="H516" s="1096" t="s">
        <v>208</v>
      </c>
      <c r="I516" s="1075" t="s">
        <v>112</v>
      </c>
      <c r="J516" s="1079">
        <v>9</v>
      </c>
      <c r="K516" s="1079">
        <v>3</v>
      </c>
      <c r="L516" s="1073" t="s">
        <v>567</v>
      </c>
      <c r="M516" s="1077" t="s">
        <v>613</v>
      </c>
      <c r="N516" s="1083" t="s">
        <v>2215</v>
      </c>
    </row>
    <row r="517" spans="1:14" ht="15" customHeight="1" x14ac:dyDescent="0.2">
      <c r="A517" s="1077" t="s">
        <v>578</v>
      </c>
      <c r="B517" s="1077" t="s">
        <v>613</v>
      </c>
      <c r="C517" s="1071" t="s">
        <v>1739</v>
      </c>
      <c r="D517" s="1095" t="s">
        <v>30</v>
      </c>
      <c r="E517" s="1083">
        <v>0</v>
      </c>
      <c r="F517" s="1078">
        <v>2500</v>
      </c>
      <c r="G517" s="1095" t="s">
        <v>1013</v>
      </c>
      <c r="H517" s="1096" t="s">
        <v>208</v>
      </c>
      <c r="I517" s="1075" t="s">
        <v>112</v>
      </c>
      <c r="J517" s="1079">
        <v>9</v>
      </c>
      <c r="K517" s="1079">
        <v>3</v>
      </c>
      <c r="L517" s="1073" t="s">
        <v>567</v>
      </c>
      <c r="M517" s="1077" t="s">
        <v>613</v>
      </c>
      <c r="N517" s="1083" t="s">
        <v>2216</v>
      </c>
    </row>
    <row r="518" spans="1:14" ht="15" customHeight="1" x14ac:dyDescent="0.2">
      <c r="A518" s="1077" t="s">
        <v>578</v>
      </c>
      <c r="B518" s="1077" t="s">
        <v>613</v>
      </c>
      <c r="C518" s="1071" t="s">
        <v>1740</v>
      </c>
      <c r="D518" s="1095" t="s">
        <v>32</v>
      </c>
      <c r="E518" s="1083">
        <v>0</v>
      </c>
      <c r="F518" s="1078">
        <v>25000</v>
      </c>
      <c r="G518" s="1095" t="s">
        <v>1011</v>
      </c>
      <c r="H518" s="1096" t="s">
        <v>208</v>
      </c>
      <c r="I518" s="1075" t="s">
        <v>112</v>
      </c>
      <c r="J518" s="1079">
        <v>9</v>
      </c>
      <c r="K518" s="1079">
        <v>3</v>
      </c>
      <c r="L518" s="1073" t="s">
        <v>567</v>
      </c>
      <c r="M518" s="1077" t="s">
        <v>613</v>
      </c>
      <c r="N518" s="1083" t="s">
        <v>2217</v>
      </c>
    </row>
    <row r="519" spans="1:14" ht="15" customHeight="1" x14ac:dyDescent="0.2">
      <c r="A519" s="1077" t="s">
        <v>578</v>
      </c>
      <c r="B519" s="1077" t="s">
        <v>613</v>
      </c>
      <c r="C519" s="1071" t="s">
        <v>1741</v>
      </c>
      <c r="D519" s="1095" t="s">
        <v>34</v>
      </c>
      <c r="E519" s="1083">
        <v>0</v>
      </c>
      <c r="F519" s="1078">
        <v>2500</v>
      </c>
      <c r="G519" s="1095" t="s">
        <v>1013</v>
      </c>
      <c r="H519" s="1096" t="s">
        <v>208</v>
      </c>
      <c r="I519" s="1075" t="s">
        <v>112</v>
      </c>
      <c r="J519" s="1079">
        <v>9</v>
      </c>
      <c r="K519" s="1079">
        <v>3</v>
      </c>
      <c r="L519" s="1073" t="s">
        <v>567</v>
      </c>
      <c r="M519" s="1077" t="s">
        <v>613</v>
      </c>
      <c r="N519" s="1083" t="s">
        <v>2218</v>
      </c>
    </row>
    <row r="520" spans="1:14" ht="15" customHeight="1" x14ac:dyDescent="0.2">
      <c r="A520" s="1089" t="s">
        <v>567</v>
      </c>
      <c r="B520" s="1089" t="s">
        <v>567</v>
      </c>
      <c r="C520" s="1089" t="s">
        <v>567</v>
      </c>
      <c r="D520" s="1089" t="s">
        <v>567</v>
      </c>
      <c r="E520" s="1089" t="s">
        <v>567</v>
      </c>
      <c r="F520" s="1089" t="s">
        <v>567</v>
      </c>
      <c r="G520" s="1089" t="s">
        <v>567</v>
      </c>
      <c r="H520" s="1089" t="s">
        <v>567</v>
      </c>
      <c r="I520" s="1089" t="s">
        <v>567</v>
      </c>
      <c r="J520" s="1081" t="s">
        <v>567</v>
      </c>
      <c r="K520" s="1081" t="s">
        <v>567</v>
      </c>
      <c r="L520" s="1081" t="s">
        <v>567</v>
      </c>
      <c r="M520" s="1089" t="s">
        <v>567</v>
      </c>
      <c r="N520" s="1089" t="s">
        <v>567</v>
      </c>
    </row>
    <row r="521" spans="1:14" ht="15" customHeight="1" x14ac:dyDescent="0.2">
      <c r="A521" s="1077" t="s">
        <v>578</v>
      </c>
      <c r="B521" s="1077" t="s">
        <v>614</v>
      </c>
      <c r="C521" s="1071" t="s">
        <v>1495</v>
      </c>
      <c r="D521" s="1095" t="s">
        <v>574</v>
      </c>
      <c r="E521" s="1083" t="s">
        <v>561</v>
      </c>
      <c r="F521" s="1083" t="s">
        <v>562</v>
      </c>
      <c r="G521" s="1083" t="s">
        <v>196</v>
      </c>
      <c r="H521" s="1075" t="s">
        <v>206</v>
      </c>
      <c r="I521" s="1095" t="s">
        <v>619</v>
      </c>
      <c r="J521" s="1073" t="s">
        <v>567</v>
      </c>
      <c r="K521" s="1073" t="s">
        <v>567</v>
      </c>
      <c r="L521" s="1079">
        <v>63999</v>
      </c>
      <c r="M521" s="1077" t="s">
        <v>614</v>
      </c>
      <c r="N521" s="1083" t="s">
        <v>154</v>
      </c>
    </row>
    <row r="522" spans="1:14" ht="15" customHeight="1" x14ac:dyDescent="0.2">
      <c r="A522" s="1077" t="s">
        <v>578</v>
      </c>
      <c r="B522" s="1077" t="s">
        <v>614</v>
      </c>
      <c r="C522" s="1071" t="s">
        <v>1652</v>
      </c>
      <c r="D522" s="1095" t="s">
        <v>35</v>
      </c>
      <c r="E522" s="1097">
        <v>1</v>
      </c>
      <c r="F522" s="1097">
        <f ca="1">TODAY()</f>
        <v>42886</v>
      </c>
      <c r="G522" s="1095" t="s">
        <v>116</v>
      </c>
      <c r="H522" s="1095" t="s">
        <v>206</v>
      </c>
      <c r="I522" s="1095" t="s">
        <v>565</v>
      </c>
      <c r="J522" s="1073" t="s">
        <v>567</v>
      </c>
      <c r="K522" s="1073" t="s">
        <v>567</v>
      </c>
      <c r="L522" s="1073" t="s">
        <v>567</v>
      </c>
      <c r="M522" s="1077" t="s">
        <v>614</v>
      </c>
      <c r="N522" s="1083" t="s">
        <v>2123</v>
      </c>
    </row>
    <row r="523" spans="1:14" ht="15" customHeight="1" x14ac:dyDescent="0.2">
      <c r="A523" s="1077" t="s">
        <v>578</v>
      </c>
      <c r="B523" s="1077" t="s">
        <v>614</v>
      </c>
      <c r="C523" s="1071" t="s">
        <v>1456</v>
      </c>
      <c r="D523" s="1095" t="s">
        <v>229</v>
      </c>
      <c r="E523" s="1083" t="s">
        <v>561</v>
      </c>
      <c r="F523" s="1083" t="s">
        <v>562</v>
      </c>
      <c r="G523" s="1083" t="s">
        <v>196</v>
      </c>
      <c r="H523" s="1095" t="s">
        <v>208</v>
      </c>
      <c r="I523" s="1095" t="s">
        <v>619</v>
      </c>
      <c r="J523" s="1073" t="s">
        <v>567</v>
      </c>
      <c r="K523" s="1073" t="s">
        <v>567</v>
      </c>
      <c r="L523" s="1079">
        <v>63999</v>
      </c>
      <c r="M523" s="1077" t="s">
        <v>614</v>
      </c>
      <c r="N523" s="1083" t="s">
        <v>152</v>
      </c>
    </row>
    <row r="524" spans="1:14" ht="15" customHeight="1" x14ac:dyDescent="0.2">
      <c r="A524" s="1077" t="s">
        <v>578</v>
      </c>
      <c r="B524" s="1077" t="s">
        <v>614</v>
      </c>
      <c r="C524" s="1071" t="s">
        <v>1744</v>
      </c>
      <c r="D524" s="1095" t="s">
        <v>694</v>
      </c>
      <c r="E524" s="1083" t="s">
        <v>561</v>
      </c>
      <c r="F524" s="1083" t="s">
        <v>562</v>
      </c>
      <c r="G524" s="1083" t="s">
        <v>196</v>
      </c>
      <c r="H524" s="1095" t="s">
        <v>208</v>
      </c>
      <c r="I524" s="1095" t="s">
        <v>619</v>
      </c>
      <c r="J524" s="1073" t="s">
        <v>567</v>
      </c>
      <c r="K524" s="1073" t="s">
        <v>567</v>
      </c>
      <c r="L524" s="1079">
        <v>63999</v>
      </c>
      <c r="M524" s="1077" t="s">
        <v>614</v>
      </c>
      <c r="N524" s="1083" t="s">
        <v>2219</v>
      </c>
    </row>
    <row r="525" spans="1:14" ht="15" customHeight="1" x14ac:dyDescent="0.2">
      <c r="A525" s="1077" t="s">
        <v>578</v>
      </c>
      <c r="B525" s="1077" t="s">
        <v>614</v>
      </c>
      <c r="C525" s="1071" t="s">
        <v>1742</v>
      </c>
      <c r="D525" s="1095" t="s">
        <v>695</v>
      </c>
      <c r="E525" s="1075">
        <v>0</v>
      </c>
      <c r="F525" s="1075">
        <v>10000000</v>
      </c>
      <c r="G525" s="1095" t="s">
        <v>196</v>
      </c>
      <c r="H525" s="1095" t="s">
        <v>208</v>
      </c>
      <c r="I525" s="1075" t="s">
        <v>112</v>
      </c>
      <c r="J525" s="1079">
        <v>9</v>
      </c>
      <c r="K525" s="1079">
        <v>3</v>
      </c>
      <c r="L525" s="1073" t="s">
        <v>567</v>
      </c>
      <c r="M525" s="1077" t="s">
        <v>614</v>
      </c>
      <c r="N525" s="1083" t="s">
        <v>2220</v>
      </c>
    </row>
    <row r="526" spans="1:14" ht="15" customHeight="1" x14ac:dyDescent="0.2">
      <c r="A526" s="1077" t="s">
        <v>578</v>
      </c>
      <c r="B526" s="1077" t="s">
        <v>614</v>
      </c>
      <c r="C526" s="1071" t="s">
        <v>1743</v>
      </c>
      <c r="D526" s="1095" t="s">
        <v>696</v>
      </c>
      <c r="E526" s="1083" t="s">
        <v>561</v>
      </c>
      <c r="F526" s="1083" t="s">
        <v>562</v>
      </c>
      <c r="G526" s="1083" t="s">
        <v>196</v>
      </c>
      <c r="H526" s="1095" t="s">
        <v>208</v>
      </c>
      <c r="I526" s="1095" t="s">
        <v>619</v>
      </c>
      <c r="J526" s="1073" t="s">
        <v>567</v>
      </c>
      <c r="K526" s="1073" t="s">
        <v>567</v>
      </c>
      <c r="L526" s="1079">
        <v>63999</v>
      </c>
      <c r="M526" s="1077" t="s">
        <v>614</v>
      </c>
      <c r="N526" s="1083" t="s">
        <v>2221</v>
      </c>
    </row>
    <row r="527" spans="1:14" ht="15" customHeight="1" x14ac:dyDescent="0.2">
      <c r="A527" s="1089" t="s">
        <v>567</v>
      </c>
      <c r="B527" s="1089" t="s">
        <v>567</v>
      </c>
      <c r="C527" s="1089" t="s">
        <v>567</v>
      </c>
      <c r="D527" s="1089" t="s">
        <v>567</v>
      </c>
      <c r="E527" s="1089" t="s">
        <v>567</v>
      </c>
      <c r="F527" s="1089" t="s">
        <v>567</v>
      </c>
      <c r="G527" s="1089" t="s">
        <v>567</v>
      </c>
      <c r="H527" s="1089" t="s">
        <v>567</v>
      </c>
      <c r="I527" s="1089" t="s">
        <v>567</v>
      </c>
      <c r="J527" s="1081" t="s">
        <v>567</v>
      </c>
      <c r="K527" s="1081" t="s">
        <v>567</v>
      </c>
      <c r="L527" s="1081" t="s">
        <v>567</v>
      </c>
      <c r="M527" s="1089" t="s">
        <v>567</v>
      </c>
      <c r="N527" s="1089" t="s">
        <v>567</v>
      </c>
    </row>
    <row r="528" spans="1:14" ht="15" customHeight="1" x14ac:dyDescent="0.2">
      <c r="A528" s="1076" t="s">
        <v>586</v>
      </c>
      <c r="B528" s="1083" t="s">
        <v>538</v>
      </c>
      <c r="C528" s="1071" t="s">
        <v>1431</v>
      </c>
      <c r="D528" s="1095" t="s">
        <v>205</v>
      </c>
      <c r="E528" s="1075" t="s">
        <v>561</v>
      </c>
      <c r="F528" s="1075" t="s">
        <v>562</v>
      </c>
      <c r="G528" s="1095" t="s">
        <v>196</v>
      </c>
      <c r="H528" s="1095" t="s">
        <v>208</v>
      </c>
      <c r="I528" s="1095" t="s">
        <v>619</v>
      </c>
      <c r="J528" s="1073" t="s">
        <v>567</v>
      </c>
      <c r="K528" s="1073" t="s">
        <v>567</v>
      </c>
      <c r="L528" s="1079">
        <v>63999</v>
      </c>
      <c r="M528" s="1083" t="s">
        <v>538</v>
      </c>
      <c r="N528" s="1083" t="s">
        <v>111</v>
      </c>
    </row>
    <row r="529" spans="1:14" ht="15" customHeight="1" x14ac:dyDescent="0.2">
      <c r="A529" s="1076" t="s">
        <v>586</v>
      </c>
      <c r="B529" s="1083" t="s">
        <v>538</v>
      </c>
      <c r="C529" s="1071" t="s">
        <v>1830</v>
      </c>
      <c r="D529" s="1095" t="s">
        <v>35</v>
      </c>
      <c r="E529" s="1097">
        <v>1</v>
      </c>
      <c r="F529" s="1097">
        <f ca="1">TODAY()</f>
        <v>42886</v>
      </c>
      <c r="G529" s="1095" t="s">
        <v>116</v>
      </c>
      <c r="H529" s="1096" t="s">
        <v>208</v>
      </c>
      <c r="I529" s="1095" t="s">
        <v>565</v>
      </c>
      <c r="J529" s="1073" t="s">
        <v>567</v>
      </c>
      <c r="K529" s="1073" t="s">
        <v>567</v>
      </c>
      <c r="L529" s="1073" t="s">
        <v>567</v>
      </c>
      <c r="M529" s="1083" t="s">
        <v>538</v>
      </c>
      <c r="N529" s="1083" t="s">
        <v>2222</v>
      </c>
    </row>
    <row r="530" spans="1:14" ht="15" customHeight="1" x14ac:dyDescent="0.2">
      <c r="A530" s="1076" t="s">
        <v>586</v>
      </c>
      <c r="B530" s="1083" t="s">
        <v>538</v>
      </c>
      <c r="C530" s="1071" t="s">
        <v>1745</v>
      </c>
      <c r="D530" s="1095" t="s">
        <v>697</v>
      </c>
      <c r="E530" s="1083" t="s">
        <v>561</v>
      </c>
      <c r="F530" s="1083" t="s">
        <v>562</v>
      </c>
      <c r="G530" s="1083" t="s">
        <v>196</v>
      </c>
      <c r="H530" s="1096" t="s">
        <v>208</v>
      </c>
      <c r="I530" s="1095" t="s">
        <v>619</v>
      </c>
      <c r="J530" s="1073" t="s">
        <v>567</v>
      </c>
      <c r="K530" s="1073" t="s">
        <v>567</v>
      </c>
      <c r="L530" s="1079">
        <v>63999</v>
      </c>
      <c r="M530" s="1083" t="s">
        <v>538</v>
      </c>
      <c r="N530" s="1083" t="s">
        <v>2223</v>
      </c>
    </row>
    <row r="531" spans="1:14" ht="15" customHeight="1" x14ac:dyDescent="0.2">
      <c r="A531" s="1076" t="s">
        <v>586</v>
      </c>
      <c r="B531" s="1083" t="s">
        <v>538</v>
      </c>
      <c r="C531" s="1071" t="s">
        <v>1746</v>
      </c>
      <c r="D531" s="1095" t="s">
        <v>698</v>
      </c>
      <c r="E531" s="1083" t="s">
        <v>561</v>
      </c>
      <c r="F531" s="1083" t="s">
        <v>562</v>
      </c>
      <c r="G531" s="1083" t="s">
        <v>196</v>
      </c>
      <c r="H531" s="1096" t="s">
        <v>208</v>
      </c>
      <c r="I531" s="1095" t="s">
        <v>619</v>
      </c>
      <c r="J531" s="1073" t="s">
        <v>567</v>
      </c>
      <c r="K531" s="1073" t="s">
        <v>567</v>
      </c>
      <c r="L531" s="1079">
        <v>63999</v>
      </c>
      <c r="M531" s="1083" t="s">
        <v>538</v>
      </c>
      <c r="N531" s="1083" t="s">
        <v>2224</v>
      </c>
    </row>
    <row r="532" spans="1:14" ht="15" customHeight="1" x14ac:dyDescent="0.2">
      <c r="A532" s="1076" t="s">
        <v>586</v>
      </c>
      <c r="B532" s="1083" t="s">
        <v>538</v>
      </c>
      <c r="C532" s="1071" t="s">
        <v>2238</v>
      </c>
      <c r="D532" s="1095" t="s">
        <v>699</v>
      </c>
      <c r="E532" s="1083" t="s">
        <v>561</v>
      </c>
      <c r="F532" s="1083" t="s">
        <v>562</v>
      </c>
      <c r="G532" s="1083" t="s">
        <v>196</v>
      </c>
      <c r="H532" s="1096" t="s">
        <v>208</v>
      </c>
      <c r="I532" s="1095" t="s">
        <v>619</v>
      </c>
      <c r="J532" s="1073" t="s">
        <v>567</v>
      </c>
      <c r="K532" s="1073" t="s">
        <v>567</v>
      </c>
      <c r="L532" s="1079">
        <v>63999</v>
      </c>
      <c r="M532" s="1083" t="s">
        <v>538</v>
      </c>
      <c r="N532" s="1083" t="s">
        <v>2225</v>
      </c>
    </row>
    <row r="533" spans="1:14" ht="15" customHeight="1" x14ac:dyDescent="0.2">
      <c r="A533" s="1076" t="s">
        <v>586</v>
      </c>
      <c r="B533" s="1083" t="s">
        <v>538</v>
      </c>
      <c r="C533" s="1071" t="s">
        <v>150</v>
      </c>
      <c r="D533" s="1095" t="s">
        <v>150</v>
      </c>
      <c r="E533" s="1083" t="s">
        <v>561</v>
      </c>
      <c r="F533" s="1083" t="s">
        <v>562</v>
      </c>
      <c r="G533" s="1083" t="s">
        <v>196</v>
      </c>
      <c r="H533" s="1096" t="s">
        <v>208</v>
      </c>
      <c r="I533" s="1095" t="s">
        <v>619</v>
      </c>
      <c r="J533" s="1073" t="s">
        <v>567</v>
      </c>
      <c r="K533" s="1073" t="s">
        <v>567</v>
      </c>
      <c r="L533" s="1079">
        <v>63999</v>
      </c>
      <c r="M533" s="1083" t="s">
        <v>538</v>
      </c>
      <c r="N533" s="1083" t="s">
        <v>150</v>
      </c>
    </row>
    <row r="534" spans="1:14" ht="15" customHeight="1" x14ac:dyDescent="0.2">
      <c r="C534" s="1083"/>
      <c r="N534" s="1083"/>
    </row>
    <row r="535" spans="1:14" x14ac:dyDescent="0.2">
      <c r="C535" s="1083"/>
      <c r="N535" s="1083"/>
    </row>
    <row r="536" spans="1:14" x14ac:dyDescent="0.2">
      <c r="C536" s="1083"/>
      <c r="N536" s="1083"/>
    </row>
    <row r="537" spans="1:14" x14ac:dyDescent="0.2">
      <c r="C537" s="1083"/>
      <c r="N537" s="1083"/>
    </row>
    <row r="538" spans="1:14" x14ac:dyDescent="0.2">
      <c r="C538" s="1083"/>
      <c r="N538" s="1083"/>
    </row>
  </sheetData>
  <phoneticPr fontId="13" type="noConversion"/>
  <dataValidations disablePrompts="1" xWindow="1116" yWindow="894" count="1">
    <dataValidation allowBlank="1" showInputMessage="1" showErrorMessage="1" prompt="Enter amount of amendment in kg/ha._x000a_" sqref="C141"/>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topLeftCell="EL1" zoomScaleNormal="100" workbookViewId="0">
      <selection activeCell="EU1" sqref="EU1"/>
    </sheetView>
  </sheetViews>
  <sheetFormatPr defaultColWidth="9.140625" defaultRowHeight="12.75" x14ac:dyDescent="0.2"/>
  <cols>
    <col min="1" max="1" width="9" style="121" customWidth="1"/>
    <col min="2" max="2" width="24.85546875" style="123" customWidth="1"/>
    <col min="3" max="3" width="17" style="123" customWidth="1"/>
    <col min="4" max="4" width="11.140625" style="123" bestFit="1" customWidth="1"/>
    <col min="5" max="5" width="10.5703125" style="115" customWidth="1"/>
    <col min="6" max="6" width="9.7109375" style="115" customWidth="1"/>
    <col min="7" max="7" width="10.7109375" style="115" customWidth="1"/>
    <col min="8" max="9" width="9.42578125" style="115" customWidth="1"/>
    <col min="10" max="10" width="19.7109375" style="115" customWidth="1"/>
    <col min="11" max="13" width="9.42578125" style="115" customWidth="1"/>
    <col min="14" max="14" width="9.5703125" style="115" customWidth="1"/>
    <col min="15" max="16" width="9.42578125" style="115" customWidth="1"/>
    <col min="17" max="17" width="9" style="121" customWidth="1"/>
    <col min="18" max="18" width="21.5703125" style="115" customWidth="1"/>
    <col min="19" max="19" width="13.28515625" style="115" customWidth="1"/>
    <col min="20" max="20" width="9.42578125" style="115" customWidth="1"/>
    <col min="21" max="21" width="10.5703125" style="115" customWidth="1"/>
    <col min="22" max="23" width="10.7109375" style="115" customWidth="1"/>
    <col min="24" max="24" width="9.42578125" style="115" customWidth="1"/>
    <col min="25" max="25" width="9" style="121" customWidth="1"/>
    <col min="26" max="26" width="36.42578125" style="115" customWidth="1"/>
    <col min="27" max="27" width="6.28515625" style="115" customWidth="1"/>
    <col min="28" max="28" width="11" style="115" bestFit="1" customWidth="1"/>
    <col min="29" max="29" width="11.42578125" style="115" customWidth="1"/>
    <col min="30" max="31" width="10.7109375" style="115" customWidth="1"/>
    <col min="32" max="32" width="9.42578125" style="115" customWidth="1"/>
    <col min="33" max="33" width="9" style="121" customWidth="1"/>
    <col min="34" max="34" width="31.7109375" style="115" customWidth="1"/>
    <col min="35" max="35" width="13.28515625" style="115" customWidth="1"/>
    <col min="36" max="36" width="11" style="115" bestFit="1" customWidth="1"/>
    <col min="37" max="37" width="10.5703125" style="115" customWidth="1"/>
    <col min="38" max="39" width="10.7109375" style="125" customWidth="1"/>
    <col min="40" max="40" width="12.7109375" style="115" customWidth="1"/>
    <col min="41" max="41" width="9" style="121" customWidth="1"/>
    <col min="42" max="42" width="25.42578125" style="115" customWidth="1"/>
    <col min="43" max="43" width="13.28515625" style="115" customWidth="1"/>
    <col min="44" max="44" width="11" style="115" bestFit="1" customWidth="1"/>
    <col min="45" max="45" width="11.7109375" style="115" customWidth="1"/>
    <col min="46" max="47" width="14.85546875" style="125" customWidth="1"/>
    <col min="48" max="48" width="9.85546875" style="115" customWidth="1"/>
    <col min="49" max="49" width="9" style="121" customWidth="1"/>
    <col min="50" max="50" width="23.5703125" style="115" customWidth="1"/>
    <col min="51" max="51" width="17" style="115" customWidth="1"/>
    <col min="52" max="52" width="11" style="115" bestFit="1" customWidth="1"/>
    <col min="53" max="53" width="10.5703125" style="115" customWidth="1"/>
    <col min="54" max="55" width="10.7109375" style="125" customWidth="1"/>
    <col min="56" max="56" width="9.42578125" style="115" customWidth="1"/>
    <col min="57" max="57" width="9" style="121" customWidth="1"/>
    <col min="58" max="58" width="25.7109375" style="115" customWidth="1"/>
    <col min="59" max="59" width="19.42578125" style="115" customWidth="1"/>
    <col min="60" max="60" width="11" style="115" bestFit="1" customWidth="1"/>
    <col min="61" max="61" width="10.5703125" style="115" customWidth="1"/>
    <col min="62" max="63" width="10.7109375" style="125" customWidth="1"/>
    <col min="64" max="64" width="9.42578125" style="115" customWidth="1"/>
    <col min="65" max="65" width="9" style="121" customWidth="1"/>
    <col min="66" max="66" width="26" style="115" customWidth="1"/>
    <col min="67" max="67" width="13.28515625" style="115" customWidth="1"/>
    <col min="68" max="68" width="11" style="115" bestFit="1" customWidth="1"/>
    <col min="69" max="69" width="10.5703125" style="115" customWidth="1"/>
    <col min="70" max="71" width="10.7109375" style="125" customWidth="1"/>
    <col min="72" max="72" width="9.85546875" style="115" customWidth="1"/>
    <col min="73" max="73" width="9" style="121" customWidth="1"/>
    <col min="74" max="74" width="18" style="115" customWidth="1"/>
    <col min="75" max="75" width="14.28515625" style="115" customWidth="1"/>
    <col min="76" max="77" width="11" style="115" bestFit="1" customWidth="1"/>
    <col min="78" max="79" width="10.7109375" style="125" customWidth="1"/>
    <col min="80" max="80" width="9.42578125" style="115" customWidth="1"/>
    <col min="81" max="81" width="9" style="121" customWidth="1"/>
    <col min="82" max="82" width="22.5703125" style="115" customWidth="1"/>
    <col min="83" max="83" width="13.28515625" style="115" customWidth="1"/>
    <col min="84" max="85" width="11" style="115" bestFit="1" customWidth="1"/>
    <col min="86" max="87" width="10.7109375" style="125" customWidth="1"/>
    <col min="88" max="88" width="9.42578125" style="115" customWidth="1"/>
    <col min="89" max="89" width="9" style="121" customWidth="1"/>
    <col min="90" max="90" width="27.28515625" style="115" customWidth="1"/>
    <col min="91" max="91" width="13.28515625" style="115" customWidth="1"/>
    <col min="92" max="92" width="11" style="115" bestFit="1" customWidth="1"/>
    <col min="93" max="93" width="10.5703125" style="115" customWidth="1"/>
    <col min="94" max="95" width="10.7109375" style="125" customWidth="1"/>
    <col min="96" max="96" width="9.42578125" style="115" customWidth="1"/>
    <col min="97" max="97" width="9" style="121" customWidth="1"/>
    <col min="98" max="98" width="44" style="115" customWidth="1"/>
    <col min="99" max="99" width="13.28515625" style="115" customWidth="1"/>
    <col min="100" max="101" width="11" style="115" bestFit="1" customWidth="1"/>
    <col min="102" max="103" width="10.7109375" style="125" customWidth="1"/>
    <col min="104" max="104" width="9.42578125" style="115" customWidth="1"/>
    <col min="105" max="105" width="9" style="121" customWidth="1"/>
    <col min="106" max="106" width="17.7109375" style="115" customWidth="1"/>
    <col min="107" max="107" width="15.85546875" style="115" customWidth="1"/>
    <col min="108" max="108" width="11" style="115" bestFit="1" customWidth="1"/>
    <col min="109" max="109" width="10.5703125" style="115" customWidth="1"/>
    <col min="110" max="111" width="10.7109375" style="125" customWidth="1"/>
    <col min="112" max="112" width="9.42578125" style="115" customWidth="1"/>
    <col min="113" max="113" width="9" style="121" customWidth="1"/>
    <col min="114" max="114" width="33" style="115" customWidth="1"/>
    <col min="115" max="115" width="35.28515625" style="115" customWidth="1"/>
    <col min="116" max="116" width="11" style="115" bestFit="1" customWidth="1"/>
    <col min="117" max="117" width="10.5703125" style="115" customWidth="1"/>
    <col min="118" max="119" width="10.7109375" style="125" customWidth="1"/>
    <col min="120" max="120" width="9.42578125" style="115" customWidth="1"/>
    <col min="121" max="121" width="9" style="121" customWidth="1"/>
    <col min="122" max="122" width="34" style="115" customWidth="1"/>
    <col min="123" max="123" width="13.28515625" style="115" customWidth="1"/>
    <col min="124" max="124" width="11" style="115" bestFit="1" customWidth="1"/>
    <col min="125" max="125" width="10.5703125" style="115" customWidth="1"/>
    <col min="126" max="127" width="10.7109375" style="125" customWidth="1"/>
    <col min="128" max="128" width="9.42578125" style="115" customWidth="1"/>
    <col min="129" max="129" width="9" style="121" customWidth="1"/>
    <col min="130" max="130" width="40.42578125" style="115" customWidth="1"/>
    <col min="131" max="131" width="40.28515625" style="115" customWidth="1"/>
    <col min="132" max="133" width="11" style="115" bestFit="1" customWidth="1"/>
    <col min="134" max="135" width="10.7109375" style="125" customWidth="1"/>
    <col min="136" max="136" width="9.42578125" style="115" customWidth="1"/>
    <col min="137" max="137" width="9" style="121" customWidth="1"/>
    <col min="138" max="138" width="28.28515625" style="115" customWidth="1"/>
    <col min="139" max="139" width="13.28515625" style="115" customWidth="1"/>
    <col min="140" max="141" width="11" style="115" bestFit="1" customWidth="1"/>
    <col min="142" max="142" width="10.7109375" style="125" customWidth="1"/>
    <col min="143" max="143" width="9.85546875" style="125" customWidth="1"/>
    <col min="144" max="144" width="9.42578125" style="115" customWidth="1"/>
    <col min="145" max="145" width="9" style="121" customWidth="1"/>
    <col min="146" max="146" width="22.5703125" style="115" customWidth="1"/>
    <col min="147" max="147" width="11" style="115" bestFit="1" customWidth="1"/>
    <col min="148" max="148" width="8.140625" style="115" bestFit="1" customWidth="1"/>
    <col min="149" max="149" width="11" style="115" bestFit="1" customWidth="1"/>
    <col min="150" max="151" width="10.7109375" style="125" customWidth="1"/>
    <col min="152" max="152" width="9.42578125" style="115" customWidth="1"/>
    <col min="153" max="153" width="9" style="121" customWidth="1"/>
    <col min="154" max="154" width="22.5703125" style="115" customWidth="1"/>
    <col min="155" max="155" width="35.28515625" style="115" customWidth="1"/>
    <col min="156" max="157" width="13.5703125" style="115" customWidth="1"/>
    <col min="158" max="159" width="10.7109375" style="125" customWidth="1"/>
    <col min="160" max="160" width="9.42578125" style="115" customWidth="1"/>
    <col min="161" max="161" width="9" style="121" customWidth="1"/>
    <col min="162" max="162" width="33" style="115" customWidth="1"/>
    <col min="163" max="163" width="15.42578125" style="115" customWidth="1"/>
    <col min="164" max="165" width="11" style="115" bestFit="1" customWidth="1"/>
    <col min="166" max="167" width="10.7109375" style="125" customWidth="1"/>
    <col min="168" max="168" width="9.42578125" style="115" customWidth="1"/>
    <col min="169" max="169" width="9" style="121" customWidth="1"/>
    <col min="170" max="170" width="28" style="115" customWidth="1"/>
    <col min="171" max="171" width="13.28515625" style="115" customWidth="1"/>
    <col min="172" max="172" width="11" style="115" bestFit="1" customWidth="1"/>
    <col min="173" max="173" width="10.5703125" style="115" customWidth="1"/>
    <col min="174" max="175" width="10.7109375" style="125" customWidth="1"/>
    <col min="176" max="176" width="9.42578125" style="115" customWidth="1"/>
    <col min="177" max="177" width="9" style="121" customWidth="1"/>
    <col min="178" max="178" width="30.85546875" style="115" customWidth="1"/>
    <col min="179" max="179" width="13.28515625" style="115" customWidth="1"/>
    <col min="180" max="181" width="11" style="115" bestFit="1" customWidth="1"/>
    <col min="182" max="183" width="10.7109375" style="125" customWidth="1"/>
    <col min="184" max="184" width="9.42578125" style="115" customWidth="1"/>
    <col min="185" max="185" width="9" style="121" customWidth="1"/>
    <col min="186" max="186" width="32.28515625" style="115" customWidth="1"/>
    <col min="187" max="187" width="13.28515625" style="115" customWidth="1"/>
    <col min="188" max="188" width="11" style="115" bestFit="1" customWidth="1"/>
    <col min="189" max="189" width="10.5703125" style="115" customWidth="1"/>
    <col min="190" max="191" width="10.7109375" style="125" customWidth="1"/>
    <col min="192" max="192" width="9.42578125" style="115" customWidth="1"/>
    <col min="193" max="193" width="9" style="121" customWidth="1"/>
    <col min="194" max="194" width="30.85546875" style="115" customWidth="1"/>
    <col min="195" max="195" width="13.28515625" style="115" customWidth="1"/>
    <col min="196" max="196" width="11" style="115" bestFit="1" customWidth="1"/>
    <col min="197" max="197" width="10.5703125" style="115" customWidth="1"/>
    <col min="198" max="199" width="10.7109375" style="125" customWidth="1"/>
    <col min="200" max="200" width="9.42578125" style="115" customWidth="1"/>
    <col min="201" max="201" width="9" style="121" customWidth="1"/>
    <col min="202" max="202" width="30.85546875" style="115" customWidth="1"/>
    <col min="203" max="203" width="50.7109375" style="115" customWidth="1"/>
    <col min="204" max="205" width="11" style="115" bestFit="1" customWidth="1"/>
    <col min="206" max="207" width="10.7109375" style="125" customWidth="1"/>
    <col min="208" max="208" width="9.42578125" style="115" customWidth="1"/>
    <col min="209" max="209" width="9" style="121" customWidth="1"/>
    <col min="210" max="210" width="26.7109375" style="115" customWidth="1"/>
    <col min="211" max="211" width="13.28515625" style="115" customWidth="1"/>
    <col min="212" max="213" width="11" style="115" bestFit="1" customWidth="1"/>
    <col min="214" max="215" width="10.7109375" style="125" customWidth="1"/>
    <col min="216" max="216" width="9.42578125" style="115" customWidth="1"/>
    <col min="217" max="16384" width="9.140625" style="115"/>
  </cols>
  <sheetData>
    <row r="1" spans="1:224" s="1166" customFormat="1" ht="17.25" customHeight="1" x14ac:dyDescent="0.25">
      <c r="A1" s="1145" t="b">
        <v>0</v>
      </c>
      <c r="B1" s="1146" t="s">
        <v>1049</v>
      </c>
      <c r="C1" s="1147"/>
      <c r="D1" s="1147"/>
      <c r="E1" s="1147"/>
      <c r="F1" s="1147"/>
      <c r="G1" s="1143">
        <f>IF(HasRun,MAX(1,COUNTA(Overview!$A:$A)-COUNTA(Overview!$A$1:$A$8)),COUNTA(Overview!$A:$A)-COUNTA(Overview!$A$1:$A$8))</f>
        <v>0</v>
      </c>
      <c r="H1" s="1148" t="s">
        <v>784</v>
      </c>
      <c r="I1" s="1149"/>
      <c r="J1" s="1146" t="s">
        <v>1050</v>
      </c>
      <c r="K1" s="1147"/>
      <c r="L1" s="1147"/>
      <c r="M1" s="1147"/>
      <c r="N1" s="1147"/>
      <c r="O1" s="1143">
        <f>IF(HasRun,MAX(1,COUNTA(FieldSites!$A:$A)-COUNTA(FieldSites!$A$1:$A$8)),COUNTA(FieldSites!$A:$A)-COUNTA(FieldSites!$A$1:$A$8))</f>
        <v>0</v>
      </c>
      <c r="P1" s="1148" t="s">
        <v>784</v>
      </c>
      <c r="Q1" s="1150"/>
      <c r="R1" s="1146" t="s">
        <v>214</v>
      </c>
      <c r="S1" s="1147"/>
      <c r="T1" s="1147"/>
      <c r="U1" s="1147"/>
      <c r="V1" s="1147"/>
      <c r="W1" s="1143">
        <f>COUNTA(Persons!$A:$A)-COUNTA(Persons!$A$1:$A$8)</f>
        <v>0</v>
      </c>
      <c r="X1" s="1148" t="s">
        <v>784</v>
      </c>
      <c r="Y1" s="1150"/>
      <c r="Z1" s="1146" t="s">
        <v>226</v>
      </c>
      <c r="AA1" s="1147"/>
      <c r="AB1" s="1147"/>
      <c r="AC1" s="1147"/>
      <c r="AD1" s="1147"/>
      <c r="AE1" s="1143">
        <f>COUNTA(Citations!$A:$A)-COUNTA(Citations!$A$1:$A$8)</f>
        <v>0</v>
      </c>
      <c r="AF1" s="1148" t="s">
        <v>784</v>
      </c>
      <c r="AG1" s="1150"/>
      <c r="AH1" s="1146" t="s">
        <v>228</v>
      </c>
      <c r="AI1" s="1147"/>
      <c r="AJ1" s="1147"/>
      <c r="AK1" s="1147"/>
      <c r="AL1" s="1147"/>
      <c r="AM1" s="1143">
        <f>COUNTA(Treatments!$A:$A)-COUNTA(Treatments!$A$1:$A$8)</f>
        <v>0</v>
      </c>
      <c r="AN1" s="1148" t="s">
        <v>784</v>
      </c>
      <c r="AO1" s="1150"/>
      <c r="AP1" s="1146" t="s">
        <v>542</v>
      </c>
      <c r="AQ1" s="1147"/>
      <c r="AR1" s="1147"/>
      <c r="AS1" s="1147"/>
      <c r="AT1" s="1147"/>
      <c r="AU1" s="1143">
        <f>IF(HasRun,MAX(1,COUNTA(ExperUnits!$A:$A)-COUNTA(ExperUnits!$A$1:$A$8)),COUNTA(ExperUnits!$A:$A)-COUNTA(ExperUnits!$A$1:$A$8))</f>
        <v>0</v>
      </c>
      <c r="AV1" s="1148" t="s">
        <v>784</v>
      </c>
      <c r="AW1" s="1150"/>
      <c r="AX1" s="1151" t="s">
        <v>506</v>
      </c>
      <c r="AY1" s="1152"/>
      <c r="AZ1" s="1152"/>
      <c r="BA1" s="1152"/>
      <c r="BB1" s="1152"/>
      <c r="BC1" s="1153">
        <f>COUNTA(WeatherStation!$A:$A)-COUNTA(WeatherStation!$A$1:$A$8)</f>
        <v>0</v>
      </c>
      <c r="BD1" s="1154" t="s">
        <v>784</v>
      </c>
      <c r="BE1" s="1150"/>
      <c r="BF1" s="1151" t="s">
        <v>507</v>
      </c>
      <c r="BG1" s="1152"/>
      <c r="BH1" s="1152"/>
      <c r="BI1" s="1152"/>
      <c r="BJ1" s="1152"/>
      <c r="BK1" s="1153">
        <f>COUNTA(WeatherDaily!$A:$A)-COUNTA(WeatherDaily!$A$1:$A$8)</f>
        <v>0</v>
      </c>
      <c r="BL1" s="1154" t="s">
        <v>784</v>
      </c>
      <c r="BM1" s="1150"/>
      <c r="BN1" s="1155" t="s">
        <v>599</v>
      </c>
      <c r="BO1" s="1156"/>
      <c r="BP1" s="1156"/>
      <c r="BQ1" s="1156"/>
      <c r="BR1" s="1156"/>
      <c r="BS1" s="1157">
        <f>COUNTA(MgtAmendments!$B:$B)-COUNTA(MgtAmendments!$B$1:$B$8)</f>
        <v>0</v>
      </c>
      <c r="BT1" s="1158" t="s">
        <v>784</v>
      </c>
      <c r="BU1" s="1150"/>
      <c r="BV1" s="1155" t="s">
        <v>600</v>
      </c>
      <c r="BW1" s="1156"/>
      <c r="BX1" s="1156"/>
      <c r="BY1" s="1156"/>
      <c r="BZ1" s="1156"/>
      <c r="CA1" s="1157">
        <f>COUNTA(MgtPlanting!$B:$B)-COUNTA(MgtPlanting!$B$1:$B$8)</f>
        <v>0</v>
      </c>
      <c r="CB1" s="1158" t="s">
        <v>784</v>
      </c>
      <c r="CC1" s="1150"/>
      <c r="CD1" s="1155" t="s">
        <v>601</v>
      </c>
      <c r="CE1" s="1156"/>
      <c r="CF1" s="1156"/>
      <c r="CG1" s="1156"/>
      <c r="CH1" s="1156"/>
      <c r="CI1" s="1157">
        <f>COUNTA(MgtTillage!$B:$B)-COUNTA(MgtTillage!$B$1:$B$8)</f>
        <v>0</v>
      </c>
      <c r="CJ1" s="1158" t="s">
        <v>784</v>
      </c>
      <c r="CK1" s="1150"/>
      <c r="CL1" s="1155" t="s">
        <v>602</v>
      </c>
      <c r="CM1" s="1156"/>
      <c r="CN1" s="1156"/>
      <c r="CO1" s="1156"/>
      <c r="CP1" s="1156"/>
      <c r="CQ1" s="1157">
        <f>COUNTA(MgtGrowthStages!$B:$B)-COUNTA(MgtGrowthStages!$B$1:$B$8)</f>
        <v>0</v>
      </c>
      <c r="CR1" s="1158" t="s">
        <v>784</v>
      </c>
      <c r="CS1" s="1150"/>
      <c r="CT1" s="1155" t="s">
        <v>603</v>
      </c>
      <c r="CU1" s="1156"/>
      <c r="CV1" s="1156"/>
      <c r="CW1" s="1156"/>
      <c r="CX1" s="1156"/>
      <c r="CY1" s="1157">
        <f>COUNTA(MgtResidue!$B:$B)-COUNTA(MgtResidue!$B$1:$B$8)</f>
        <v>0</v>
      </c>
      <c r="CZ1" s="1158" t="s">
        <v>784</v>
      </c>
      <c r="DA1" s="1150"/>
      <c r="DB1" s="1155" t="s">
        <v>604</v>
      </c>
      <c r="DC1" s="1156"/>
      <c r="DD1" s="1156"/>
      <c r="DE1" s="1156"/>
      <c r="DF1" s="1156"/>
      <c r="DG1" s="1159">
        <f>COUNTA(MgtGrazing!$B:$B)-COUNTA(MgtGrazing!$B$1:$B$8)</f>
        <v>0</v>
      </c>
      <c r="DH1" s="1158" t="s">
        <v>784</v>
      </c>
      <c r="DI1" s="1150"/>
      <c r="DJ1" s="1160" t="s">
        <v>605</v>
      </c>
      <c r="DK1" s="1161"/>
      <c r="DL1" s="1161"/>
      <c r="DM1" s="1161"/>
      <c r="DN1" s="1161"/>
      <c r="DO1" s="1162">
        <f>COUNTA(MeasSoilPhys!$A:$A)-COUNTA(MeasSoilPhys!$A$1:$A$8)</f>
        <v>0</v>
      </c>
      <c r="DP1" s="1163" t="s">
        <v>784</v>
      </c>
      <c r="DQ1" s="1150"/>
      <c r="DR1" s="1160" t="s">
        <v>606</v>
      </c>
      <c r="DS1" s="1161"/>
      <c r="DT1" s="1161"/>
      <c r="DU1" s="1161"/>
      <c r="DV1" s="1161"/>
      <c r="DW1" s="1164">
        <f>COUNTA(MeasSoilChem!$A:$A)-COUNTA(MeasSoilChem!$A$1:$A$8)</f>
        <v>0</v>
      </c>
      <c r="DX1" s="1163" t="s">
        <v>784</v>
      </c>
      <c r="DY1" s="1150"/>
      <c r="DZ1" s="1160" t="s">
        <v>607</v>
      </c>
      <c r="EA1" s="1161"/>
      <c r="EB1" s="1161"/>
      <c r="EC1" s="1161"/>
      <c r="ED1" s="1161"/>
      <c r="EE1" s="1164">
        <f>COUNTA(MeasSoilBiol!$A:$A)-COUNTA(MeasSoilBiol!$A$1:$A$8)</f>
        <v>0</v>
      </c>
      <c r="EF1" s="1163" t="s">
        <v>784</v>
      </c>
      <c r="EG1" s="1150"/>
      <c r="EH1" s="1160" t="s">
        <v>608</v>
      </c>
      <c r="EI1" s="1161"/>
      <c r="EJ1" s="1161"/>
      <c r="EK1" s="1161"/>
      <c r="EL1" s="1161"/>
      <c r="EM1" s="1164">
        <f>COUNTA(MeasSoilCover!$A:$A)-COUNTA(MeasSoilCover!$A$1:$A$8)</f>
        <v>0</v>
      </c>
      <c r="EN1" s="1163" t="s">
        <v>784</v>
      </c>
      <c r="EO1" s="1150"/>
      <c r="EP1" s="1160" t="s">
        <v>2302</v>
      </c>
      <c r="EQ1" s="1161"/>
      <c r="ER1" s="1161"/>
      <c r="ES1" s="1161"/>
      <c r="ET1" s="1161"/>
      <c r="EU1" s="1162">
        <f>COUNTA(MeasARGenes!$A:$A)-COUNTA(MeasARGenes!$A$1:$A$8)</f>
        <v>0</v>
      </c>
      <c r="EV1" s="1163" t="s">
        <v>784</v>
      </c>
      <c r="EW1" s="1165"/>
      <c r="EX1" s="1160" t="s">
        <v>609</v>
      </c>
      <c r="EY1" s="1161"/>
      <c r="EZ1" s="1161"/>
      <c r="FA1" s="1161"/>
      <c r="FB1" s="1161"/>
      <c r="FC1" s="1162">
        <f>COUNTA(MeasGHGFlux!$A:$A)-COUNTA(MeasGHGFlux!$A$1:$A$8)</f>
        <v>0</v>
      </c>
      <c r="FD1" s="1163" t="s">
        <v>784</v>
      </c>
      <c r="FE1" s="1150"/>
      <c r="FF1" s="1160" t="s">
        <v>1892</v>
      </c>
      <c r="FG1" s="1161"/>
      <c r="FH1" s="1161"/>
      <c r="FI1" s="1161"/>
      <c r="FJ1" s="1161"/>
      <c r="FK1" s="1164">
        <f>COUNTA(MeasResidueMgnt!$A:$A)-COUNTA(MeasResidueMgnt!$A$1:$A$8)</f>
        <v>0</v>
      </c>
      <c r="FL1" s="1163" t="s">
        <v>784</v>
      </c>
      <c r="FM1" s="1150"/>
      <c r="FN1" s="1160" t="s">
        <v>1853</v>
      </c>
      <c r="FO1" s="1161"/>
      <c r="FP1" s="1161"/>
      <c r="FQ1" s="1161"/>
      <c r="FR1" s="1161"/>
      <c r="FS1" s="1164">
        <f>COUNTA(MeasHarvestFraction!$A:$A)-COUNTA(MeasHarvestFraction!$A$1:$A$8)</f>
        <v>0</v>
      </c>
      <c r="FT1" s="1163" t="s">
        <v>784</v>
      </c>
      <c r="FU1" s="1150"/>
      <c r="FV1" s="1160" t="s">
        <v>610</v>
      </c>
      <c r="FW1" s="1161"/>
      <c r="FX1" s="1161"/>
      <c r="FY1" s="1161"/>
      <c r="FZ1" s="1161"/>
      <c r="GA1" s="1164">
        <f>COUNTA(MeasBiomassCHO!$A:$A)-COUNTA(MeasBiomassCHO!$A$1:$A$8)</f>
        <v>0</v>
      </c>
      <c r="GB1" s="1163" t="s">
        <v>784</v>
      </c>
      <c r="GC1" s="1150"/>
      <c r="GD1" s="1160" t="s">
        <v>611</v>
      </c>
      <c r="GE1" s="1161"/>
      <c r="GF1" s="1161"/>
      <c r="GG1" s="1161"/>
      <c r="GH1" s="1161"/>
      <c r="GI1" s="1164">
        <f>COUNTA(MeasBiomassEnergy!$A:$A)-COUNTA(MeasBiomassEnergy!$A$1:$A$8)</f>
        <v>0</v>
      </c>
      <c r="GJ1" s="1163" t="s">
        <v>784</v>
      </c>
      <c r="GK1" s="1150"/>
      <c r="GL1" s="1160" t="s">
        <v>612</v>
      </c>
      <c r="GM1" s="1161"/>
      <c r="GN1" s="1161"/>
      <c r="GO1" s="1161"/>
      <c r="GP1" s="1161"/>
      <c r="GQ1" s="1164">
        <f>COUNTA(MeasBiomassMinAn!$A:$A)-COUNTA(MeasBiomassMinAn!$A$1:$A$8)</f>
        <v>0</v>
      </c>
      <c r="GR1" s="1163" t="s">
        <v>784</v>
      </c>
      <c r="GS1" s="1150"/>
      <c r="GT1" s="1160" t="s">
        <v>613</v>
      </c>
      <c r="GU1" s="1161"/>
      <c r="GV1" s="1161"/>
      <c r="GW1" s="1161"/>
      <c r="GX1" s="1161"/>
      <c r="GY1" s="1164">
        <f>COUNTA(MeasGrazingPlants!$A:$A)-COUNTA(MeasGrazingPlants!$A$1:$A$8)</f>
        <v>0</v>
      </c>
      <c r="GZ1" s="1163" t="s">
        <v>784</v>
      </c>
      <c r="HA1" s="1150"/>
      <c r="HB1" s="1160" t="s">
        <v>614</v>
      </c>
      <c r="HC1" s="1161"/>
      <c r="HD1" s="1161"/>
      <c r="HE1" s="1161"/>
      <c r="HF1" s="1161"/>
      <c r="HG1" s="1164">
        <f>COUNTA(MeasSuppRes!$A:$A)-COUNTA(MeasSuppRes!$A$1:$A$8)</f>
        <v>0</v>
      </c>
      <c r="HH1" s="1163" t="s">
        <v>784</v>
      </c>
      <c r="HJ1" s="1167" t="s">
        <v>538</v>
      </c>
      <c r="HK1" s="1168"/>
      <c r="HL1" s="1168"/>
      <c r="HM1" s="1168"/>
      <c r="HN1" s="1168"/>
      <c r="HO1" s="1169">
        <f>COUNTA(AllCellComments!$A:$A)-COUNTA(AllCellComments!$A$1:$A$8)</f>
        <v>0</v>
      </c>
      <c r="HP1" s="1170" t="s">
        <v>784</v>
      </c>
    </row>
    <row r="2" spans="1:224" s="116" customFormat="1" x14ac:dyDescent="0.2">
      <c r="A2" s="116">
        <f ca="1">INT(SUM(1:1)/(COUNTIF(3:100,"=TRUE")+1)*10000)</f>
        <v>0</v>
      </c>
      <c r="B2" s="117" t="s">
        <v>777</v>
      </c>
      <c r="C2" s="118" t="s">
        <v>200</v>
      </c>
      <c r="D2" s="118" t="s">
        <v>778</v>
      </c>
      <c r="E2" s="118" t="s">
        <v>779</v>
      </c>
      <c r="F2" s="118" t="s">
        <v>780</v>
      </c>
      <c r="G2" s="118" t="s">
        <v>1288</v>
      </c>
      <c r="H2" s="119" t="s">
        <v>781</v>
      </c>
      <c r="I2" s="297"/>
      <c r="J2" s="117" t="s">
        <v>777</v>
      </c>
      <c r="K2" s="118" t="s">
        <v>200</v>
      </c>
      <c r="L2" s="118" t="s">
        <v>778</v>
      </c>
      <c r="M2" s="118" t="s">
        <v>779</v>
      </c>
      <c r="N2" s="118" t="s">
        <v>780</v>
      </c>
      <c r="O2" s="118" t="s">
        <v>1288</v>
      </c>
      <c r="P2" s="119" t="s">
        <v>781</v>
      </c>
      <c r="R2" s="117" t="s">
        <v>777</v>
      </c>
      <c r="S2" s="118" t="s">
        <v>200</v>
      </c>
      <c r="T2" s="118" t="s">
        <v>778</v>
      </c>
      <c r="U2" s="118" t="s">
        <v>779</v>
      </c>
      <c r="V2" s="118" t="s">
        <v>780</v>
      </c>
      <c r="W2" s="118" t="s">
        <v>1288</v>
      </c>
      <c r="X2" s="119" t="s">
        <v>781</v>
      </c>
      <c r="Z2" s="117" t="s">
        <v>777</v>
      </c>
      <c r="AA2" s="118" t="s">
        <v>200</v>
      </c>
      <c r="AB2" s="118" t="s">
        <v>778</v>
      </c>
      <c r="AC2" s="118" t="s">
        <v>779</v>
      </c>
      <c r="AD2" s="118" t="s">
        <v>780</v>
      </c>
      <c r="AE2" s="118" t="s">
        <v>1288</v>
      </c>
      <c r="AF2" s="119" t="s">
        <v>781</v>
      </c>
      <c r="AH2" s="117" t="s">
        <v>777</v>
      </c>
      <c r="AI2" s="118" t="s">
        <v>200</v>
      </c>
      <c r="AJ2" s="118" t="s">
        <v>778</v>
      </c>
      <c r="AK2" s="118" t="s">
        <v>779</v>
      </c>
      <c r="AL2" s="118" t="s">
        <v>780</v>
      </c>
      <c r="AM2" s="118" t="s">
        <v>1288</v>
      </c>
      <c r="AN2" s="119" t="s">
        <v>781</v>
      </c>
      <c r="AP2" s="117" t="s">
        <v>777</v>
      </c>
      <c r="AQ2" s="118" t="s">
        <v>200</v>
      </c>
      <c r="AR2" s="118" t="s">
        <v>778</v>
      </c>
      <c r="AS2" s="118" t="s">
        <v>779</v>
      </c>
      <c r="AT2" s="118" t="s">
        <v>780</v>
      </c>
      <c r="AU2" s="118" t="s">
        <v>1288</v>
      </c>
      <c r="AV2" s="119" t="s">
        <v>781</v>
      </c>
      <c r="AX2" s="117" t="s">
        <v>777</v>
      </c>
      <c r="AY2" s="118" t="s">
        <v>200</v>
      </c>
      <c r="AZ2" s="118" t="s">
        <v>778</v>
      </c>
      <c r="BA2" s="118" t="s">
        <v>779</v>
      </c>
      <c r="BB2" s="118" t="s">
        <v>780</v>
      </c>
      <c r="BC2" s="118" t="s">
        <v>1288</v>
      </c>
      <c r="BD2" s="119" t="s">
        <v>781</v>
      </c>
      <c r="BF2" s="117" t="s">
        <v>777</v>
      </c>
      <c r="BG2" s="118" t="s">
        <v>200</v>
      </c>
      <c r="BH2" s="118" t="s">
        <v>778</v>
      </c>
      <c r="BI2" s="118" t="s">
        <v>779</v>
      </c>
      <c r="BJ2" s="118" t="s">
        <v>780</v>
      </c>
      <c r="BK2" s="118" t="s">
        <v>1288</v>
      </c>
      <c r="BL2" s="119" t="s">
        <v>781</v>
      </c>
      <c r="BN2" s="117" t="s">
        <v>777</v>
      </c>
      <c r="BO2" s="118" t="s">
        <v>200</v>
      </c>
      <c r="BP2" s="118" t="s">
        <v>778</v>
      </c>
      <c r="BQ2" s="118" t="s">
        <v>779</v>
      </c>
      <c r="BR2" s="118" t="s">
        <v>780</v>
      </c>
      <c r="BS2" s="118" t="s">
        <v>1288</v>
      </c>
      <c r="BT2" s="119" t="s">
        <v>781</v>
      </c>
      <c r="BV2" s="117" t="s">
        <v>777</v>
      </c>
      <c r="BW2" s="118" t="s">
        <v>200</v>
      </c>
      <c r="BX2" s="118" t="s">
        <v>778</v>
      </c>
      <c r="BY2" s="118" t="s">
        <v>779</v>
      </c>
      <c r="BZ2" s="118" t="s">
        <v>780</v>
      </c>
      <c r="CA2" s="118" t="s">
        <v>1288</v>
      </c>
      <c r="CB2" s="119" t="s">
        <v>781</v>
      </c>
      <c r="CD2" s="117" t="s">
        <v>777</v>
      </c>
      <c r="CE2" s="118" t="s">
        <v>200</v>
      </c>
      <c r="CF2" s="118" t="s">
        <v>778</v>
      </c>
      <c r="CG2" s="118" t="s">
        <v>779</v>
      </c>
      <c r="CH2" s="118" t="s">
        <v>780</v>
      </c>
      <c r="CI2" s="118" t="s">
        <v>1288</v>
      </c>
      <c r="CJ2" s="119" t="s">
        <v>781</v>
      </c>
      <c r="CL2" s="117" t="s">
        <v>777</v>
      </c>
      <c r="CM2" s="118" t="s">
        <v>200</v>
      </c>
      <c r="CN2" s="118" t="s">
        <v>778</v>
      </c>
      <c r="CO2" s="118" t="s">
        <v>779</v>
      </c>
      <c r="CP2" s="118" t="s">
        <v>780</v>
      </c>
      <c r="CQ2" s="118" t="s">
        <v>1288</v>
      </c>
      <c r="CR2" s="119" t="s">
        <v>781</v>
      </c>
      <c r="CT2" s="117" t="s">
        <v>777</v>
      </c>
      <c r="CU2" s="118" t="s">
        <v>200</v>
      </c>
      <c r="CV2" s="118" t="s">
        <v>778</v>
      </c>
      <c r="CW2" s="118" t="s">
        <v>779</v>
      </c>
      <c r="CX2" s="118" t="s">
        <v>780</v>
      </c>
      <c r="CY2" s="118" t="s">
        <v>1288</v>
      </c>
      <c r="CZ2" s="119" t="s">
        <v>781</v>
      </c>
      <c r="DB2" s="117" t="s">
        <v>777</v>
      </c>
      <c r="DC2" s="118" t="s">
        <v>200</v>
      </c>
      <c r="DD2" s="118" t="s">
        <v>778</v>
      </c>
      <c r="DE2" s="118" t="s">
        <v>779</v>
      </c>
      <c r="DF2" s="120" t="s">
        <v>780</v>
      </c>
      <c r="DG2" s="118" t="s">
        <v>1288</v>
      </c>
      <c r="DH2" s="119" t="s">
        <v>781</v>
      </c>
      <c r="DJ2" s="117" t="s">
        <v>777</v>
      </c>
      <c r="DK2" s="118" t="s">
        <v>200</v>
      </c>
      <c r="DL2" s="118" t="s">
        <v>778</v>
      </c>
      <c r="DM2" s="118" t="s">
        <v>779</v>
      </c>
      <c r="DN2" s="118" t="s">
        <v>780</v>
      </c>
      <c r="DO2" s="118" t="s">
        <v>1288</v>
      </c>
      <c r="DP2" s="119" t="s">
        <v>781</v>
      </c>
      <c r="DR2" s="117" t="s">
        <v>777</v>
      </c>
      <c r="DS2" s="118" t="s">
        <v>200</v>
      </c>
      <c r="DT2" s="118" t="s">
        <v>778</v>
      </c>
      <c r="DU2" s="118" t="s">
        <v>779</v>
      </c>
      <c r="DV2" s="118" t="s">
        <v>780</v>
      </c>
      <c r="DW2" s="118" t="s">
        <v>1288</v>
      </c>
      <c r="DX2" s="119" t="s">
        <v>781</v>
      </c>
      <c r="DZ2" s="117" t="s">
        <v>777</v>
      </c>
      <c r="EA2" s="118" t="s">
        <v>200</v>
      </c>
      <c r="EB2" s="118" t="s">
        <v>778</v>
      </c>
      <c r="EC2" s="118" t="s">
        <v>779</v>
      </c>
      <c r="ED2" s="118" t="s">
        <v>780</v>
      </c>
      <c r="EE2" s="118" t="s">
        <v>1288</v>
      </c>
      <c r="EF2" s="119" t="s">
        <v>781</v>
      </c>
      <c r="EH2" s="117" t="s">
        <v>777</v>
      </c>
      <c r="EI2" s="118" t="s">
        <v>200</v>
      </c>
      <c r="EJ2" s="118" t="s">
        <v>778</v>
      </c>
      <c r="EK2" s="118" t="s">
        <v>779</v>
      </c>
      <c r="EL2" s="118" t="s">
        <v>780</v>
      </c>
      <c r="EM2" s="118" t="s">
        <v>1288</v>
      </c>
      <c r="EN2" s="119" t="s">
        <v>781</v>
      </c>
      <c r="EP2" s="117" t="s">
        <v>777</v>
      </c>
      <c r="EQ2" s="118" t="s">
        <v>200</v>
      </c>
      <c r="ER2" s="118" t="s">
        <v>778</v>
      </c>
      <c r="ES2" s="118" t="s">
        <v>779</v>
      </c>
      <c r="ET2" s="118" t="s">
        <v>780</v>
      </c>
      <c r="EU2" s="118" t="s">
        <v>1288</v>
      </c>
      <c r="EV2" s="119" t="s">
        <v>781</v>
      </c>
      <c r="EX2" s="117" t="s">
        <v>777</v>
      </c>
      <c r="EY2" s="118" t="s">
        <v>200</v>
      </c>
      <c r="EZ2" s="118" t="s">
        <v>778</v>
      </c>
      <c r="FA2" s="118" t="s">
        <v>779</v>
      </c>
      <c r="FB2" s="118" t="s">
        <v>780</v>
      </c>
      <c r="FC2" s="118" t="s">
        <v>1288</v>
      </c>
      <c r="FD2" s="119" t="s">
        <v>781</v>
      </c>
      <c r="FF2" s="117" t="s">
        <v>777</v>
      </c>
      <c r="FG2" s="118" t="s">
        <v>200</v>
      </c>
      <c r="FH2" s="118" t="s">
        <v>778</v>
      </c>
      <c r="FI2" s="118" t="s">
        <v>779</v>
      </c>
      <c r="FJ2" s="118" t="s">
        <v>780</v>
      </c>
      <c r="FK2" s="118" t="s">
        <v>1288</v>
      </c>
      <c r="FL2" s="119" t="s">
        <v>781</v>
      </c>
      <c r="FN2" s="117" t="s">
        <v>777</v>
      </c>
      <c r="FO2" s="118" t="s">
        <v>200</v>
      </c>
      <c r="FP2" s="118" t="s">
        <v>778</v>
      </c>
      <c r="FQ2" s="118" t="s">
        <v>779</v>
      </c>
      <c r="FR2" s="118" t="s">
        <v>780</v>
      </c>
      <c r="FS2" s="118" t="s">
        <v>1288</v>
      </c>
      <c r="FT2" s="119" t="s">
        <v>781</v>
      </c>
      <c r="FV2" s="117" t="s">
        <v>777</v>
      </c>
      <c r="FW2" s="118" t="s">
        <v>200</v>
      </c>
      <c r="FX2" s="118" t="s">
        <v>778</v>
      </c>
      <c r="FY2" s="118" t="s">
        <v>779</v>
      </c>
      <c r="FZ2" s="118" t="s">
        <v>780</v>
      </c>
      <c r="GA2" s="118" t="s">
        <v>1288</v>
      </c>
      <c r="GB2" s="119" t="s">
        <v>781</v>
      </c>
      <c r="GD2" s="117" t="s">
        <v>777</v>
      </c>
      <c r="GE2" s="118" t="s">
        <v>200</v>
      </c>
      <c r="GF2" s="118" t="s">
        <v>778</v>
      </c>
      <c r="GG2" s="118" t="s">
        <v>779</v>
      </c>
      <c r="GH2" s="118" t="s">
        <v>780</v>
      </c>
      <c r="GI2" s="118" t="s">
        <v>1288</v>
      </c>
      <c r="GJ2" s="119" t="s">
        <v>781</v>
      </c>
      <c r="GL2" s="117" t="s">
        <v>777</v>
      </c>
      <c r="GM2" s="118" t="s">
        <v>200</v>
      </c>
      <c r="GN2" s="118" t="s">
        <v>778</v>
      </c>
      <c r="GO2" s="118" t="s">
        <v>779</v>
      </c>
      <c r="GP2" s="118" t="s">
        <v>780</v>
      </c>
      <c r="GQ2" s="118" t="s">
        <v>1288</v>
      </c>
      <c r="GR2" s="119" t="s">
        <v>781</v>
      </c>
      <c r="GT2" s="117" t="s">
        <v>777</v>
      </c>
      <c r="GU2" s="118" t="s">
        <v>200</v>
      </c>
      <c r="GV2" s="118" t="s">
        <v>778</v>
      </c>
      <c r="GW2" s="118" t="s">
        <v>779</v>
      </c>
      <c r="GX2" s="118" t="s">
        <v>780</v>
      </c>
      <c r="GY2" s="118" t="s">
        <v>1288</v>
      </c>
      <c r="GZ2" s="119" t="s">
        <v>781</v>
      </c>
      <c r="HB2" s="117" t="s">
        <v>777</v>
      </c>
      <c r="HC2" s="118" t="s">
        <v>200</v>
      </c>
      <c r="HD2" s="118" t="s">
        <v>778</v>
      </c>
      <c r="HE2" s="118" t="s">
        <v>779</v>
      </c>
      <c r="HF2" s="118" t="s">
        <v>780</v>
      </c>
      <c r="HG2" s="118" t="s">
        <v>1288</v>
      </c>
      <c r="HH2" s="119" t="s">
        <v>781</v>
      </c>
      <c r="HJ2" s="117" t="s">
        <v>777</v>
      </c>
      <c r="HK2" s="118" t="s">
        <v>200</v>
      </c>
      <c r="HL2" s="118" t="s">
        <v>778</v>
      </c>
      <c r="HM2" s="118" t="s">
        <v>779</v>
      </c>
      <c r="HN2" s="118" t="s">
        <v>780</v>
      </c>
      <c r="HO2" s="118" t="s">
        <v>1288</v>
      </c>
      <c r="HP2" s="119" t="s">
        <v>781</v>
      </c>
    </row>
    <row r="3" spans="1:224" ht="15" x14ac:dyDescent="0.25">
      <c r="B3" s="122" t="s">
        <v>1431</v>
      </c>
      <c r="D3" s="124"/>
      <c r="F3" s="125" t="b">
        <v>1</v>
      </c>
      <c r="G3" s="125"/>
      <c r="H3" s="300"/>
      <c r="I3" s="121"/>
      <c r="J3" s="122" t="s">
        <v>1431</v>
      </c>
      <c r="K3" s="138"/>
      <c r="L3" s="124"/>
      <c r="N3" s="125" t="b">
        <v>1</v>
      </c>
      <c r="O3" s="125"/>
      <c r="P3" s="300"/>
      <c r="R3" s="122" t="s">
        <v>1431</v>
      </c>
      <c r="S3" s="123"/>
      <c r="T3" s="124"/>
      <c r="V3" s="125" t="b">
        <v>1</v>
      </c>
      <c r="W3" s="125" t="s">
        <v>111</v>
      </c>
      <c r="X3" s="300"/>
      <c r="Z3" s="122" t="s">
        <v>1431</v>
      </c>
      <c r="AA3" s="123"/>
      <c r="AB3" s="124"/>
      <c r="AD3" s="125" t="b">
        <v>1</v>
      </c>
      <c r="AE3" s="125" t="s">
        <v>111</v>
      </c>
      <c r="AF3" s="300"/>
      <c r="AH3" s="122" t="s">
        <v>1456</v>
      </c>
      <c r="AI3" s="126"/>
      <c r="AJ3" s="127"/>
      <c r="AK3" s="128"/>
      <c r="AL3" s="125" t="b">
        <v>1</v>
      </c>
      <c r="AN3" s="300"/>
      <c r="AP3" s="122" t="s">
        <v>569</v>
      </c>
      <c r="AQ3" s="123"/>
      <c r="AR3" s="124"/>
      <c r="AV3" s="300"/>
      <c r="AX3" s="122" t="s">
        <v>1431</v>
      </c>
      <c r="AY3" s="123"/>
      <c r="AZ3" s="124"/>
      <c r="BB3" s="125" t="b">
        <v>1</v>
      </c>
      <c r="BC3" s="125" t="s">
        <v>111</v>
      </c>
      <c r="BD3" s="300"/>
      <c r="BF3" s="122" t="s">
        <v>1431</v>
      </c>
      <c r="BG3" s="123"/>
      <c r="BH3" s="124"/>
      <c r="BJ3" s="125" t="b">
        <v>1</v>
      </c>
      <c r="BK3" s="125" t="s">
        <v>111</v>
      </c>
      <c r="BL3" s="300"/>
      <c r="BN3" s="139" t="s">
        <v>1289</v>
      </c>
      <c r="BT3" s="300"/>
      <c r="BV3" s="139" t="s">
        <v>1289</v>
      </c>
      <c r="CB3" s="300"/>
      <c r="CD3" s="139" t="s">
        <v>1289</v>
      </c>
      <c r="CJ3" s="300"/>
      <c r="CL3" s="139" t="s">
        <v>1289</v>
      </c>
      <c r="CR3" s="300"/>
      <c r="CT3" s="139" t="s">
        <v>1289</v>
      </c>
      <c r="CZ3" s="300"/>
      <c r="DB3" s="139" t="s">
        <v>1289</v>
      </c>
      <c r="DH3" s="300"/>
      <c r="DJ3" s="122" t="s">
        <v>1495</v>
      </c>
      <c r="DK3" s="123"/>
      <c r="DL3" s="124"/>
      <c r="DN3" s="125" t="b">
        <v>1</v>
      </c>
      <c r="DO3" s="132" t="s">
        <v>154</v>
      </c>
      <c r="DP3" s="300"/>
      <c r="DR3" s="122" t="s">
        <v>1495</v>
      </c>
      <c r="DS3" s="123"/>
      <c r="DT3" s="124"/>
      <c r="DV3" s="125" t="b">
        <v>1</v>
      </c>
      <c r="DW3" s="132" t="s">
        <v>154</v>
      </c>
      <c r="DX3" s="300"/>
      <c r="DZ3" s="122" t="s">
        <v>1495</v>
      </c>
      <c r="EA3" s="123"/>
      <c r="EB3" s="124"/>
      <c r="ED3" s="125" t="b">
        <v>1</v>
      </c>
      <c r="EE3" s="132" t="s">
        <v>154</v>
      </c>
      <c r="EF3" s="300"/>
      <c r="EH3" s="122" t="s">
        <v>1495</v>
      </c>
      <c r="EI3" s="123"/>
      <c r="EJ3" s="124"/>
      <c r="EL3" s="125" t="b">
        <v>1</v>
      </c>
      <c r="EM3" s="132" t="s">
        <v>154</v>
      </c>
      <c r="EN3" s="300"/>
      <c r="EP3" s="122" t="s">
        <v>154</v>
      </c>
      <c r="EQ3" s="138"/>
      <c r="ER3" s="124"/>
      <c r="ET3" s="125" t="b">
        <v>1</v>
      </c>
      <c r="EU3" s="132" t="s">
        <v>154</v>
      </c>
      <c r="EV3" s="300"/>
      <c r="EX3" s="122" t="s">
        <v>1495</v>
      </c>
      <c r="EY3" s="123"/>
      <c r="EZ3" s="124"/>
      <c r="FB3" s="125" t="b">
        <v>1</v>
      </c>
      <c r="FC3" s="132" t="s">
        <v>154</v>
      </c>
      <c r="FD3" s="300"/>
      <c r="FF3" s="122" t="s">
        <v>1495</v>
      </c>
      <c r="FG3" s="123"/>
      <c r="FH3" s="124"/>
      <c r="FJ3" s="125" t="b">
        <v>1</v>
      </c>
      <c r="FK3" s="132" t="s">
        <v>154</v>
      </c>
      <c r="FL3" s="300"/>
      <c r="FN3" s="122" t="s">
        <v>1495</v>
      </c>
      <c r="FO3" s="123"/>
      <c r="FP3" s="124"/>
      <c r="FR3" s="125" t="b">
        <v>1</v>
      </c>
      <c r="FS3" s="132" t="s">
        <v>154</v>
      </c>
      <c r="FT3" s="300"/>
      <c r="FV3" s="122" t="s">
        <v>1495</v>
      </c>
      <c r="FW3" s="123"/>
      <c r="FX3" s="124"/>
      <c r="FZ3" s="125" t="b">
        <v>1</v>
      </c>
      <c r="GA3" s="132" t="s">
        <v>154</v>
      </c>
      <c r="GB3" s="300"/>
      <c r="GD3" s="122" t="s">
        <v>1495</v>
      </c>
      <c r="GE3" s="123"/>
      <c r="GF3" s="124"/>
      <c r="GH3" s="125" t="b">
        <v>1</v>
      </c>
      <c r="GI3" s="132" t="s">
        <v>154</v>
      </c>
      <c r="GJ3" s="300"/>
      <c r="GL3" s="122" t="s">
        <v>1495</v>
      </c>
      <c r="GM3" s="123"/>
      <c r="GN3" s="124"/>
      <c r="GP3" s="125" t="b">
        <v>1</v>
      </c>
      <c r="GQ3" s="132" t="s">
        <v>154</v>
      </c>
      <c r="GR3" s="300"/>
      <c r="GT3" s="122" t="s">
        <v>1495</v>
      </c>
      <c r="GU3" s="123"/>
      <c r="GV3" s="124"/>
      <c r="GX3" s="125" t="b">
        <v>1</v>
      </c>
      <c r="GY3" s="132" t="s">
        <v>154</v>
      </c>
      <c r="GZ3" s="300"/>
      <c r="HB3" s="122" t="s">
        <v>1495</v>
      </c>
      <c r="HC3" s="123"/>
      <c r="HD3" s="124"/>
      <c r="HF3" s="125" t="b">
        <v>1</v>
      </c>
      <c r="HG3" s="132" t="s">
        <v>154</v>
      </c>
      <c r="HH3" s="300"/>
      <c r="HJ3" s="122" t="s">
        <v>1431</v>
      </c>
      <c r="HK3" s="138"/>
      <c r="HL3" s="124"/>
      <c r="HN3" s="125" t="b">
        <v>1</v>
      </c>
      <c r="HO3" s="132"/>
      <c r="HP3" s="300"/>
    </row>
    <row r="4" spans="1:224" ht="15" x14ac:dyDescent="0.25">
      <c r="B4" s="129" t="s">
        <v>1747</v>
      </c>
      <c r="F4" s="125"/>
      <c r="G4" s="125"/>
      <c r="H4" s="201"/>
      <c r="I4" s="121"/>
      <c r="J4" s="122" t="s">
        <v>35</v>
      </c>
      <c r="K4" s="138" t="s">
        <v>116</v>
      </c>
      <c r="L4" s="140">
        <v>29221</v>
      </c>
      <c r="M4" s="131">
        <f ca="1">TODAY()</f>
        <v>42886</v>
      </c>
      <c r="N4" s="125" t="b">
        <v>0</v>
      </c>
      <c r="O4" s="125"/>
      <c r="P4" s="201"/>
      <c r="R4" s="129" t="s">
        <v>1447</v>
      </c>
      <c r="S4" s="123"/>
      <c r="T4" s="123"/>
      <c r="V4" s="125"/>
      <c r="W4" s="125"/>
      <c r="X4" s="201"/>
      <c r="Z4" s="122" t="s">
        <v>1452</v>
      </c>
      <c r="AA4" s="123" t="s">
        <v>116</v>
      </c>
      <c r="AB4" s="140">
        <v>29221</v>
      </c>
      <c r="AC4" s="131">
        <f ca="1">TODAY()</f>
        <v>42886</v>
      </c>
      <c r="AD4" s="125"/>
      <c r="AE4" s="125"/>
      <c r="AF4" s="201"/>
      <c r="AH4" s="129" t="s">
        <v>1434</v>
      </c>
      <c r="AI4" s="123" t="s">
        <v>116</v>
      </c>
      <c r="AJ4" s="130">
        <v>29221</v>
      </c>
      <c r="AK4" s="131">
        <f ca="1">TODAY()</f>
        <v>42886</v>
      </c>
      <c r="AL4" s="125" t="b">
        <v>1</v>
      </c>
      <c r="AN4" s="201"/>
      <c r="AP4" s="129" t="s">
        <v>1749</v>
      </c>
      <c r="AQ4" s="123"/>
      <c r="AR4" s="123"/>
      <c r="AV4" s="201"/>
      <c r="AX4" s="132" t="s">
        <v>1436</v>
      </c>
      <c r="BC4" s="125" t="s">
        <v>1047</v>
      </c>
      <c r="BD4" s="201"/>
      <c r="BF4" s="149" t="s">
        <v>1436</v>
      </c>
      <c r="BG4" s="123"/>
      <c r="BH4" s="130"/>
      <c r="BI4" s="131"/>
      <c r="BK4" s="125" t="s">
        <v>1047</v>
      </c>
      <c r="BL4" s="201"/>
      <c r="BN4" s="122" t="s">
        <v>1495</v>
      </c>
      <c r="BO4" s="123"/>
      <c r="BP4" s="124"/>
      <c r="BR4" s="125" t="b">
        <v>1</v>
      </c>
      <c r="BS4" s="299" t="s">
        <v>154</v>
      </c>
      <c r="BT4" s="201"/>
      <c r="BV4" s="122" t="s">
        <v>1495</v>
      </c>
      <c r="BW4" s="123"/>
      <c r="BX4" s="124"/>
      <c r="BZ4" s="125" t="b">
        <v>1</v>
      </c>
      <c r="CA4" s="299" t="s">
        <v>154</v>
      </c>
      <c r="CB4" s="201"/>
      <c r="CD4" s="122" t="s">
        <v>1495</v>
      </c>
      <c r="CE4" s="123"/>
      <c r="CF4" s="124"/>
      <c r="CH4" s="125" t="b">
        <v>1</v>
      </c>
      <c r="CI4" s="299" t="s">
        <v>154</v>
      </c>
      <c r="CJ4" s="201"/>
      <c r="CL4" s="122" t="s">
        <v>1495</v>
      </c>
      <c r="CM4" s="123"/>
      <c r="CN4" s="124"/>
      <c r="CP4" s="125" t="b">
        <v>1</v>
      </c>
      <c r="CQ4" s="299" t="s">
        <v>154</v>
      </c>
      <c r="CR4" s="201"/>
      <c r="CT4" s="122" t="s">
        <v>1495</v>
      </c>
      <c r="CU4" s="123"/>
      <c r="CV4" s="124"/>
      <c r="CX4" s="125" t="b">
        <v>1</v>
      </c>
      <c r="CY4" s="299" t="s">
        <v>154</v>
      </c>
      <c r="CZ4" s="201"/>
      <c r="DB4" s="122" t="s">
        <v>1495</v>
      </c>
      <c r="DC4" s="123"/>
      <c r="DD4" s="124"/>
      <c r="DF4" s="125" t="b">
        <v>1</v>
      </c>
      <c r="DG4" s="299" t="s">
        <v>154</v>
      </c>
      <c r="DH4" s="201"/>
      <c r="DJ4" s="129" t="s">
        <v>35</v>
      </c>
      <c r="DK4" s="123" t="s">
        <v>116</v>
      </c>
      <c r="DL4" s="130">
        <v>29221</v>
      </c>
      <c r="DM4" s="131">
        <f ca="1">TODAY()</f>
        <v>42886</v>
      </c>
      <c r="DN4" s="125" t="b">
        <v>0</v>
      </c>
      <c r="DP4" s="201"/>
      <c r="DR4" s="129" t="s">
        <v>35</v>
      </c>
      <c r="DS4" s="123" t="s">
        <v>116</v>
      </c>
      <c r="DT4" s="130">
        <v>29221</v>
      </c>
      <c r="DU4" s="131">
        <f ca="1">TODAY()</f>
        <v>42886</v>
      </c>
      <c r="DV4" s="125" t="b">
        <v>0</v>
      </c>
      <c r="DX4" s="201"/>
      <c r="DZ4" s="129" t="s">
        <v>35</v>
      </c>
      <c r="EA4" s="138" t="s">
        <v>116</v>
      </c>
      <c r="EB4" s="130">
        <v>29221</v>
      </c>
      <c r="EC4" s="131">
        <f ca="1">TODAY()</f>
        <v>42886</v>
      </c>
      <c r="ED4" s="125" t="b">
        <v>0</v>
      </c>
      <c r="EF4" s="201"/>
      <c r="EH4" s="129" t="s">
        <v>35</v>
      </c>
      <c r="EI4" s="123" t="s">
        <v>116</v>
      </c>
      <c r="EJ4" s="130">
        <v>29221</v>
      </c>
      <c r="EK4" s="131">
        <f ca="1">TODAY()</f>
        <v>42886</v>
      </c>
      <c r="EL4" s="125" t="b">
        <v>0</v>
      </c>
      <c r="EN4" s="201"/>
      <c r="EP4" s="149" t="s">
        <v>35</v>
      </c>
      <c r="EQ4" s="138" t="s">
        <v>116</v>
      </c>
      <c r="ER4" s="140">
        <v>29221</v>
      </c>
      <c r="ES4" s="131">
        <f ca="1">TODAY()</f>
        <v>42886</v>
      </c>
      <c r="ET4" s="125" t="b">
        <v>0</v>
      </c>
      <c r="EV4" s="201"/>
      <c r="EX4" s="129" t="s">
        <v>35</v>
      </c>
      <c r="EY4" s="123" t="s">
        <v>116</v>
      </c>
      <c r="EZ4" s="130">
        <v>29221</v>
      </c>
      <c r="FA4" s="131">
        <f ca="1">TODAY()</f>
        <v>42886</v>
      </c>
      <c r="FB4" s="125" t="b">
        <v>0</v>
      </c>
      <c r="FD4" s="201"/>
      <c r="FF4" s="129" t="s">
        <v>35</v>
      </c>
      <c r="FG4" s="123" t="s">
        <v>116</v>
      </c>
      <c r="FH4" s="130">
        <v>29221</v>
      </c>
      <c r="FI4" s="131">
        <f ca="1">TODAY()</f>
        <v>42886</v>
      </c>
      <c r="FJ4" s="125" t="b">
        <v>0</v>
      </c>
      <c r="FL4" s="201"/>
      <c r="FN4" s="129" t="s">
        <v>1652</v>
      </c>
      <c r="FO4" s="123" t="s">
        <v>116</v>
      </c>
      <c r="FP4" s="130">
        <v>29221</v>
      </c>
      <c r="FQ4" s="131">
        <f ca="1">TODAY()</f>
        <v>42886</v>
      </c>
      <c r="FR4" s="125" t="b">
        <v>0</v>
      </c>
      <c r="FT4" s="201"/>
      <c r="FV4" s="129" t="s">
        <v>35</v>
      </c>
      <c r="FW4" s="123" t="s">
        <v>116</v>
      </c>
      <c r="FX4" s="130">
        <v>29221</v>
      </c>
      <c r="FY4" s="131">
        <f ca="1">TODAY()</f>
        <v>42886</v>
      </c>
      <c r="FZ4" s="125" t="b">
        <v>0</v>
      </c>
      <c r="GB4" s="201"/>
      <c r="GD4" s="129" t="s">
        <v>35</v>
      </c>
      <c r="GE4" s="123" t="s">
        <v>116</v>
      </c>
      <c r="GF4" s="130">
        <v>29221</v>
      </c>
      <c r="GG4" s="131">
        <f ca="1">TODAY()</f>
        <v>42886</v>
      </c>
      <c r="GH4" s="125" t="b">
        <v>0</v>
      </c>
      <c r="GJ4" s="201"/>
      <c r="GL4" s="129" t="s">
        <v>35</v>
      </c>
      <c r="GM4" s="123" t="s">
        <v>116</v>
      </c>
      <c r="GN4" s="130">
        <v>29221</v>
      </c>
      <c r="GO4" s="131">
        <f ca="1">TODAY()</f>
        <v>42886</v>
      </c>
      <c r="GP4" s="125" t="b">
        <v>0</v>
      </c>
      <c r="GR4" s="201"/>
      <c r="GT4" s="129" t="s">
        <v>35</v>
      </c>
      <c r="GU4" s="123" t="s">
        <v>116</v>
      </c>
      <c r="GV4" s="130">
        <v>29221</v>
      </c>
      <c r="GW4" s="131">
        <f ca="1">TODAY()</f>
        <v>42886</v>
      </c>
      <c r="GX4" s="125" t="b">
        <v>0</v>
      </c>
      <c r="GZ4" s="201"/>
      <c r="HB4" s="149" t="s">
        <v>1652</v>
      </c>
      <c r="HC4" s="123" t="s">
        <v>116</v>
      </c>
      <c r="HD4" s="130">
        <v>29221</v>
      </c>
      <c r="HE4" s="131">
        <f ca="1">TODAY()</f>
        <v>42886</v>
      </c>
      <c r="HF4" s="125" t="b">
        <v>0</v>
      </c>
      <c r="HH4" s="201"/>
      <c r="HJ4" s="149" t="s">
        <v>35</v>
      </c>
      <c r="HK4" s="138" t="s">
        <v>116</v>
      </c>
      <c r="HL4" s="140">
        <v>29221</v>
      </c>
      <c r="HM4" s="131">
        <f ca="1">TODAY()</f>
        <v>42886</v>
      </c>
      <c r="HN4" s="125" t="b">
        <v>0</v>
      </c>
      <c r="HO4" s="125"/>
      <c r="HP4" s="201"/>
    </row>
    <row r="5" spans="1:224" ht="15" x14ac:dyDescent="0.25">
      <c r="B5" s="132" t="s">
        <v>1433</v>
      </c>
      <c r="F5" s="125"/>
      <c r="G5" s="125" t="s">
        <v>125</v>
      </c>
      <c r="H5" s="201"/>
      <c r="I5" s="121"/>
      <c r="J5" s="149" t="s">
        <v>48</v>
      </c>
      <c r="K5" s="138"/>
      <c r="L5" s="138"/>
      <c r="N5" s="125"/>
      <c r="O5" s="125"/>
      <c r="P5" s="201"/>
      <c r="R5" s="132" t="s">
        <v>1446</v>
      </c>
      <c r="S5" s="123"/>
      <c r="T5" s="123"/>
      <c r="V5" s="125"/>
      <c r="W5" s="125"/>
      <c r="X5" s="201"/>
      <c r="Z5" s="122" t="s">
        <v>1453</v>
      </c>
      <c r="AA5" s="123"/>
      <c r="AB5" s="123"/>
      <c r="AD5" s="125"/>
      <c r="AE5" s="125" t="s">
        <v>899</v>
      </c>
      <c r="AF5" s="201"/>
      <c r="AH5" s="132" t="s">
        <v>1457</v>
      </c>
      <c r="AI5" s="123"/>
      <c r="AJ5" s="123"/>
      <c r="AL5" s="125" t="b">
        <v>1</v>
      </c>
      <c r="AN5" s="201"/>
      <c r="AP5" s="132" t="s">
        <v>1750</v>
      </c>
      <c r="AQ5" s="123"/>
      <c r="AR5" s="123"/>
      <c r="AV5" s="201"/>
      <c r="AX5" s="129" t="s">
        <v>35</v>
      </c>
      <c r="AY5" s="123" t="s">
        <v>116</v>
      </c>
      <c r="AZ5" s="130">
        <v>10228</v>
      </c>
      <c r="BA5" s="131">
        <f ca="1">TODAY()</f>
        <v>42886</v>
      </c>
      <c r="BB5" s="125" t="b">
        <v>0</v>
      </c>
      <c r="BD5" s="201"/>
      <c r="BF5" s="149" t="s">
        <v>1477</v>
      </c>
      <c r="BG5" s="138" t="s">
        <v>116</v>
      </c>
      <c r="BH5" s="140">
        <v>10228</v>
      </c>
      <c r="BI5" s="131">
        <f ca="1">TODAY()</f>
        <v>42886</v>
      </c>
      <c r="BJ5" s="125" t="b">
        <v>0</v>
      </c>
      <c r="BL5" s="201"/>
      <c r="BN5" s="129" t="s">
        <v>35</v>
      </c>
      <c r="BO5" s="123" t="s">
        <v>116</v>
      </c>
      <c r="BP5" s="130">
        <v>29221</v>
      </c>
      <c r="BQ5" s="131">
        <f ca="1">TODAY()</f>
        <v>42886</v>
      </c>
      <c r="BR5" s="125" t="b">
        <v>0</v>
      </c>
      <c r="BT5" s="201"/>
      <c r="BV5" s="129" t="s">
        <v>35</v>
      </c>
      <c r="BW5" s="123" t="s">
        <v>116</v>
      </c>
      <c r="BX5" s="130">
        <v>29221</v>
      </c>
      <c r="BY5" s="131">
        <f ca="1">TODAY()</f>
        <v>42886</v>
      </c>
      <c r="BZ5" s="125" t="b">
        <v>0</v>
      </c>
      <c r="CB5" s="201"/>
      <c r="CD5" s="129" t="s">
        <v>35</v>
      </c>
      <c r="CE5" s="123" t="s">
        <v>116</v>
      </c>
      <c r="CF5" s="130">
        <v>29221</v>
      </c>
      <c r="CG5" s="131">
        <f ca="1">TODAY()</f>
        <v>42886</v>
      </c>
      <c r="CH5" s="125" t="b">
        <v>0</v>
      </c>
      <c r="CJ5" s="201"/>
      <c r="CL5" s="129" t="s">
        <v>35</v>
      </c>
      <c r="CM5" s="123" t="s">
        <v>116</v>
      </c>
      <c r="CN5" s="130">
        <v>29221</v>
      </c>
      <c r="CO5" s="131">
        <f ca="1">TODAY()</f>
        <v>42886</v>
      </c>
      <c r="CP5" s="125" t="b">
        <v>0</v>
      </c>
      <c r="CR5" s="201"/>
      <c r="CT5" s="129" t="s">
        <v>35</v>
      </c>
      <c r="CU5" s="123" t="s">
        <v>116</v>
      </c>
      <c r="CV5" s="130">
        <v>29221</v>
      </c>
      <c r="CW5" s="131">
        <f ca="1">TODAY()</f>
        <v>42886</v>
      </c>
      <c r="CX5" s="125" t="b">
        <v>0</v>
      </c>
      <c r="CZ5" s="201"/>
      <c r="DB5" s="129" t="s">
        <v>1434</v>
      </c>
      <c r="DC5" s="123" t="s">
        <v>116</v>
      </c>
      <c r="DD5" s="130">
        <v>29221</v>
      </c>
      <c r="DE5" s="131">
        <f ca="1">TODAY()</f>
        <v>42886</v>
      </c>
      <c r="DF5" s="125" t="b">
        <v>0</v>
      </c>
      <c r="DH5" s="201"/>
      <c r="DJ5" s="132" t="s">
        <v>1456</v>
      </c>
      <c r="DK5" s="123"/>
      <c r="DL5" s="123"/>
      <c r="DO5" s="125" t="s">
        <v>152</v>
      </c>
      <c r="DP5" s="201"/>
      <c r="DR5" s="132" t="s">
        <v>1456</v>
      </c>
      <c r="DS5" s="123"/>
      <c r="DT5" s="123"/>
      <c r="DW5" s="125" t="s">
        <v>152</v>
      </c>
      <c r="DX5" s="201"/>
      <c r="DZ5" s="132" t="s">
        <v>1456</v>
      </c>
      <c r="EA5" s="123"/>
      <c r="EB5" s="123"/>
      <c r="EE5" s="125" t="s">
        <v>152</v>
      </c>
      <c r="EF5" s="201"/>
      <c r="EH5" s="132" t="s">
        <v>1456</v>
      </c>
      <c r="EI5" s="123"/>
      <c r="EJ5" s="123"/>
      <c r="EM5" s="125" t="s">
        <v>152</v>
      </c>
      <c r="EN5" s="201"/>
      <c r="EP5" s="132" t="s">
        <v>152</v>
      </c>
      <c r="EQ5" s="138"/>
      <c r="ER5" s="133"/>
      <c r="ES5" s="134"/>
      <c r="EU5" s="125" t="s">
        <v>152</v>
      </c>
      <c r="EV5" s="201"/>
      <c r="EX5" s="132" t="s">
        <v>198</v>
      </c>
      <c r="EY5" s="123"/>
      <c r="EZ5" s="133">
        <v>0</v>
      </c>
      <c r="FA5" s="134">
        <v>0.99998842592592585</v>
      </c>
      <c r="FB5" s="125" t="b">
        <v>0</v>
      </c>
      <c r="FD5" s="201"/>
      <c r="FF5" s="132" t="s">
        <v>1456</v>
      </c>
      <c r="FG5" s="123"/>
      <c r="FH5" s="123"/>
      <c r="FK5" s="125" t="s">
        <v>152</v>
      </c>
      <c r="FL5" s="201"/>
      <c r="FN5" s="132" t="s">
        <v>1456</v>
      </c>
      <c r="FO5" s="123"/>
      <c r="FP5" s="123"/>
      <c r="FS5" s="125" t="s">
        <v>152</v>
      </c>
      <c r="FT5" s="201"/>
      <c r="FV5" s="132" t="s">
        <v>1456</v>
      </c>
      <c r="FW5" s="123"/>
      <c r="FX5" s="123"/>
      <c r="GA5" s="125" t="s">
        <v>152</v>
      </c>
      <c r="GB5" s="201"/>
      <c r="GD5" s="132" t="s">
        <v>1456</v>
      </c>
      <c r="GE5" s="123"/>
      <c r="GF5" s="123"/>
      <c r="GI5" s="125" t="s">
        <v>152</v>
      </c>
      <c r="GJ5" s="201"/>
      <c r="GL5" s="132" t="s">
        <v>1456</v>
      </c>
      <c r="GM5" s="123"/>
      <c r="GN5" s="123"/>
      <c r="GQ5" s="125" t="s">
        <v>152</v>
      </c>
      <c r="GR5" s="201"/>
      <c r="GT5" s="132" t="s">
        <v>1456</v>
      </c>
      <c r="GU5" s="123"/>
      <c r="GV5" s="123"/>
      <c r="GY5" s="125" t="s">
        <v>152</v>
      </c>
      <c r="GZ5" s="201"/>
      <c r="HB5" s="132" t="s">
        <v>1456</v>
      </c>
      <c r="HC5" s="123"/>
      <c r="HD5" s="123"/>
      <c r="HG5" s="125" t="s">
        <v>152</v>
      </c>
      <c r="HH5" s="201"/>
      <c r="HJ5" s="132" t="s">
        <v>1745</v>
      </c>
      <c r="HK5" s="138"/>
      <c r="HL5" s="138"/>
      <c r="HN5" s="125"/>
      <c r="HO5" s="125"/>
      <c r="HP5" s="201"/>
    </row>
    <row r="6" spans="1:224" ht="15" x14ac:dyDescent="0.25">
      <c r="B6" s="129" t="s">
        <v>564</v>
      </c>
      <c r="F6" s="125"/>
      <c r="G6" s="125" t="s">
        <v>529</v>
      </c>
      <c r="H6" s="201"/>
      <c r="I6" s="121"/>
      <c r="J6" s="122" t="s">
        <v>1436</v>
      </c>
      <c r="K6" s="138"/>
      <c r="L6" s="138"/>
      <c r="N6" s="125" t="b">
        <v>1</v>
      </c>
      <c r="O6" s="125"/>
      <c r="P6" s="201"/>
      <c r="R6" s="129" t="s">
        <v>1445</v>
      </c>
      <c r="S6" s="123"/>
      <c r="T6" s="123"/>
      <c r="V6" s="125"/>
      <c r="W6" s="125"/>
      <c r="X6" s="201"/>
      <c r="Z6" s="122" t="s">
        <v>895</v>
      </c>
      <c r="AF6" s="201"/>
      <c r="AH6" s="129" t="s">
        <v>1458</v>
      </c>
      <c r="AI6" s="123"/>
      <c r="AJ6" s="123"/>
      <c r="AL6" s="125" t="b">
        <v>1</v>
      </c>
      <c r="AM6" s="125" t="s">
        <v>128</v>
      </c>
      <c r="AN6" s="201"/>
      <c r="AP6" s="129" t="s">
        <v>1751</v>
      </c>
      <c r="AQ6" s="123"/>
      <c r="AR6" s="123"/>
      <c r="AV6" s="201"/>
      <c r="AX6" s="132" t="s">
        <v>1470</v>
      </c>
      <c r="AY6" s="123"/>
      <c r="AZ6" s="123"/>
      <c r="BD6" s="201"/>
      <c r="BF6" s="132" t="s">
        <v>1470</v>
      </c>
      <c r="BG6" s="138"/>
      <c r="BH6" s="138"/>
      <c r="BL6" s="201"/>
      <c r="BN6" s="132" t="s">
        <v>1456</v>
      </c>
      <c r="BO6" s="123"/>
      <c r="BP6" s="123"/>
      <c r="BS6" s="125" t="s">
        <v>152</v>
      </c>
      <c r="BT6" s="201"/>
      <c r="BV6" s="132" t="s">
        <v>1456</v>
      </c>
      <c r="BW6" s="123"/>
      <c r="BX6" s="123"/>
      <c r="CA6" s="125" t="s">
        <v>152</v>
      </c>
      <c r="CB6" s="201"/>
      <c r="CD6" s="132" t="s">
        <v>1456</v>
      </c>
      <c r="CE6" s="123"/>
      <c r="CF6" s="123"/>
      <c r="CI6" s="125" t="s">
        <v>152</v>
      </c>
      <c r="CJ6" s="201"/>
      <c r="CL6" s="132" t="s">
        <v>1456</v>
      </c>
      <c r="CM6" s="123"/>
      <c r="CN6" s="123"/>
      <c r="CQ6" s="125" t="s">
        <v>152</v>
      </c>
      <c r="CR6" s="201"/>
      <c r="CT6" s="132" t="s">
        <v>1456</v>
      </c>
      <c r="CU6" s="123"/>
      <c r="CV6" s="123"/>
      <c r="CY6" s="125" t="s">
        <v>152</v>
      </c>
      <c r="CZ6" s="201"/>
      <c r="DB6" s="132" t="s">
        <v>1435</v>
      </c>
      <c r="DC6" s="123" t="s">
        <v>116</v>
      </c>
      <c r="DD6" s="130">
        <v>29221</v>
      </c>
      <c r="DE6" s="131">
        <f ca="1">TODAY()</f>
        <v>42886</v>
      </c>
      <c r="DF6" s="125" t="b">
        <v>0</v>
      </c>
      <c r="DH6" s="201"/>
      <c r="DJ6" s="129" t="s">
        <v>1530</v>
      </c>
      <c r="DK6" s="123" t="s">
        <v>46</v>
      </c>
      <c r="DL6" s="97">
        <v>0</v>
      </c>
      <c r="DM6" s="97">
        <v>200</v>
      </c>
      <c r="DN6" s="125" t="b">
        <v>0</v>
      </c>
      <c r="DP6" s="201"/>
      <c r="DR6" s="129" t="s">
        <v>1530</v>
      </c>
      <c r="DS6" s="123" t="s">
        <v>46</v>
      </c>
      <c r="DT6" s="97">
        <v>0</v>
      </c>
      <c r="DU6" s="97">
        <v>200</v>
      </c>
      <c r="DV6" s="125" t="b">
        <v>0</v>
      </c>
      <c r="DX6" s="201"/>
      <c r="DZ6" s="129" t="s">
        <v>1530</v>
      </c>
      <c r="EA6" s="123" t="s">
        <v>46</v>
      </c>
      <c r="EB6" s="97">
        <v>0</v>
      </c>
      <c r="EC6" s="97">
        <v>200</v>
      </c>
      <c r="ED6" s="125" t="b">
        <v>0</v>
      </c>
      <c r="EF6" s="201"/>
      <c r="EH6" s="129" t="s">
        <v>1611</v>
      </c>
      <c r="EI6" s="123"/>
      <c r="EJ6" s="123"/>
      <c r="EM6" s="125" t="s">
        <v>505</v>
      </c>
      <c r="EN6" s="201"/>
      <c r="EP6" s="149" t="s">
        <v>2252</v>
      </c>
      <c r="EQ6" s="138"/>
      <c r="ER6" s="138"/>
      <c r="EU6" s="125" t="s">
        <v>2259</v>
      </c>
      <c r="EV6" s="201"/>
      <c r="EX6" s="129" t="s">
        <v>1456</v>
      </c>
      <c r="EY6" s="123"/>
      <c r="EZ6" s="123"/>
      <c r="FC6" s="125" t="s">
        <v>152</v>
      </c>
      <c r="FD6" s="201"/>
      <c r="FF6" s="129" t="s">
        <v>1518</v>
      </c>
      <c r="FG6" s="123"/>
      <c r="FH6" s="123"/>
      <c r="FK6" s="125" t="s">
        <v>76</v>
      </c>
      <c r="FL6" s="201"/>
      <c r="FN6" s="129" t="s">
        <v>1518</v>
      </c>
      <c r="FO6" s="123"/>
      <c r="FP6" s="123"/>
      <c r="FS6" s="125" t="s">
        <v>76</v>
      </c>
      <c r="FT6" s="201"/>
      <c r="FV6" s="129" t="s">
        <v>1804</v>
      </c>
      <c r="FW6" s="123"/>
      <c r="FX6" s="123"/>
      <c r="GA6" s="125" t="s">
        <v>76</v>
      </c>
      <c r="GB6" s="201"/>
      <c r="GD6" s="129" t="s">
        <v>1518</v>
      </c>
      <c r="GE6" s="123"/>
      <c r="GF6" s="123"/>
      <c r="GI6" s="125" t="s">
        <v>76</v>
      </c>
      <c r="GJ6" s="201"/>
      <c r="GL6" s="129" t="s">
        <v>1518</v>
      </c>
      <c r="GM6" s="123"/>
      <c r="GN6" s="123"/>
      <c r="GQ6" s="125" t="s">
        <v>76</v>
      </c>
      <c r="GR6" s="201"/>
      <c r="GT6" s="129" t="s">
        <v>1712</v>
      </c>
      <c r="GU6" s="123"/>
      <c r="GV6" s="123"/>
      <c r="GY6" s="125" t="s">
        <v>84</v>
      </c>
      <c r="GZ6" s="201"/>
      <c r="HB6" s="129" t="s">
        <v>1744</v>
      </c>
      <c r="HC6" s="123"/>
      <c r="HD6" s="123"/>
      <c r="HH6" s="201"/>
      <c r="HJ6" s="149" t="s">
        <v>1746</v>
      </c>
      <c r="HK6" s="138"/>
      <c r="HL6" s="138"/>
      <c r="HN6" s="125"/>
      <c r="HO6" s="125"/>
      <c r="HP6" s="201"/>
    </row>
    <row r="7" spans="1:224" ht="15" x14ac:dyDescent="0.25">
      <c r="B7" s="149" t="s">
        <v>1422</v>
      </c>
      <c r="F7" s="115" t="b">
        <v>1</v>
      </c>
      <c r="G7" s="125"/>
      <c r="H7" s="201"/>
      <c r="I7" s="121"/>
      <c r="J7" s="132" t="s">
        <v>789</v>
      </c>
      <c r="K7" s="138"/>
      <c r="L7" s="138"/>
      <c r="N7" s="125"/>
      <c r="O7" s="125"/>
      <c r="P7" s="201"/>
      <c r="R7" s="132" t="s">
        <v>144</v>
      </c>
      <c r="S7" s="123"/>
      <c r="T7" s="130"/>
      <c r="U7" s="131"/>
      <c r="V7" s="125"/>
      <c r="W7" s="125"/>
      <c r="X7" s="201"/>
      <c r="Z7" s="122" t="s">
        <v>1451</v>
      </c>
      <c r="AA7" s="123"/>
      <c r="AB7" s="123"/>
      <c r="AD7" s="125"/>
      <c r="AE7" s="125"/>
      <c r="AF7" s="201"/>
      <c r="AH7" s="132" t="s">
        <v>1459</v>
      </c>
      <c r="AI7" s="123"/>
      <c r="AJ7" s="130"/>
      <c r="AK7" s="131"/>
      <c r="AL7" s="125" t="b">
        <v>1</v>
      </c>
      <c r="AM7" s="125" t="s">
        <v>129</v>
      </c>
      <c r="AN7" s="201"/>
      <c r="AP7" s="132" t="s">
        <v>571</v>
      </c>
      <c r="AQ7" s="123"/>
      <c r="AR7" s="130"/>
      <c r="AS7" s="131"/>
      <c r="AV7" s="201"/>
      <c r="AX7" s="129" t="s">
        <v>1471</v>
      </c>
      <c r="AY7" s="123" t="s">
        <v>187</v>
      </c>
      <c r="AZ7" s="123">
        <v>-75</v>
      </c>
      <c r="BA7" s="115">
        <v>75</v>
      </c>
      <c r="BB7" s="125" t="b">
        <v>0</v>
      </c>
      <c r="BD7" s="201"/>
      <c r="BF7" s="149" t="s">
        <v>1478</v>
      </c>
      <c r="BG7" s="138" t="s">
        <v>1010</v>
      </c>
      <c r="BH7" s="138">
        <v>-40</v>
      </c>
      <c r="BI7" s="115">
        <v>47</v>
      </c>
      <c r="BJ7" s="125" t="b">
        <v>0</v>
      </c>
      <c r="BL7" s="201"/>
      <c r="BN7" s="129" t="s">
        <v>77</v>
      </c>
      <c r="BO7" s="123"/>
      <c r="BP7" s="123"/>
      <c r="BR7" s="125" t="b">
        <v>0</v>
      </c>
      <c r="BS7" s="125" t="s">
        <v>77</v>
      </c>
      <c r="BT7" s="201"/>
      <c r="BV7" s="129" t="s">
        <v>77</v>
      </c>
      <c r="BW7" s="123"/>
      <c r="BX7" s="123"/>
      <c r="CA7" s="125" t="s">
        <v>77</v>
      </c>
      <c r="CB7" s="201"/>
      <c r="CD7" s="129" t="s">
        <v>77</v>
      </c>
      <c r="CE7" s="123"/>
      <c r="CF7" s="123"/>
      <c r="CI7" s="125" t="s">
        <v>77</v>
      </c>
      <c r="CJ7" s="201"/>
      <c r="CL7" s="129" t="s">
        <v>77</v>
      </c>
      <c r="CM7" s="123"/>
      <c r="CN7" s="123"/>
      <c r="CQ7" s="125" t="s">
        <v>77</v>
      </c>
      <c r="CR7" s="201"/>
      <c r="CT7" s="129" t="s">
        <v>77</v>
      </c>
      <c r="CU7" s="123"/>
      <c r="CV7" s="123"/>
      <c r="CY7" s="125" t="s">
        <v>77</v>
      </c>
      <c r="CZ7" s="201"/>
      <c r="DB7" s="129" t="s">
        <v>1456</v>
      </c>
      <c r="DC7" s="123"/>
      <c r="DD7" s="123"/>
      <c r="DG7" s="125" t="s">
        <v>152</v>
      </c>
      <c r="DH7" s="201"/>
      <c r="DJ7" s="132" t="s">
        <v>1531</v>
      </c>
      <c r="DK7" s="123" t="s">
        <v>46</v>
      </c>
      <c r="DL7" s="97">
        <v>0</v>
      </c>
      <c r="DM7" s="97">
        <v>200</v>
      </c>
      <c r="DN7" s="125" t="b">
        <v>0</v>
      </c>
      <c r="DP7" s="201"/>
      <c r="DR7" s="132" t="s">
        <v>1531</v>
      </c>
      <c r="DS7" s="123" t="s">
        <v>46</v>
      </c>
      <c r="DT7" s="97">
        <v>0</v>
      </c>
      <c r="DU7" s="97">
        <v>200</v>
      </c>
      <c r="DV7" s="125" t="b">
        <v>0</v>
      </c>
      <c r="DX7" s="201"/>
      <c r="DZ7" s="132" t="s">
        <v>1531</v>
      </c>
      <c r="EA7" s="123" t="s">
        <v>46</v>
      </c>
      <c r="EB7" s="97">
        <v>0</v>
      </c>
      <c r="EC7" s="97">
        <v>200</v>
      </c>
      <c r="ED7" s="125" t="b">
        <v>0</v>
      </c>
      <c r="EF7" s="201"/>
      <c r="EH7" s="132" t="s">
        <v>77</v>
      </c>
      <c r="EI7" s="123"/>
      <c r="EJ7" s="130"/>
      <c r="EK7" s="131"/>
      <c r="EM7" s="125" t="s">
        <v>77</v>
      </c>
      <c r="EN7" s="201"/>
      <c r="EP7" s="132" t="s">
        <v>2253</v>
      </c>
      <c r="EQ7" s="138"/>
      <c r="ER7" s="140"/>
      <c r="ES7" s="131"/>
      <c r="EV7" s="201"/>
      <c r="EX7" s="132" t="s">
        <v>77</v>
      </c>
      <c r="EY7" s="123"/>
      <c r="EZ7" s="130"/>
      <c r="FA7" s="131"/>
      <c r="FC7" s="125" t="s">
        <v>77</v>
      </c>
      <c r="FD7" s="201"/>
      <c r="FF7" s="132" t="s">
        <v>77</v>
      </c>
      <c r="FG7" s="123"/>
      <c r="FH7" s="130"/>
      <c r="FI7" s="131"/>
      <c r="FK7" s="125" t="s">
        <v>77</v>
      </c>
      <c r="FL7" s="201"/>
      <c r="FN7" s="132" t="s">
        <v>77</v>
      </c>
      <c r="FO7" s="123"/>
      <c r="FP7" s="130"/>
      <c r="FQ7" s="131"/>
      <c r="FS7" s="125" t="s">
        <v>77</v>
      </c>
      <c r="FT7" s="201"/>
      <c r="FV7" s="132" t="s">
        <v>77</v>
      </c>
      <c r="FW7" s="123"/>
      <c r="FX7" s="130"/>
      <c r="FY7" s="131"/>
      <c r="GA7" s="125" t="s">
        <v>77</v>
      </c>
      <c r="GB7" s="201"/>
      <c r="GD7" s="132" t="s">
        <v>77</v>
      </c>
      <c r="GE7" s="123"/>
      <c r="GF7" s="130"/>
      <c r="GG7" s="131"/>
      <c r="GI7" s="125" t="s">
        <v>77</v>
      </c>
      <c r="GJ7" s="201"/>
      <c r="GL7" s="132" t="s">
        <v>77</v>
      </c>
      <c r="GM7" s="123"/>
      <c r="GN7" s="130"/>
      <c r="GO7" s="131"/>
      <c r="GQ7" s="125" t="s">
        <v>77</v>
      </c>
      <c r="GR7" s="201"/>
      <c r="GT7" s="132" t="s">
        <v>1518</v>
      </c>
      <c r="GU7" s="123"/>
      <c r="GV7" s="130"/>
      <c r="GW7" s="131"/>
      <c r="GY7" s="125" t="s">
        <v>76</v>
      </c>
      <c r="GZ7" s="201"/>
      <c r="HB7" s="132" t="s">
        <v>1742</v>
      </c>
      <c r="HC7" s="123"/>
      <c r="HD7" s="135">
        <v>0</v>
      </c>
      <c r="HE7" s="136">
        <v>10000000</v>
      </c>
      <c r="HF7" s="125" t="b">
        <v>0</v>
      </c>
      <c r="HH7" s="201"/>
      <c r="HJ7" s="132" t="s">
        <v>2238</v>
      </c>
      <c r="HK7" s="138"/>
      <c r="HL7" s="135"/>
      <c r="HM7" s="136"/>
      <c r="HN7" s="125"/>
      <c r="HO7" s="125"/>
      <c r="HP7" s="201"/>
    </row>
    <row r="8" spans="1:224" ht="15" x14ac:dyDescent="0.25">
      <c r="B8" s="149" t="s">
        <v>1884</v>
      </c>
      <c r="I8" s="121"/>
      <c r="J8" s="149" t="s">
        <v>378</v>
      </c>
      <c r="K8" s="138"/>
      <c r="L8" s="140"/>
      <c r="M8" s="131"/>
      <c r="N8" s="125"/>
      <c r="O8" s="125"/>
      <c r="P8" s="201"/>
      <c r="R8" s="132" t="s">
        <v>218</v>
      </c>
      <c r="S8" s="123"/>
      <c r="T8" s="130"/>
      <c r="U8" s="131"/>
      <c r="V8" s="125"/>
      <c r="W8" s="125"/>
      <c r="X8" s="201"/>
      <c r="Z8" s="122" t="s">
        <v>902</v>
      </c>
      <c r="AA8" s="123"/>
      <c r="AB8" s="123"/>
      <c r="AD8" s="125"/>
      <c r="AE8" s="125"/>
      <c r="AF8" s="201"/>
      <c r="AH8" s="132" t="s">
        <v>1460</v>
      </c>
      <c r="AI8" s="123"/>
      <c r="AJ8" s="130"/>
      <c r="AK8" s="131"/>
      <c r="AL8" s="125" t="b">
        <v>1</v>
      </c>
      <c r="AN8" s="201"/>
      <c r="AP8" s="132" t="s">
        <v>1752</v>
      </c>
      <c r="AQ8" s="123"/>
      <c r="AR8" s="130"/>
      <c r="AS8" s="131"/>
      <c r="AV8" s="201"/>
      <c r="AX8" s="132" t="s">
        <v>1472</v>
      </c>
      <c r="AY8" s="123" t="s">
        <v>187</v>
      </c>
      <c r="AZ8" s="135">
        <v>-180</v>
      </c>
      <c r="BA8" s="136">
        <v>180</v>
      </c>
      <c r="BB8" s="125" t="b">
        <v>0</v>
      </c>
      <c r="BD8" s="201"/>
      <c r="BF8" s="132" t="s">
        <v>1479</v>
      </c>
      <c r="BG8" s="138" t="s">
        <v>1010</v>
      </c>
      <c r="BH8" s="135">
        <v>-52</v>
      </c>
      <c r="BI8" s="136">
        <v>40</v>
      </c>
      <c r="BJ8" s="125" t="b">
        <v>0</v>
      </c>
      <c r="BL8" s="201"/>
      <c r="BN8" s="132" t="s">
        <v>1758</v>
      </c>
      <c r="BO8" s="123"/>
      <c r="BP8" s="130"/>
      <c r="BQ8" s="131"/>
      <c r="BS8" s="125" t="s">
        <v>468</v>
      </c>
      <c r="BT8" s="201"/>
      <c r="BV8" s="132" t="s">
        <v>151</v>
      </c>
      <c r="BW8" s="123"/>
      <c r="BX8" s="130"/>
      <c r="BY8" s="131"/>
      <c r="CB8" s="201"/>
      <c r="CD8" s="132" t="s">
        <v>1515</v>
      </c>
      <c r="CE8" s="123"/>
      <c r="CF8" s="130"/>
      <c r="CG8" s="131"/>
      <c r="CI8" s="125" t="s">
        <v>338</v>
      </c>
      <c r="CJ8" s="201"/>
      <c r="CL8" s="132" t="s">
        <v>1518</v>
      </c>
      <c r="CM8" s="123"/>
      <c r="CN8" s="130"/>
      <c r="CO8" s="131"/>
      <c r="CQ8" s="125" t="s">
        <v>76</v>
      </c>
      <c r="CR8" s="201"/>
      <c r="CT8" s="132" t="s">
        <v>1521</v>
      </c>
      <c r="CU8" s="123"/>
      <c r="CV8" s="130"/>
      <c r="CW8" s="131"/>
      <c r="CZ8" s="201"/>
      <c r="DB8" s="132" t="s">
        <v>1528</v>
      </c>
      <c r="DC8" s="123" t="s">
        <v>136</v>
      </c>
      <c r="DD8" s="135">
        <v>0</v>
      </c>
      <c r="DE8" s="136">
        <v>200</v>
      </c>
      <c r="DF8" s="125" t="b">
        <v>0</v>
      </c>
      <c r="DH8" s="201"/>
      <c r="DJ8" s="132" t="s">
        <v>1532</v>
      </c>
      <c r="DK8" s="123" t="s">
        <v>40</v>
      </c>
      <c r="DL8" s="97">
        <v>0</v>
      </c>
      <c r="DM8" s="97">
        <v>100</v>
      </c>
      <c r="DN8" s="125" t="b">
        <v>0</v>
      </c>
      <c r="DP8" s="201"/>
      <c r="DR8" s="132" t="s">
        <v>37</v>
      </c>
      <c r="DS8" s="123" t="s">
        <v>244</v>
      </c>
      <c r="DT8" s="97">
        <v>0</v>
      </c>
      <c r="DU8" s="97">
        <v>14</v>
      </c>
      <c r="DV8" s="125" t="b">
        <v>0</v>
      </c>
      <c r="DX8" s="201"/>
      <c r="DZ8" s="132" t="s">
        <v>1591</v>
      </c>
      <c r="EA8" s="97" t="s">
        <v>582</v>
      </c>
      <c r="EB8" s="97">
        <v>0</v>
      </c>
      <c r="EC8" s="131"/>
      <c r="ED8" s="125" t="b">
        <v>0</v>
      </c>
      <c r="EF8" s="201"/>
      <c r="EH8" s="132" t="s">
        <v>1612</v>
      </c>
      <c r="EI8" s="123" t="s">
        <v>40</v>
      </c>
      <c r="EJ8" s="135">
        <v>0</v>
      </c>
      <c r="EK8" s="136">
        <v>100</v>
      </c>
      <c r="EL8" s="125" t="b">
        <v>0</v>
      </c>
      <c r="EN8" s="201"/>
      <c r="EP8" s="132" t="s">
        <v>1985</v>
      </c>
      <c r="EQ8" s="138" t="s">
        <v>46</v>
      </c>
      <c r="ER8" s="140"/>
      <c r="ES8" s="131"/>
      <c r="EV8" s="201"/>
      <c r="EX8" s="132" t="s">
        <v>1613</v>
      </c>
      <c r="EY8" s="123"/>
      <c r="EZ8" s="130"/>
      <c r="FA8" s="131"/>
      <c r="FC8" s="125" t="s">
        <v>166</v>
      </c>
      <c r="FD8" s="201"/>
      <c r="FF8" s="132" t="s">
        <v>1624</v>
      </c>
      <c r="FG8" s="123"/>
      <c r="FH8" s="130"/>
      <c r="FI8" s="131"/>
      <c r="FK8" s="125" t="s">
        <v>398</v>
      </c>
      <c r="FL8" s="201"/>
      <c r="FN8" s="132" t="s">
        <v>1653</v>
      </c>
      <c r="FO8" s="123"/>
      <c r="FP8" s="130"/>
      <c r="FQ8" s="131"/>
      <c r="FS8" s="125" t="s">
        <v>383</v>
      </c>
      <c r="FT8" s="201"/>
      <c r="FV8" s="132" t="s">
        <v>1653</v>
      </c>
      <c r="FW8" s="123"/>
      <c r="FX8" s="130"/>
      <c r="FY8" s="131"/>
      <c r="GA8" s="125" t="s">
        <v>383</v>
      </c>
      <c r="GB8" s="201"/>
      <c r="GD8" s="132" t="s">
        <v>1653</v>
      </c>
      <c r="GE8" s="123"/>
      <c r="GF8" s="130"/>
      <c r="GG8" s="131"/>
      <c r="GI8" s="125" t="s">
        <v>383</v>
      </c>
      <c r="GJ8" s="201"/>
      <c r="GL8" s="132" t="s">
        <v>1653</v>
      </c>
      <c r="GM8" s="123"/>
      <c r="GN8" s="130"/>
      <c r="GO8" s="131"/>
      <c r="GQ8" s="125" t="s">
        <v>383</v>
      </c>
      <c r="GR8" s="201"/>
      <c r="GT8" s="132" t="s">
        <v>1713</v>
      </c>
      <c r="GU8" s="123"/>
      <c r="GV8" s="130"/>
      <c r="GW8" s="131"/>
      <c r="GY8" s="125" t="s">
        <v>79</v>
      </c>
      <c r="GZ8" s="201"/>
      <c r="HB8" s="132" t="s">
        <v>1743</v>
      </c>
      <c r="HC8" s="123"/>
      <c r="HD8" s="130"/>
      <c r="HE8" s="131"/>
      <c r="HH8" s="201"/>
      <c r="HJ8" s="132" t="s">
        <v>150</v>
      </c>
      <c r="HK8" s="138"/>
      <c r="HL8" s="140"/>
      <c r="HM8" s="131"/>
      <c r="HN8" s="125"/>
      <c r="HO8" s="125"/>
      <c r="HP8" s="201"/>
    </row>
    <row r="9" spans="1:224" ht="15" x14ac:dyDescent="0.25">
      <c r="B9" s="132" t="s">
        <v>1434</v>
      </c>
      <c r="C9" s="123" t="s">
        <v>116</v>
      </c>
      <c r="D9" s="130">
        <v>29221</v>
      </c>
      <c r="E9" s="131">
        <f ca="1">TODAY()</f>
        <v>42886</v>
      </c>
      <c r="F9" s="125" t="b">
        <v>0</v>
      </c>
      <c r="G9" s="125"/>
      <c r="H9" s="201"/>
      <c r="I9" s="121"/>
      <c r="J9" s="132" t="s">
        <v>108</v>
      </c>
      <c r="K9" s="138"/>
      <c r="L9" s="140"/>
      <c r="M9" s="131"/>
      <c r="N9" s="125"/>
      <c r="O9" s="125"/>
      <c r="P9" s="201"/>
      <c r="R9" s="132" t="s">
        <v>1444</v>
      </c>
      <c r="S9" s="123"/>
      <c r="T9" s="123"/>
      <c r="V9" s="125"/>
      <c r="W9" s="125"/>
      <c r="X9" s="201"/>
      <c r="Z9" s="122" t="s">
        <v>1454</v>
      </c>
      <c r="AA9" s="123"/>
      <c r="AB9" s="130"/>
      <c r="AC9" s="131"/>
      <c r="AD9" s="125"/>
      <c r="AE9" s="125"/>
      <c r="AF9" s="201"/>
      <c r="AH9" s="132" t="s">
        <v>1461</v>
      </c>
      <c r="AI9" s="123"/>
      <c r="AJ9" s="123"/>
      <c r="AL9" s="125" t="b">
        <v>1</v>
      </c>
      <c r="AM9" s="125" t="s">
        <v>466</v>
      </c>
      <c r="AN9" s="201"/>
      <c r="AP9" s="132" t="s">
        <v>572</v>
      </c>
      <c r="AQ9" s="123"/>
      <c r="AR9" s="123"/>
      <c r="AV9" s="201"/>
      <c r="AX9" s="132" t="s">
        <v>1473</v>
      </c>
      <c r="AY9" s="123" t="s">
        <v>211</v>
      </c>
      <c r="AZ9" s="135">
        <v>-50</v>
      </c>
      <c r="BA9" s="136">
        <v>5000</v>
      </c>
      <c r="BB9" s="125" t="b">
        <v>0</v>
      </c>
      <c r="BD9" s="201"/>
      <c r="BF9" s="132" t="s">
        <v>1480</v>
      </c>
      <c r="BG9" s="138" t="s">
        <v>115</v>
      </c>
      <c r="BH9" s="135">
        <v>0</v>
      </c>
      <c r="BI9" s="136">
        <v>425</v>
      </c>
      <c r="BJ9" s="125" t="b">
        <v>0</v>
      </c>
      <c r="BL9" s="201"/>
      <c r="BN9" s="149" t="s">
        <v>1500</v>
      </c>
      <c r="BO9" s="130" t="s">
        <v>46</v>
      </c>
      <c r="BP9" s="97">
        <v>0</v>
      </c>
      <c r="BQ9" s="97">
        <v>500</v>
      </c>
      <c r="BR9" s="125" t="b">
        <v>0</v>
      </c>
      <c r="BT9" s="201"/>
      <c r="BV9" s="132" t="s">
        <v>1514</v>
      </c>
      <c r="BW9" s="123" t="s">
        <v>273</v>
      </c>
      <c r="BX9" s="97">
        <v>0</v>
      </c>
      <c r="BY9" s="97">
        <v>3500000</v>
      </c>
      <c r="BZ9" s="125" t="b">
        <v>0</v>
      </c>
      <c r="CB9" s="201"/>
      <c r="CD9" s="132" t="s">
        <v>1517</v>
      </c>
      <c r="CE9" s="123" t="s">
        <v>46</v>
      </c>
      <c r="CF9" s="135">
        <v>0</v>
      </c>
      <c r="CG9" s="136">
        <v>200</v>
      </c>
      <c r="CH9" s="125" t="b">
        <v>0</v>
      </c>
      <c r="CJ9" s="201"/>
      <c r="CL9" s="132"/>
      <c r="CM9" s="123"/>
      <c r="CN9" s="123"/>
      <c r="CR9" s="201"/>
      <c r="CT9" s="132" t="s">
        <v>1760</v>
      </c>
      <c r="CU9" s="123"/>
      <c r="CV9" s="130"/>
      <c r="CW9" s="131"/>
      <c r="CZ9" s="201"/>
      <c r="DB9" s="132" t="s">
        <v>1529</v>
      </c>
      <c r="DC9" s="123"/>
      <c r="DD9" s="130"/>
      <c r="DE9" s="131"/>
      <c r="DG9" s="125" t="s">
        <v>83</v>
      </c>
      <c r="DH9" s="201"/>
      <c r="DJ9" s="132" t="s">
        <v>1533</v>
      </c>
      <c r="DK9" s="123" t="s">
        <v>40</v>
      </c>
      <c r="DL9" s="97">
        <v>0</v>
      </c>
      <c r="DM9" s="97">
        <v>100</v>
      </c>
      <c r="DN9" s="125" t="b">
        <v>0</v>
      </c>
      <c r="DP9" s="201"/>
      <c r="DR9" s="132" t="s">
        <v>1551</v>
      </c>
      <c r="DS9" s="97" t="s">
        <v>1839</v>
      </c>
      <c r="DT9" s="97">
        <v>0</v>
      </c>
      <c r="DU9" s="115">
        <v>1000</v>
      </c>
      <c r="DV9" s="125" t="b">
        <v>0</v>
      </c>
      <c r="DX9" s="201"/>
      <c r="DZ9" s="132" t="s">
        <v>1782</v>
      </c>
      <c r="EA9" s="97" t="s">
        <v>582</v>
      </c>
      <c r="EB9" s="97">
        <v>0</v>
      </c>
      <c r="ED9" s="125" t="b">
        <v>0</v>
      </c>
      <c r="EF9" s="201"/>
      <c r="EH9" s="132"/>
      <c r="EI9" s="123"/>
      <c r="EJ9" s="123"/>
      <c r="EN9" s="201"/>
      <c r="EP9" s="132" t="s">
        <v>1986</v>
      </c>
      <c r="EQ9" s="152" t="s">
        <v>46</v>
      </c>
      <c r="ER9" s="138"/>
      <c r="EV9" s="201"/>
      <c r="EX9" s="132" t="s">
        <v>1790</v>
      </c>
      <c r="EY9" s="152" t="s">
        <v>1023</v>
      </c>
      <c r="EZ9" s="123">
        <v>-100</v>
      </c>
      <c r="FA9" s="115">
        <v>10000</v>
      </c>
      <c r="FB9" s="125" t="b">
        <v>0</v>
      </c>
      <c r="FD9" s="201"/>
      <c r="FF9" s="132" t="s">
        <v>1623</v>
      </c>
      <c r="FG9" s="123" t="s">
        <v>46</v>
      </c>
      <c r="FH9" s="123">
        <v>0</v>
      </c>
      <c r="FI9" s="115">
        <v>50000</v>
      </c>
      <c r="FJ9" s="125" t="b">
        <v>0</v>
      </c>
      <c r="FL9" s="201"/>
      <c r="FN9" s="132" t="s">
        <v>1801</v>
      </c>
      <c r="FO9" s="123" t="s">
        <v>275</v>
      </c>
      <c r="FP9" s="123">
        <v>0</v>
      </c>
      <c r="FQ9" s="115">
        <v>50000</v>
      </c>
      <c r="FR9" s="125" t="b">
        <v>0</v>
      </c>
      <c r="FT9" s="201"/>
      <c r="FV9" s="132" t="s">
        <v>1805</v>
      </c>
      <c r="FW9" s="123" t="s">
        <v>387</v>
      </c>
      <c r="FX9" s="123">
        <v>0</v>
      </c>
      <c r="FY9" s="115">
        <v>1000</v>
      </c>
      <c r="FZ9" s="125" t="b">
        <v>0</v>
      </c>
      <c r="GB9" s="201"/>
      <c r="GD9" s="132" t="s">
        <v>1690</v>
      </c>
      <c r="GE9" s="97" t="s">
        <v>387</v>
      </c>
      <c r="GF9" s="97">
        <v>0</v>
      </c>
      <c r="GG9" s="137">
        <v>1000</v>
      </c>
      <c r="GH9" s="125" t="b">
        <v>0</v>
      </c>
      <c r="GJ9" s="201"/>
      <c r="GL9" s="132" t="s">
        <v>1694</v>
      </c>
      <c r="GM9" s="123" t="s">
        <v>387</v>
      </c>
      <c r="GN9" s="97">
        <v>0</v>
      </c>
      <c r="GO9" s="97">
        <v>1000</v>
      </c>
      <c r="GP9" s="125" t="b">
        <v>0</v>
      </c>
      <c r="GR9" s="201"/>
      <c r="GT9" s="132" t="s">
        <v>1714</v>
      </c>
      <c r="GU9" s="123" t="s">
        <v>5</v>
      </c>
      <c r="GV9" s="123">
        <v>0</v>
      </c>
      <c r="GW9" s="115">
        <v>50000</v>
      </c>
      <c r="GX9" s="125" t="b">
        <v>0</v>
      </c>
      <c r="GZ9" s="201"/>
      <c r="HB9" s="132"/>
      <c r="HC9" s="123"/>
      <c r="HD9" s="123"/>
      <c r="HH9" s="201"/>
      <c r="HJ9" s="132"/>
      <c r="HK9" s="138"/>
      <c r="HL9" s="138"/>
      <c r="HN9" s="125"/>
      <c r="HO9" s="125"/>
      <c r="HP9" s="201"/>
    </row>
    <row r="10" spans="1:224" ht="15" x14ac:dyDescent="0.25">
      <c r="B10" s="132" t="s">
        <v>1435</v>
      </c>
      <c r="C10" s="138" t="s">
        <v>116</v>
      </c>
      <c r="D10" s="130">
        <v>29221</v>
      </c>
      <c r="E10" s="131">
        <f ca="1">TODAY()</f>
        <v>42886</v>
      </c>
      <c r="F10" s="125" t="b">
        <v>0</v>
      </c>
      <c r="G10" s="125"/>
      <c r="H10" s="201"/>
      <c r="I10" s="121"/>
      <c r="J10" s="132" t="s">
        <v>74</v>
      </c>
      <c r="K10" s="138"/>
      <c r="L10" s="138"/>
      <c r="N10" s="125"/>
      <c r="O10" s="125"/>
      <c r="P10" s="201"/>
      <c r="R10" s="132" t="s">
        <v>220</v>
      </c>
      <c r="S10" s="123"/>
      <c r="T10" s="138"/>
      <c r="V10" s="125"/>
      <c r="W10" s="125"/>
      <c r="X10" s="201"/>
      <c r="Z10" s="122" t="s">
        <v>896</v>
      </c>
      <c r="AA10" s="123"/>
      <c r="AB10" s="123"/>
      <c r="AD10" s="125"/>
      <c r="AE10" s="125"/>
      <c r="AF10" s="201"/>
      <c r="AH10" s="132" t="s">
        <v>1748</v>
      </c>
      <c r="AI10" s="123"/>
      <c r="AJ10" s="138"/>
      <c r="AL10" s="125" t="b">
        <v>1</v>
      </c>
      <c r="AM10" s="125" t="s">
        <v>342</v>
      </c>
      <c r="AN10" s="201"/>
      <c r="AP10" s="132" t="s">
        <v>1753</v>
      </c>
      <c r="AQ10" s="123"/>
      <c r="AR10" s="138"/>
      <c r="AV10" s="201"/>
      <c r="AX10" s="132" t="s">
        <v>1474</v>
      </c>
      <c r="AY10" s="123" t="s">
        <v>211</v>
      </c>
      <c r="AZ10" s="123">
        <v>0</v>
      </c>
      <c r="BA10" s="115">
        <v>10000</v>
      </c>
      <c r="BB10" s="125" t="b">
        <v>0</v>
      </c>
      <c r="BD10" s="201"/>
      <c r="BF10" s="132" t="s">
        <v>1481</v>
      </c>
      <c r="BG10" s="138" t="s">
        <v>254</v>
      </c>
      <c r="BH10" s="138">
        <v>-999</v>
      </c>
      <c r="BJ10" s="125" t="b">
        <v>0</v>
      </c>
      <c r="BL10" s="201"/>
      <c r="BN10" s="132" t="s">
        <v>1497</v>
      </c>
      <c r="BO10" s="123"/>
      <c r="BP10" s="130"/>
      <c r="BQ10" s="131"/>
      <c r="BS10" s="125" t="s">
        <v>279</v>
      </c>
      <c r="BT10" s="201"/>
      <c r="BV10" s="132" t="s">
        <v>1513</v>
      </c>
      <c r="BW10" s="123" t="s">
        <v>275</v>
      </c>
      <c r="BX10" s="97">
        <v>0</v>
      </c>
      <c r="BY10" s="97">
        <v>150000</v>
      </c>
      <c r="BZ10" s="125" t="b">
        <v>0</v>
      </c>
      <c r="CB10" s="201"/>
      <c r="CD10" s="132" t="s">
        <v>1516</v>
      </c>
      <c r="CE10" s="123"/>
      <c r="CF10" s="123"/>
      <c r="CJ10" s="201"/>
      <c r="CL10" s="132"/>
      <c r="CM10" s="123"/>
      <c r="CN10" s="138"/>
      <c r="CR10" s="201"/>
      <c r="CT10" s="132" t="s">
        <v>1519</v>
      </c>
      <c r="CU10" s="123" t="s">
        <v>40</v>
      </c>
      <c r="CV10" s="97">
        <v>0</v>
      </c>
      <c r="CW10" s="97">
        <v>100</v>
      </c>
      <c r="CX10" s="125" t="b">
        <v>0</v>
      </c>
      <c r="CZ10" s="201"/>
      <c r="DB10" s="132" t="s">
        <v>1524</v>
      </c>
      <c r="DC10" s="123"/>
      <c r="DD10" s="123"/>
      <c r="DG10" s="125" t="s">
        <v>159</v>
      </c>
      <c r="DH10" s="201"/>
      <c r="DJ10" s="132" t="s">
        <v>1534</v>
      </c>
      <c r="DK10" s="123" t="s">
        <v>40</v>
      </c>
      <c r="DL10" s="97">
        <v>0</v>
      </c>
      <c r="DM10" s="97">
        <v>100</v>
      </c>
      <c r="DN10" s="125" t="b">
        <v>0</v>
      </c>
      <c r="DP10" s="201"/>
      <c r="DR10" s="132" t="s">
        <v>1552</v>
      </c>
      <c r="DS10" s="97" t="s">
        <v>1840</v>
      </c>
      <c r="DT10" s="97">
        <v>0</v>
      </c>
      <c r="DU10" s="115">
        <v>1000</v>
      </c>
      <c r="DV10" s="125" t="b">
        <v>0</v>
      </c>
      <c r="DX10" s="201"/>
      <c r="DZ10" s="132" t="s">
        <v>1783</v>
      </c>
      <c r="EA10" s="97" t="s">
        <v>509</v>
      </c>
      <c r="EB10" s="97">
        <v>0</v>
      </c>
      <c r="ED10" s="125" t="b">
        <v>0</v>
      </c>
      <c r="EF10" s="201"/>
      <c r="EH10" s="132"/>
      <c r="EI10" s="123"/>
      <c r="EJ10" s="138"/>
      <c r="EN10" s="201"/>
      <c r="EP10" s="132" t="s">
        <v>2254</v>
      </c>
      <c r="EQ10" s="152"/>
      <c r="ER10" s="138"/>
      <c r="EU10" s="125" t="s">
        <v>2254</v>
      </c>
      <c r="EV10" s="201"/>
      <c r="EX10" s="132" t="s">
        <v>1791</v>
      </c>
      <c r="EY10" s="152" t="s">
        <v>1023</v>
      </c>
      <c r="EZ10" s="138">
        <v>0</v>
      </c>
      <c r="FA10" s="115">
        <v>1</v>
      </c>
      <c r="FB10" s="125" t="b">
        <v>1</v>
      </c>
      <c r="FD10" s="201"/>
      <c r="FF10" s="132" t="s">
        <v>1625</v>
      </c>
      <c r="FG10" s="123" t="s">
        <v>118</v>
      </c>
      <c r="FH10" s="138">
        <v>0</v>
      </c>
      <c r="FI10" s="115">
        <v>50000</v>
      </c>
      <c r="FJ10" s="125" t="b">
        <v>0</v>
      </c>
      <c r="FL10" s="201"/>
      <c r="FN10" s="132" t="s">
        <v>1655</v>
      </c>
      <c r="FO10" s="123" t="s">
        <v>40</v>
      </c>
      <c r="FP10" s="138">
        <v>0</v>
      </c>
      <c r="FQ10" s="115">
        <v>100</v>
      </c>
      <c r="FR10" s="125" t="b">
        <v>0</v>
      </c>
      <c r="FT10" s="201"/>
      <c r="FV10" s="132" t="s">
        <v>1665</v>
      </c>
      <c r="FW10" s="123" t="s">
        <v>387</v>
      </c>
      <c r="FX10" s="138">
        <v>0</v>
      </c>
      <c r="FY10" s="115">
        <v>1000</v>
      </c>
      <c r="FZ10" s="125" t="b">
        <v>0</v>
      </c>
      <c r="GB10" s="201"/>
      <c r="GD10" s="132" t="s">
        <v>1874</v>
      </c>
      <c r="GE10" s="97" t="s">
        <v>387</v>
      </c>
      <c r="GF10" s="97">
        <v>0</v>
      </c>
      <c r="GG10" s="137">
        <v>1000</v>
      </c>
      <c r="GH10" s="125" t="b">
        <v>0</v>
      </c>
      <c r="GJ10" s="201"/>
      <c r="GL10" s="132" t="s">
        <v>1695</v>
      </c>
      <c r="GM10" s="123" t="s">
        <v>387</v>
      </c>
      <c r="GN10" s="97">
        <v>0</v>
      </c>
      <c r="GO10" s="97">
        <v>1000</v>
      </c>
      <c r="GP10" s="125" t="b">
        <v>0</v>
      </c>
      <c r="GR10" s="201"/>
      <c r="GT10" s="132" t="s">
        <v>1715</v>
      </c>
      <c r="GU10" s="123" t="s">
        <v>5</v>
      </c>
      <c r="GV10" s="138">
        <v>0</v>
      </c>
      <c r="GW10" s="115">
        <v>50000</v>
      </c>
      <c r="GX10" s="125" t="b">
        <v>0</v>
      </c>
      <c r="GZ10" s="201"/>
      <c r="HB10" s="132"/>
      <c r="HC10" s="123"/>
      <c r="HD10" s="138"/>
      <c r="HH10" s="201"/>
      <c r="HJ10" s="132"/>
      <c r="HK10" s="138"/>
      <c r="HL10" s="138"/>
      <c r="HN10" s="125"/>
      <c r="HO10" s="125"/>
      <c r="HP10" s="201"/>
    </row>
    <row r="11" spans="1:224" ht="15" x14ac:dyDescent="0.25">
      <c r="B11" s="129" t="s">
        <v>1889</v>
      </c>
      <c r="C11" s="123" t="s">
        <v>1890</v>
      </c>
      <c r="D11" s="123">
        <v>0</v>
      </c>
      <c r="E11" s="115">
        <v>100</v>
      </c>
      <c r="H11" s="201"/>
      <c r="I11" s="121"/>
      <c r="J11" s="132" t="s">
        <v>1865</v>
      </c>
      <c r="K11" s="138" t="s">
        <v>1866</v>
      </c>
      <c r="L11" s="138"/>
      <c r="N11" s="125"/>
      <c r="O11" s="125"/>
      <c r="P11" s="201"/>
      <c r="R11" s="132" t="s">
        <v>145</v>
      </c>
      <c r="S11" s="123"/>
      <c r="T11" s="138"/>
      <c r="V11" s="125"/>
      <c r="W11" s="125"/>
      <c r="X11" s="201"/>
      <c r="Z11" s="122" t="s">
        <v>897</v>
      </c>
      <c r="AA11" s="123"/>
      <c r="AB11" s="138"/>
      <c r="AD11" s="125"/>
      <c r="AE11" s="125"/>
      <c r="AF11" s="201"/>
      <c r="AH11" s="132" t="s">
        <v>1462</v>
      </c>
      <c r="AI11" s="123"/>
      <c r="AJ11" s="138"/>
      <c r="AL11" s="125" t="b">
        <v>1</v>
      </c>
      <c r="AM11" s="125" t="s">
        <v>377</v>
      </c>
      <c r="AN11" s="201"/>
      <c r="AP11" s="132" t="s">
        <v>573</v>
      </c>
      <c r="AQ11" s="123"/>
      <c r="AR11" s="138"/>
      <c r="AV11" s="201"/>
      <c r="AX11" s="132" t="s">
        <v>1475</v>
      </c>
      <c r="AY11" s="123" t="s">
        <v>251</v>
      </c>
      <c r="AZ11" s="138"/>
      <c r="BD11" s="201"/>
      <c r="BF11" s="132" t="s">
        <v>1482</v>
      </c>
      <c r="BG11" s="138" t="s">
        <v>40</v>
      </c>
      <c r="BH11" s="138">
        <v>0</v>
      </c>
      <c r="BI11" s="115">
        <v>100</v>
      </c>
      <c r="BJ11" s="125" t="b">
        <v>0</v>
      </c>
      <c r="BL11" s="201"/>
      <c r="BN11" s="132" t="s">
        <v>1498</v>
      </c>
      <c r="BO11" s="97" t="s">
        <v>275</v>
      </c>
      <c r="BT11" s="201"/>
      <c r="BV11" s="132" t="s">
        <v>1510</v>
      </c>
      <c r="BW11" s="123"/>
      <c r="BX11" s="138"/>
      <c r="CA11" s="125" t="s">
        <v>184</v>
      </c>
      <c r="CB11" s="201"/>
      <c r="CD11" s="132"/>
      <c r="CE11" s="123"/>
      <c r="CF11" s="138"/>
      <c r="CJ11" s="201"/>
      <c r="CL11" s="132"/>
      <c r="CM11" s="123"/>
      <c r="CN11" s="138"/>
      <c r="CR11" s="201"/>
      <c r="CT11" s="132" t="s">
        <v>1523</v>
      </c>
      <c r="CU11" s="123" t="s">
        <v>381</v>
      </c>
      <c r="CV11" s="97">
        <v>0</v>
      </c>
      <c r="CW11" s="97">
        <v>200</v>
      </c>
      <c r="CX11" s="125" t="b">
        <v>0</v>
      </c>
      <c r="CZ11" s="201"/>
      <c r="DB11" s="132" t="s">
        <v>1525</v>
      </c>
      <c r="DC11" s="123"/>
      <c r="DD11" s="138"/>
      <c r="DH11" s="201"/>
      <c r="DJ11" s="139" t="s">
        <v>1535</v>
      </c>
      <c r="DK11" s="115" t="s">
        <v>1426</v>
      </c>
      <c r="DL11" s="115">
        <v>0</v>
      </c>
      <c r="DM11" s="115">
        <v>3</v>
      </c>
      <c r="DN11" s="125" t="b">
        <v>0</v>
      </c>
      <c r="DP11" s="201"/>
      <c r="DR11" s="132" t="s">
        <v>1553</v>
      </c>
      <c r="DS11" s="97" t="s">
        <v>1839</v>
      </c>
      <c r="DT11" s="97">
        <v>0</v>
      </c>
      <c r="DU11" s="115">
        <v>1000</v>
      </c>
      <c r="DV11" s="125" t="b">
        <v>0</v>
      </c>
      <c r="DX11" s="201"/>
      <c r="DZ11" s="132" t="s">
        <v>1784</v>
      </c>
      <c r="EA11" s="97" t="s">
        <v>508</v>
      </c>
      <c r="EB11" s="97">
        <v>0</v>
      </c>
      <c r="ED11" s="125" t="b">
        <v>0</v>
      </c>
      <c r="EF11" s="201"/>
      <c r="EH11" s="132"/>
      <c r="EI11" s="123"/>
      <c r="EJ11" s="138"/>
      <c r="EN11" s="201"/>
      <c r="EP11" s="132" t="s">
        <v>2255</v>
      </c>
      <c r="EQ11" s="152"/>
      <c r="ER11" s="138"/>
      <c r="EU11" s="125" t="s">
        <v>2293</v>
      </c>
      <c r="EV11" s="201"/>
      <c r="EX11" s="132" t="s">
        <v>1792</v>
      </c>
      <c r="EY11" s="152" t="s">
        <v>1024</v>
      </c>
      <c r="EZ11" s="138">
        <v>-1900</v>
      </c>
      <c r="FA11" s="115">
        <v>200000</v>
      </c>
      <c r="FB11" s="125" t="b">
        <v>0</v>
      </c>
      <c r="FD11" s="201"/>
      <c r="FF11" s="132" t="s">
        <v>1799</v>
      </c>
      <c r="FG11" s="123" t="s">
        <v>1414</v>
      </c>
      <c r="FH11" s="138">
        <v>0</v>
      </c>
      <c r="FI11" s="115">
        <v>5650</v>
      </c>
      <c r="FJ11" s="125" t="b">
        <v>0</v>
      </c>
      <c r="FL11" s="201"/>
      <c r="FN11" s="132" t="s">
        <v>1656</v>
      </c>
      <c r="FO11" s="138" t="s">
        <v>119</v>
      </c>
      <c r="FP11" s="138">
        <v>0</v>
      </c>
      <c r="FQ11" s="115">
        <v>25000</v>
      </c>
      <c r="FR11" s="125" t="b">
        <v>0</v>
      </c>
      <c r="FT11" s="201"/>
      <c r="FV11" s="132" t="s">
        <v>1666</v>
      </c>
      <c r="FW11" s="123" t="s">
        <v>387</v>
      </c>
      <c r="FX11" s="138">
        <v>0</v>
      </c>
      <c r="FY11" s="115">
        <v>1000</v>
      </c>
      <c r="FZ11" s="125" t="b">
        <v>0</v>
      </c>
      <c r="GB11" s="201"/>
      <c r="GD11" s="132" t="s">
        <v>1814</v>
      </c>
      <c r="GE11" s="97" t="s">
        <v>535</v>
      </c>
      <c r="GF11" s="97">
        <v>0</v>
      </c>
      <c r="GH11" s="125" t="b">
        <v>0</v>
      </c>
      <c r="GJ11" s="201"/>
      <c r="GL11" s="132" t="s">
        <v>1696</v>
      </c>
      <c r="GM11" s="123" t="s">
        <v>387</v>
      </c>
      <c r="GN11" s="97">
        <v>0</v>
      </c>
      <c r="GO11" s="97">
        <v>1000</v>
      </c>
      <c r="GP11" s="125" t="b">
        <v>0</v>
      </c>
      <c r="GR11" s="201"/>
      <c r="GT11" s="132" t="s">
        <v>1717</v>
      </c>
      <c r="GU11" s="123" t="s">
        <v>5</v>
      </c>
      <c r="GV11" s="138">
        <v>0</v>
      </c>
      <c r="GW11" s="115">
        <v>50000</v>
      </c>
      <c r="GX11" s="125" t="b">
        <v>0</v>
      </c>
      <c r="GZ11" s="201"/>
      <c r="HB11" s="132"/>
      <c r="HC11" s="123"/>
      <c r="HD11" s="138"/>
      <c r="HH11" s="201"/>
      <c r="HJ11" s="132"/>
      <c r="HK11" s="138"/>
      <c r="HL11" s="138"/>
      <c r="HN11" s="125"/>
      <c r="HO11" s="125"/>
      <c r="HP11" s="201"/>
    </row>
    <row r="12" spans="1:224" ht="15" x14ac:dyDescent="0.25">
      <c r="B12" s="132"/>
      <c r="D12" s="138"/>
      <c r="F12" s="125"/>
      <c r="G12" s="125"/>
      <c r="H12" s="201"/>
      <c r="I12" s="121"/>
      <c r="J12" s="132" t="s">
        <v>1437</v>
      </c>
      <c r="K12" s="138" t="s">
        <v>187</v>
      </c>
      <c r="L12" s="138"/>
      <c r="P12" s="201"/>
      <c r="R12" s="132" t="s">
        <v>1448</v>
      </c>
      <c r="V12" s="125" t="b">
        <v>0</v>
      </c>
      <c r="W12" s="125"/>
      <c r="X12" s="201"/>
      <c r="Z12" s="122" t="s">
        <v>1455</v>
      </c>
      <c r="AA12" s="123"/>
      <c r="AB12" s="138"/>
      <c r="AD12" s="125"/>
      <c r="AE12" s="125"/>
      <c r="AF12" s="201"/>
      <c r="AH12" s="132" t="s">
        <v>993</v>
      </c>
      <c r="AI12" s="123"/>
      <c r="AJ12" s="138"/>
      <c r="AL12" s="125" t="b">
        <v>1</v>
      </c>
      <c r="AM12" s="125" t="s">
        <v>70</v>
      </c>
      <c r="AN12" s="201"/>
      <c r="AP12" s="132" t="s">
        <v>1754</v>
      </c>
      <c r="AQ12" s="123"/>
      <c r="AR12" s="138"/>
      <c r="AV12" s="201"/>
      <c r="AX12" s="132" t="s">
        <v>1476</v>
      </c>
      <c r="AY12" s="123"/>
      <c r="AZ12" s="138"/>
      <c r="BD12" s="201"/>
      <c r="BF12" s="132" t="s">
        <v>1755</v>
      </c>
      <c r="BG12" s="138" t="s">
        <v>1010</v>
      </c>
      <c r="BH12" s="138">
        <v>-35</v>
      </c>
      <c r="BI12" s="115">
        <v>40</v>
      </c>
      <c r="BJ12" s="125" t="b">
        <v>0</v>
      </c>
      <c r="BL12" s="201"/>
      <c r="BN12" s="132" t="s">
        <v>1499</v>
      </c>
      <c r="BO12" s="152" t="s">
        <v>91</v>
      </c>
      <c r="BP12" s="97">
        <v>0</v>
      </c>
      <c r="BQ12" s="97">
        <v>500</v>
      </c>
      <c r="BR12" s="125" t="b">
        <v>0</v>
      </c>
      <c r="BT12" s="201"/>
      <c r="BV12" s="132" t="s">
        <v>1512</v>
      </c>
      <c r="BW12" s="123" t="s">
        <v>46</v>
      </c>
      <c r="BX12" s="97">
        <v>0</v>
      </c>
      <c r="BY12" s="97">
        <v>50</v>
      </c>
      <c r="BZ12" s="125" t="b">
        <v>0</v>
      </c>
      <c r="CB12" s="201"/>
      <c r="CD12" s="132"/>
      <c r="CE12" s="123"/>
      <c r="CF12" s="138"/>
      <c r="CJ12" s="201"/>
      <c r="CL12" s="132"/>
      <c r="CM12" s="123"/>
      <c r="CN12" s="138"/>
      <c r="CR12" s="201"/>
      <c r="CT12" s="132" t="s">
        <v>1520</v>
      </c>
      <c r="CU12" s="123"/>
      <c r="CV12" s="138"/>
      <c r="CY12" s="125" t="s">
        <v>76</v>
      </c>
      <c r="CZ12" s="201"/>
      <c r="DB12" s="132" t="s">
        <v>1527</v>
      </c>
      <c r="DC12" s="123" t="s">
        <v>177</v>
      </c>
      <c r="DD12" s="97">
        <v>0</v>
      </c>
      <c r="DE12" s="97">
        <v>10</v>
      </c>
      <c r="DF12" s="125" t="b">
        <v>0</v>
      </c>
      <c r="DH12" s="201"/>
      <c r="DJ12" s="132" t="s">
        <v>1536</v>
      </c>
      <c r="DK12" s="123" t="s">
        <v>245</v>
      </c>
      <c r="DL12" s="97">
        <v>2</v>
      </c>
      <c r="DM12" s="97">
        <v>20</v>
      </c>
      <c r="DN12" s="125" t="b">
        <v>0</v>
      </c>
      <c r="DP12" s="201"/>
      <c r="DR12" s="132" t="s">
        <v>1763</v>
      </c>
      <c r="DS12" s="97" t="s">
        <v>1839</v>
      </c>
      <c r="DT12" s="97">
        <v>0</v>
      </c>
      <c r="DU12" s="115">
        <v>1000</v>
      </c>
      <c r="DV12" s="125" t="b">
        <v>0</v>
      </c>
      <c r="DX12" s="201"/>
      <c r="DZ12" s="132" t="s">
        <v>1594</v>
      </c>
      <c r="EA12" s="141" t="s">
        <v>1427</v>
      </c>
      <c r="EB12" s="97">
        <v>0</v>
      </c>
      <c r="ED12" s="125" t="b">
        <v>0</v>
      </c>
      <c r="EF12" s="201"/>
      <c r="EH12" s="132"/>
      <c r="EI12" s="123"/>
      <c r="EJ12" s="138"/>
      <c r="EN12" s="201"/>
      <c r="EP12" s="132" t="s">
        <v>2256</v>
      </c>
      <c r="EQ12" s="152"/>
      <c r="ER12" s="138">
        <v>0</v>
      </c>
      <c r="ES12" s="115">
        <v>1100000000</v>
      </c>
      <c r="EV12" s="201"/>
      <c r="EX12" s="132" t="s">
        <v>1793</v>
      </c>
      <c r="EY12" s="152" t="s">
        <v>1024</v>
      </c>
      <c r="EZ12" s="138">
        <v>0</v>
      </c>
      <c r="FA12" s="115">
        <v>1</v>
      </c>
      <c r="FB12" s="125" t="b">
        <v>1</v>
      </c>
      <c r="FD12" s="201"/>
      <c r="FF12" s="132" t="s">
        <v>1627</v>
      </c>
      <c r="FG12" s="123" t="s">
        <v>118</v>
      </c>
      <c r="FH12" s="138">
        <v>0</v>
      </c>
      <c r="FI12" s="115">
        <v>50000</v>
      </c>
      <c r="FJ12" s="125" t="b">
        <v>0</v>
      </c>
      <c r="FL12" s="201"/>
      <c r="FN12" s="132" t="s">
        <v>1802</v>
      </c>
      <c r="FO12" s="138" t="s">
        <v>91</v>
      </c>
      <c r="FP12" s="138">
        <v>0</v>
      </c>
      <c r="FQ12" s="115">
        <v>10000</v>
      </c>
      <c r="FR12" s="125" t="b">
        <v>0</v>
      </c>
      <c r="FT12" s="201"/>
      <c r="FV12" s="132" t="s">
        <v>1667</v>
      </c>
      <c r="FW12" s="123" t="s">
        <v>387</v>
      </c>
      <c r="FX12" s="138">
        <v>0</v>
      </c>
      <c r="FY12" s="115">
        <v>1000</v>
      </c>
      <c r="FZ12" s="125" t="b">
        <v>0</v>
      </c>
      <c r="GB12" s="201"/>
      <c r="GD12" s="139" t="s">
        <v>1692</v>
      </c>
      <c r="GE12" s="97" t="s">
        <v>387</v>
      </c>
      <c r="GF12" s="97">
        <v>0</v>
      </c>
      <c r="GG12" s="137">
        <v>1000</v>
      </c>
      <c r="GH12" s="125" t="b">
        <v>0</v>
      </c>
      <c r="GJ12" s="201"/>
      <c r="GL12" s="132" t="s">
        <v>1697</v>
      </c>
      <c r="GM12" s="123" t="s">
        <v>387</v>
      </c>
      <c r="GN12" s="97">
        <v>0</v>
      </c>
      <c r="GO12" s="97">
        <v>1000</v>
      </c>
      <c r="GP12" s="125" t="b">
        <v>0</v>
      </c>
      <c r="GR12" s="201"/>
      <c r="GT12" s="132" t="s">
        <v>1833</v>
      </c>
      <c r="GU12" s="123" t="s">
        <v>11</v>
      </c>
      <c r="GV12" s="138">
        <v>0</v>
      </c>
      <c r="GW12" s="115">
        <v>10</v>
      </c>
      <c r="GX12" s="125" t="b">
        <v>0</v>
      </c>
      <c r="GZ12" s="201"/>
      <c r="HB12" s="132"/>
      <c r="HC12" s="123"/>
      <c r="HD12" s="138"/>
      <c r="HH12" s="201"/>
      <c r="HJ12" s="132"/>
      <c r="HK12" s="138"/>
      <c r="HL12" s="138"/>
      <c r="HN12" s="125"/>
      <c r="HO12" s="125"/>
      <c r="HP12" s="201"/>
    </row>
    <row r="13" spans="1:224" ht="15" x14ac:dyDescent="0.25">
      <c r="B13" s="132"/>
      <c r="D13" s="138"/>
      <c r="F13" s="125"/>
      <c r="G13" s="125"/>
      <c r="H13" s="201"/>
      <c r="I13" s="121"/>
      <c r="J13" s="149" t="s">
        <v>1443</v>
      </c>
      <c r="K13" s="138" t="s">
        <v>187</v>
      </c>
      <c r="L13" s="138"/>
      <c r="N13" s="125"/>
      <c r="O13" s="125"/>
      <c r="P13" s="201"/>
      <c r="R13" s="132" t="s">
        <v>146</v>
      </c>
      <c r="S13" s="123"/>
      <c r="T13" s="123"/>
      <c r="V13" s="125"/>
      <c r="W13" s="125"/>
      <c r="X13" s="201"/>
      <c r="Z13" s="132"/>
      <c r="AA13" s="123"/>
      <c r="AB13" s="138"/>
      <c r="AD13" s="125"/>
      <c r="AE13" s="125"/>
      <c r="AF13" s="201"/>
      <c r="AH13" s="132" t="s">
        <v>36</v>
      </c>
      <c r="AI13" s="123"/>
      <c r="AJ13" s="123"/>
      <c r="AL13" s="125" t="b">
        <v>1</v>
      </c>
      <c r="AM13" s="125" t="s">
        <v>1287</v>
      </c>
      <c r="AN13" s="201"/>
      <c r="AP13" s="132" t="s">
        <v>1495</v>
      </c>
      <c r="AQ13" s="126"/>
      <c r="AR13" s="126"/>
      <c r="AS13" s="128"/>
      <c r="AT13" s="125" t="b">
        <v>1</v>
      </c>
      <c r="AV13" s="201"/>
      <c r="AX13" s="132"/>
      <c r="AY13" s="123"/>
      <c r="AZ13" s="123"/>
      <c r="BD13" s="201"/>
      <c r="BF13" s="132" t="s">
        <v>1484</v>
      </c>
      <c r="BG13" s="138" t="s">
        <v>42</v>
      </c>
      <c r="BH13" s="138">
        <v>0</v>
      </c>
      <c r="BI13" s="115">
        <v>30</v>
      </c>
      <c r="BJ13" s="125" t="b">
        <v>0</v>
      </c>
      <c r="BL13" s="201"/>
      <c r="BN13" s="132" t="s">
        <v>1501</v>
      </c>
      <c r="BO13" s="152" t="s">
        <v>185</v>
      </c>
      <c r="BP13" s="97">
        <v>0</v>
      </c>
      <c r="BQ13" s="97">
        <v>500</v>
      </c>
      <c r="BR13" s="125" t="b">
        <v>0</v>
      </c>
      <c r="BT13" s="201"/>
      <c r="BV13" s="132" t="s">
        <v>1511</v>
      </c>
      <c r="BW13" s="123" t="s">
        <v>46</v>
      </c>
      <c r="BX13" s="97">
        <v>0</v>
      </c>
      <c r="BY13" s="97">
        <v>110</v>
      </c>
      <c r="BZ13" s="125" t="b">
        <v>0</v>
      </c>
      <c r="CB13" s="201"/>
      <c r="CD13" s="132"/>
      <c r="CE13" s="123"/>
      <c r="CF13" s="123"/>
      <c r="CJ13" s="201"/>
      <c r="CL13" s="132"/>
      <c r="CM13" s="123"/>
      <c r="CN13" s="123"/>
      <c r="CR13" s="201"/>
      <c r="CT13" s="132"/>
      <c r="CU13" s="123"/>
      <c r="CV13" s="123"/>
      <c r="CZ13" s="201"/>
      <c r="DB13" s="132" t="s">
        <v>1526</v>
      </c>
      <c r="DC13" s="123"/>
      <c r="DD13" s="138"/>
      <c r="DG13" s="125" t="s">
        <v>504</v>
      </c>
      <c r="DH13" s="201"/>
      <c r="DJ13" s="132" t="s">
        <v>1537</v>
      </c>
      <c r="DK13" s="123" t="s">
        <v>245</v>
      </c>
      <c r="DL13" s="97">
        <v>5</v>
      </c>
      <c r="DM13" s="97">
        <v>50</v>
      </c>
      <c r="DN13" s="125" t="b">
        <v>0</v>
      </c>
      <c r="DP13" s="201"/>
      <c r="DR13" s="132" t="s">
        <v>1554</v>
      </c>
      <c r="DS13" s="97" t="s">
        <v>1839</v>
      </c>
      <c r="DT13" s="97">
        <v>0</v>
      </c>
      <c r="DU13" s="115">
        <v>1000</v>
      </c>
      <c r="DV13" s="125" t="b">
        <v>0</v>
      </c>
      <c r="DX13" s="201"/>
      <c r="DZ13" s="139" t="s">
        <v>1595</v>
      </c>
      <c r="EF13" s="201"/>
      <c r="EH13" s="132"/>
      <c r="EI13" s="123"/>
      <c r="EJ13" s="123"/>
      <c r="EN13" s="201"/>
      <c r="EP13" s="132" t="s">
        <v>200</v>
      </c>
      <c r="EQ13" s="152"/>
      <c r="ER13" s="138"/>
      <c r="EU13" s="125" t="s">
        <v>200</v>
      </c>
      <c r="EV13" s="201"/>
      <c r="EX13" s="132" t="s">
        <v>1794</v>
      </c>
      <c r="EY13" s="152" t="s">
        <v>1024</v>
      </c>
      <c r="EZ13" s="123">
        <v>-10000</v>
      </c>
      <c r="FA13" s="115">
        <v>10000</v>
      </c>
      <c r="FB13" s="125" t="b">
        <v>0</v>
      </c>
      <c r="FD13" s="201"/>
      <c r="FF13" s="132" t="s">
        <v>1628</v>
      </c>
      <c r="FG13" s="123" t="s">
        <v>40</v>
      </c>
      <c r="FH13" s="123">
        <v>0</v>
      </c>
      <c r="FI13" s="115">
        <v>100</v>
      </c>
      <c r="FJ13" s="125" t="b">
        <v>0</v>
      </c>
      <c r="FL13" s="201"/>
      <c r="FN13" s="132" t="s">
        <v>1663</v>
      </c>
      <c r="FO13" s="123" t="s">
        <v>1414</v>
      </c>
      <c r="FP13" s="123">
        <v>0</v>
      </c>
      <c r="FQ13" s="115">
        <v>1000</v>
      </c>
      <c r="FR13" s="125" t="b">
        <v>0</v>
      </c>
      <c r="FT13" s="201"/>
      <c r="FV13" s="132" t="s">
        <v>1668</v>
      </c>
      <c r="FW13" s="123" t="s">
        <v>387</v>
      </c>
      <c r="FX13" s="123">
        <v>0</v>
      </c>
      <c r="FY13" s="115">
        <v>1000</v>
      </c>
      <c r="FZ13" s="125" t="b">
        <v>0</v>
      </c>
      <c r="GB13" s="201"/>
      <c r="GD13" s="139" t="s">
        <v>1875</v>
      </c>
      <c r="GE13" s="97" t="s">
        <v>387</v>
      </c>
      <c r="GF13" s="97">
        <v>0</v>
      </c>
      <c r="GG13" s="137">
        <v>1000</v>
      </c>
      <c r="GH13" s="125" t="b">
        <v>0</v>
      </c>
      <c r="GJ13" s="201"/>
      <c r="GL13" s="132" t="s">
        <v>1698</v>
      </c>
      <c r="GM13" s="123" t="s">
        <v>387</v>
      </c>
      <c r="GN13" s="97">
        <v>0</v>
      </c>
      <c r="GO13" s="97">
        <v>1000</v>
      </c>
      <c r="GP13" s="125" t="b">
        <v>0</v>
      </c>
      <c r="GR13" s="201"/>
      <c r="GT13" s="132" t="s">
        <v>1718</v>
      </c>
      <c r="GU13" s="123" t="s">
        <v>13</v>
      </c>
      <c r="GV13" s="123">
        <v>0</v>
      </c>
      <c r="GW13" s="115">
        <v>100</v>
      </c>
      <c r="GX13" s="125" t="b">
        <v>0</v>
      </c>
      <c r="GZ13" s="201"/>
      <c r="HB13" s="132"/>
      <c r="HC13" s="123"/>
      <c r="HD13" s="123"/>
      <c r="HH13" s="201"/>
    </row>
    <row r="14" spans="1:224" ht="15" x14ac:dyDescent="0.25">
      <c r="B14" s="132"/>
      <c r="F14" s="125"/>
      <c r="G14" s="125"/>
      <c r="H14" s="201"/>
      <c r="I14" s="121"/>
      <c r="J14" s="139" t="s">
        <v>1888</v>
      </c>
      <c r="N14" s="125"/>
      <c r="O14" s="125"/>
      <c r="P14" s="201"/>
      <c r="R14" s="132" t="s">
        <v>222</v>
      </c>
      <c r="S14" s="123"/>
      <c r="T14" s="142"/>
      <c r="V14" s="125"/>
      <c r="W14" s="125"/>
      <c r="X14" s="201"/>
      <c r="Z14" s="132"/>
      <c r="AA14" s="123"/>
      <c r="AB14" s="123"/>
      <c r="AD14" s="125"/>
      <c r="AE14" s="125"/>
      <c r="AF14" s="201"/>
      <c r="AH14" s="132" t="s">
        <v>996</v>
      </c>
      <c r="AI14" s="123"/>
      <c r="AJ14" s="142"/>
      <c r="AL14" s="125" t="b">
        <v>1</v>
      </c>
      <c r="AN14" s="201"/>
      <c r="AP14" s="132" t="s">
        <v>1456</v>
      </c>
      <c r="AQ14" s="143"/>
      <c r="AR14" s="144"/>
      <c r="AS14" s="145"/>
      <c r="AT14" s="125" t="b">
        <v>1</v>
      </c>
      <c r="AU14" s="125" t="s">
        <v>152</v>
      </c>
      <c r="AV14" s="201"/>
      <c r="AX14" s="132"/>
      <c r="AY14" s="123"/>
      <c r="AZ14" s="142"/>
      <c r="BD14" s="201"/>
      <c r="BF14" s="132" t="s">
        <v>1485</v>
      </c>
      <c r="BG14" s="138" t="s">
        <v>1428</v>
      </c>
      <c r="BH14" s="138">
        <v>0</v>
      </c>
      <c r="BI14" s="115">
        <v>55</v>
      </c>
      <c r="BJ14" s="125" t="b">
        <v>0</v>
      </c>
      <c r="BL14" s="201"/>
      <c r="BN14" s="132" t="s">
        <v>1502</v>
      </c>
      <c r="BO14" s="152" t="s">
        <v>186</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1538</v>
      </c>
      <c r="DK14" s="123" t="s">
        <v>44</v>
      </c>
      <c r="DL14" s="97">
        <v>0</v>
      </c>
      <c r="DM14" s="146">
        <v>1000</v>
      </c>
      <c r="DN14" s="125" t="b">
        <v>0</v>
      </c>
      <c r="DP14" s="201"/>
      <c r="DR14" s="132" t="s">
        <v>1555</v>
      </c>
      <c r="DS14" s="97" t="s">
        <v>47</v>
      </c>
      <c r="DT14" s="97">
        <v>0</v>
      </c>
      <c r="DV14" s="125" t="b">
        <v>0</v>
      </c>
      <c r="DX14" s="201"/>
      <c r="DZ14" s="132" t="s">
        <v>1785</v>
      </c>
      <c r="EA14" s="123"/>
      <c r="EB14" s="123"/>
      <c r="EE14" s="125" t="s">
        <v>1287</v>
      </c>
      <c r="EF14" s="201"/>
      <c r="EH14" s="132"/>
      <c r="EI14" s="123"/>
      <c r="EJ14" s="142"/>
      <c r="EN14" s="201"/>
      <c r="EP14" s="132"/>
      <c r="EQ14" s="152"/>
      <c r="ER14" s="142"/>
      <c r="EV14" s="201"/>
      <c r="EX14" s="132" t="s">
        <v>1795</v>
      </c>
      <c r="EY14" s="152" t="s">
        <v>1024</v>
      </c>
      <c r="EZ14" s="142">
        <v>0</v>
      </c>
      <c r="FA14" s="115">
        <v>1</v>
      </c>
      <c r="FB14" s="125" t="b">
        <v>1</v>
      </c>
      <c r="FD14" s="201"/>
      <c r="FF14" s="132" t="s">
        <v>1629</v>
      </c>
      <c r="FG14" s="123" t="s">
        <v>119</v>
      </c>
      <c r="FH14" s="142">
        <v>0</v>
      </c>
      <c r="FI14" s="115">
        <v>25000</v>
      </c>
      <c r="FJ14" s="125" t="b">
        <v>0</v>
      </c>
      <c r="FL14" s="201"/>
      <c r="FN14" s="132" t="s">
        <v>1658</v>
      </c>
      <c r="FO14" s="123" t="s">
        <v>275</v>
      </c>
      <c r="FP14" s="142">
        <v>0</v>
      </c>
      <c r="FQ14" s="137">
        <v>50000</v>
      </c>
      <c r="FR14" s="125" t="b">
        <v>0</v>
      </c>
      <c r="FT14" s="201"/>
      <c r="FV14" s="132" t="s">
        <v>1669</v>
      </c>
      <c r="FW14" s="123" t="s">
        <v>387</v>
      </c>
      <c r="FX14" s="142">
        <v>0</v>
      </c>
      <c r="FY14" s="115">
        <v>1000</v>
      </c>
      <c r="FZ14" s="125" t="b">
        <v>0</v>
      </c>
      <c r="GB14" s="201"/>
      <c r="GD14" s="139" t="s">
        <v>1815</v>
      </c>
      <c r="GE14" s="97" t="s">
        <v>535</v>
      </c>
      <c r="GF14" s="97">
        <v>0</v>
      </c>
      <c r="GH14" s="125" t="b">
        <v>0</v>
      </c>
      <c r="GJ14" s="201"/>
      <c r="GL14" s="132" t="s">
        <v>1699</v>
      </c>
      <c r="GM14" s="123" t="s">
        <v>387</v>
      </c>
      <c r="GN14" s="97">
        <v>0</v>
      </c>
      <c r="GO14" s="97">
        <v>1000</v>
      </c>
      <c r="GP14" s="125" t="b">
        <v>0</v>
      </c>
      <c r="GR14" s="201"/>
      <c r="GT14" s="132" t="s">
        <v>1722</v>
      </c>
      <c r="GU14" s="123" t="s">
        <v>16</v>
      </c>
      <c r="GV14" s="142">
        <v>0</v>
      </c>
      <c r="GW14" s="115">
        <v>100</v>
      </c>
      <c r="GX14" s="125" t="b">
        <v>0</v>
      </c>
      <c r="GZ14" s="201"/>
      <c r="HB14" s="132"/>
      <c r="HC14" s="123"/>
      <c r="HD14" s="142"/>
      <c r="HH14" s="201"/>
    </row>
    <row r="15" spans="1:224" ht="15" x14ac:dyDescent="0.25">
      <c r="B15" s="132"/>
      <c r="D15" s="142"/>
      <c r="F15" s="125"/>
      <c r="G15" s="125"/>
      <c r="H15" s="201"/>
      <c r="I15" s="121"/>
      <c r="J15" s="132" t="s">
        <v>1438</v>
      </c>
      <c r="K15" s="138" t="s">
        <v>211</v>
      </c>
      <c r="L15" s="138"/>
      <c r="N15" s="125"/>
      <c r="O15" s="125"/>
      <c r="P15" s="201"/>
      <c r="R15" s="132" t="s">
        <v>147</v>
      </c>
      <c r="S15" s="123"/>
      <c r="T15" s="142"/>
      <c r="U15" s="137"/>
      <c r="V15" s="125"/>
      <c r="W15" s="125"/>
      <c r="X15" s="201"/>
      <c r="Z15" s="132"/>
      <c r="AA15" s="123"/>
      <c r="AB15" s="142"/>
      <c r="AD15" s="125"/>
      <c r="AE15" s="125"/>
      <c r="AF15" s="201"/>
      <c r="AH15" s="132" t="s">
        <v>1463</v>
      </c>
      <c r="AI15" s="123"/>
      <c r="AJ15" s="142"/>
      <c r="AK15" s="137"/>
      <c r="AL15" s="125" t="b">
        <v>1</v>
      </c>
      <c r="AM15" s="125" t="s">
        <v>155</v>
      </c>
      <c r="AN15" s="201"/>
      <c r="AP15" s="132" t="s">
        <v>1436</v>
      </c>
      <c r="AQ15" s="123"/>
      <c r="AR15" s="147"/>
      <c r="AS15" s="131"/>
      <c r="AU15" s="125" t="s">
        <v>1047</v>
      </c>
      <c r="AV15" s="201"/>
      <c r="AX15" s="132"/>
      <c r="AY15" s="123"/>
      <c r="AZ15" s="142"/>
      <c r="BA15" s="137"/>
      <c r="BD15" s="201"/>
      <c r="BF15" s="132" t="s">
        <v>1486</v>
      </c>
      <c r="BG15" s="138" t="s">
        <v>1428</v>
      </c>
      <c r="BH15" s="142">
        <v>0</v>
      </c>
      <c r="BI15" s="115">
        <v>55</v>
      </c>
      <c r="BJ15" s="125" t="b">
        <v>0</v>
      </c>
      <c r="BL15" s="201"/>
      <c r="BN15" s="132" t="s">
        <v>1503</v>
      </c>
      <c r="BO15" s="138" t="s">
        <v>1429</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1539</v>
      </c>
      <c r="DK15" s="97" t="s">
        <v>133</v>
      </c>
      <c r="DL15" s="142"/>
      <c r="DM15" s="137"/>
      <c r="DN15" s="125" t="b">
        <v>0</v>
      </c>
      <c r="DO15" s="125" t="s">
        <v>1287</v>
      </c>
      <c r="DP15" s="201"/>
      <c r="DR15" s="132" t="s">
        <v>1556</v>
      </c>
      <c r="DS15" s="152" t="s">
        <v>1008</v>
      </c>
      <c r="DT15" s="97">
        <v>0</v>
      </c>
      <c r="DU15" s="115">
        <v>1</v>
      </c>
      <c r="DV15" s="125" t="b">
        <v>0</v>
      </c>
      <c r="DX15" s="201"/>
      <c r="DZ15" s="132" t="s">
        <v>795</v>
      </c>
      <c r="EA15" s="123"/>
      <c r="EB15" s="142"/>
      <c r="EE15" s="125" t="s">
        <v>1287</v>
      </c>
      <c r="EF15" s="201"/>
      <c r="EH15" s="132"/>
      <c r="EI15" s="123"/>
      <c r="EJ15" s="142"/>
      <c r="EK15" s="137"/>
      <c r="EN15" s="201"/>
      <c r="EP15" s="132"/>
      <c r="EQ15" s="138"/>
      <c r="ER15" s="142"/>
      <c r="ES15" s="137"/>
      <c r="EV15" s="201"/>
      <c r="EX15" s="132" t="s">
        <v>1614</v>
      </c>
      <c r="EY15" s="138" t="s">
        <v>1010</v>
      </c>
      <c r="EZ15" s="142">
        <v>-20</v>
      </c>
      <c r="FA15" s="137">
        <v>40</v>
      </c>
      <c r="FB15" s="125" t="b">
        <v>0</v>
      </c>
      <c r="FD15" s="201"/>
      <c r="FF15" s="132" t="s">
        <v>1630</v>
      </c>
      <c r="FG15" s="123" t="s">
        <v>91</v>
      </c>
      <c r="FH15" s="142">
        <v>0</v>
      </c>
      <c r="FI15" s="137">
        <v>10000</v>
      </c>
      <c r="FJ15" s="125" t="b">
        <v>0</v>
      </c>
      <c r="FL15" s="201"/>
      <c r="FN15" s="132" t="s">
        <v>1659</v>
      </c>
      <c r="FO15" s="123" t="s">
        <v>40</v>
      </c>
      <c r="FP15" s="123">
        <v>0</v>
      </c>
      <c r="FQ15" s="137">
        <v>100</v>
      </c>
      <c r="FR15" s="125" t="b">
        <v>0</v>
      </c>
      <c r="FT15" s="201"/>
      <c r="FV15" s="132" t="s">
        <v>1806</v>
      </c>
      <c r="FW15" s="123" t="s">
        <v>387</v>
      </c>
      <c r="FX15" s="142">
        <v>0</v>
      </c>
      <c r="FY15" s="115">
        <v>1000</v>
      </c>
      <c r="FZ15" s="125" t="b">
        <v>0</v>
      </c>
      <c r="GB15" s="201"/>
      <c r="GD15" s="139"/>
      <c r="GE15" s="97"/>
      <c r="GF15" s="97"/>
      <c r="GJ15" s="201"/>
      <c r="GL15" s="132" t="s">
        <v>1700</v>
      </c>
      <c r="GM15" s="123" t="s">
        <v>387</v>
      </c>
      <c r="GN15" s="97">
        <v>0</v>
      </c>
      <c r="GO15" s="97">
        <v>1000</v>
      </c>
      <c r="GP15" s="125" t="b">
        <v>0</v>
      </c>
      <c r="GR15" s="201"/>
      <c r="GT15" s="132" t="s">
        <v>1719</v>
      </c>
      <c r="GU15" s="123" t="s">
        <v>18</v>
      </c>
      <c r="GV15" s="142">
        <v>0</v>
      </c>
      <c r="GW15" s="137">
        <v>100</v>
      </c>
      <c r="GX15" s="125" t="b">
        <v>0</v>
      </c>
      <c r="GZ15" s="201"/>
      <c r="HB15" s="132"/>
      <c r="HC15" s="123"/>
      <c r="HD15" s="142"/>
      <c r="HE15" s="137"/>
      <c r="HH15" s="201"/>
    </row>
    <row r="16" spans="1:224" ht="15" x14ac:dyDescent="0.25">
      <c r="B16" s="132"/>
      <c r="D16" s="142"/>
      <c r="E16" s="137"/>
      <c r="F16" s="125"/>
      <c r="G16" s="125"/>
      <c r="H16" s="201"/>
      <c r="I16" s="121"/>
      <c r="J16" s="132" t="s">
        <v>1439</v>
      </c>
      <c r="K16" s="138" t="s">
        <v>41</v>
      </c>
      <c r="L16" s="138"/>
      <c r="N16" s="125"/>
      <c r="O16" s="125"/>
      <c r="P16" s="201"/>
      <c r="R16" s="132" t="s">
        <v>1449</v>
      </c>
      <c r="S16" s="123"/>
      <c r="T16" s="123"/>
      <c r="U16" s="137"/>
      <c r="V16" s="125"/>
      <c r="W16" s="125"/>
      <c r="X16" s="201"/>
      <c r="Z16" s="132"/>
      <c r="AA16" s="123"/>
      <c r="AB16" s="142"/>
      <c r="AC16" s="137"/>
      <c r="AD16" s="125"/>
      <c r="AE16" s="125"/>
      <c r="AF16" s="201"/>
      <c r="AH16" s="132" t="s">
        <v>2245</v>
      </c>
      <c r="AI16" s="123"/>
      <c r="AJ16" s="123"/>
      <c r="AK16" s="137"/>
      <c r="AL16" s="125" t="b">
        <v>1</v>
      </c>
      <c r="AN16" s="201"/>
      <c r="AP16" s="132" t="s">
        <v>1434</v>
      </c>
      <c r="AQ16" s="138" t="s">
        <v>116</v>
      </c>
      <c r="AR16" s="147">
        <v>29221</v>
      </c>
      <c r="AS16" s="131">
        <f ca="1">TODAY()</f>
        <v>42886</v>
      </c>
      <c r="AT16" s="125" t="b">
        <v>0</v>
      </c>
      <c r="AV16" s="201"/>
      <c r="AX16" s="132"/>
      <c r="AY16" s="123"/>
      <c r="AZ16" s="123"/>
      <c r="BA16" s="137"/>
      <c r="BD16" s="201"/>
      <c r="BF16" s="132" t="s">
        <v>1487</v>
      </c>
      <c r="BG16" s="138" t="s">
        <v>1010</v>
      </c>
      <c r="BH16" s="142">
        <v>-20</v>
      </c>
      <c r="BI16" s="137">
        <v>40</v>
      </c>
      <c r="BJ16" s="125" t="b">
        <v>0</v>
      </c>
      <c r="BL16" s="201"/>
      <c r="BN16" s="132" t="s">
        <v>1504</v>
      </c>
      <c r="BO16" s="123"/>
      <c r="BP16" s="142"/>
      <c r="BQ16" s="137"/>
      <c r="BS16" s="125" t="s">
        <v>488</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1540</v>
      </c>
      <c r="DK16" s="97" t="s">
        <v>633</v>
      </c>
      <c r="DL16" s="97">
        <v>0</v>
      </c>
      <c r="DM16" s="137"/>
      <c r="DN16" s="125" t="b">
        <v>0</v>
      </c>
      <c r="DP16" s="201"/>
      <c r="DR16" s="132" t="s">
        <v>1764</v>
      </c>
      <c r="DS16" s="152" t="s">
        <v>1018</v>
      </c>
      <c r="DT16" s="97">
        <v>0</v>
      </c>
      <c r="DU16" s="115">
        <v>1000000</v>
      </c>
      <c r="DV16" s="125" t="b">
        <v>0</v>
      </c>
      <c r="DX16" s="201"/>
      <c r="DZ16" s="132" t="s">
        <v>481</v>
      </c>
      <c r="EA16" s="123"/>
      <c r="EB16" s="142"/>
      <c r="EC16" s="137"/>
      <c r="EE16" s="125" t="s">
        <v>1287</v>
      </c>
      <c r="EF16" s="201"/>
      <c r="EH16" s="132"/>
      <c r="EI16" s="123"/>
      <c r="EJ16" s="123"/>
      <c r="EK16" s="137"/>
      <c r="EN16" s="201"/>
      <c r="EP16" s="132"/>
      <c r="EQ16" s="138"/>
      <c r="ER16" s="138"/>
      <c r="ES16" s="137"/>
      <c r="EV16" s="201"/>
      <c r="EX16" s="132" t="s">
        <v>1615</v>
      </c>
      <c r="EY16" s="138" t="s">
        <v>1010</v>
      </c>
      <c r="EZ16" s="123">
        <v>-25</v>
      </c>
      <c r="FA16" s="137">
        <v>40</v>
      </c>
      <c r="FB16" s="125" t="b">
        <v>0</v>
      </c>
      <c r="FD16" s="201"/>
      <c r="FF16" s="132" t="s">
        <v>1856</v>
      </c>
      <c r="FG16" s="123" t="s">
        <v>118</v>
      </c>
      <c r="FH16" s="123">
        <v>0</v>
      </c>
      <c r="FI16" s="137">
        <v>50000</v>
      </c>
      <c r="FJ16" s="125" t="b">
        <v>0</v>
      </c>
      <c r="FL16" s="201"/>
      <c r="FN16" s="132" t="s">
        <v>1660</v>
      </c>
      <c r="FO16" s="138" t="s">
        <v>119</v>
      </c>
      <c r="FP16" s="123">
        <v>0</v>
      </c>
      <c r="FQ16" s="115">
        <v>25000</v>
      </c>
      <c r="FR16" s="125" t="b">
        <v>0</v>
      </c>
      <c r="FT16" s="201"/>
      <c r="FV16" s="132" t="s">
        <v>1671</v>
      </c>
      <c r="FW16" s="123" t="s">
        <v>387</v>
      </c>
      <c r="FX16" s="123">
        <v>0</v>
      </c>
      <c r="FY16" s="115">
        <v>1000</v>
      </c>
      <c r="FZ16" s="125" t="b">
        <v>0</v>
      </c>
      <c r="GB16" s="201"/>
      <c r="GD16" s="139"/>
      <c r="GJ16" s="201"/>
      <c r="GL16" s="132" t="s">
        <v>1701</v>
      </c>
      <c r="GM16" s="123" t="s">
        <v>387</v>
      </c>
      <c r="GN16" s="97">
        <v>0</v>
      </c>
      <c r="GO16" s="97">
        <v>1000</v>
      </c>
      <c r="GP16" s="125" t="b">
        <v>0</v>
      </c>
      <c r="GR16" s="201"/>
      <c r="GT16" s="132" t="s">
        <v>1720</v>
      </c>
      <c r="GU16" s="138" t="s">
        <v>119</v>
      </c>
      <c r="GV16" s="123">
        <v>0</v>
      </c>
      <c r="GW16" s="136">
        <v>25000</v>
      </c>
      <c r="GX16" s="125" t="b">
        <v>0</v>
      </c>
      <c r="GZ16" s="201"/>
      <c r="HB16" s="132"/>
      <c r="HC16" s="123"/>
      <c r="HD16" s="123"/>
      <c r="HE16" s="137"/>
      <c r="HH16" s="201"/>
    </row>
    <row r="17" spans="2:216" ht="15" x14ac:dyDescent="0.25">
      <c r="B17" s="132"/>
      <c r="E17" s="137"/>
      <c r="F17" s="125"/>
      <c r="G17" s="125"/>
      <c r="H17" s="201"/>
      <c r="I17" s="121"/>
      <c r="J17" s="132" t="s">
        <v>1440</v>
      </c>
      <c r="K17" s="138" t="s">
        <v>1010</v>
      </c>
      <c r="L17" s="138"/>
      <c r="N17" s="125"/>
      <c r="O17" s="125"/>
      <c r="P17" s="201"/>
      <c r="R17" s="132" t="s">
        <v>1450</v>
      </c>
      <c r="S17" s="123"/>
      <c r="T17" s="123"/>
      <c r="V17" s="125"/>
      <c r="W17" s="125"/>
      <c r="X17" s="201"/>
      <c r="Z17" s="132"/>
      <c r="AA17" s="123"/>
      <c r="AB17" s="123"/>
      <c r="AC17" s="137"/>
      <c r="AD17" s="125"/>
      <c r="AE17" s="125"/>
      <c r="AF17" s="201"/>
      <c r="AH17" s="132" t="s">
        <v>2296</v>
      </c>
      <c r="AI17" s="123"/>
      <c r="AJ17" s="123"/>
      <c r="AL17" s="125" t="b">
        <v>1</v>
      </c>
      <c r="AN17" s="201"/>
      <c r="AP17" s="132" t="s">
        <v>1435</v>
      </c>
      <c r="AQ17" s="138" t="s">
        <v>116</v>
      </c>
      <c r="AR17" s="140">
        <v>29221</v>
      </c>
      <c r="AS17" s="131">
        <f ca="1">TODAY()</f>
        <v>42886</v>
      </c>
      <c r="AT17" s="125" t="b">
        <v>0</v>
      </c>
      <c r="AV17" s="201"/>
      <c r="AX17" s="132"/>
      <c r="AY17" s="123"/>
      <c r="AZ17" s="123"/>
      <c r="BD17" s="201"/>
      <c r="BF17" s="132" t="s">
        <v>1488</v>
      </c>
      <c r="BG17" s="138" t="s">
        <v>1010</v>
      </c>
      <c r="BH17" s="138">
        <v>-20</v>
      </c>
      <c r="BI17" s="137">
        <v>40</v>
      </c>
      <c r="BJ17" s="125" t="b">
        <v>0</v>
      </c>
      <c r="BL17" s="201"/>
      <c r="BN17" s="132" t="s">
        <v>1505</v>
      </c>
      <c r="BO17" s="123"/>
      <c r="BP17" s="123"/>
      <c r="BQ17" s="137"/>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1872</v>
      </c>
      <c r="DK17" s="115" t="s">
        <v>40</v>
      </c>
      <c r="DL17" s="115">
        <v>0</v>
      </c>
      <c r="DM17" s="115">
        <v>100</v>
      </c>
      <c r="DN17" s="125" t="b">
        <v>0</v>
      </c>
      <c r="DP17" s="201"/>
      <c r="DR17" s="132" t="s">
        <v>1765</v>
      </c>
      <c r="DS17" s="97" t="s">
        <v>635</v>
      </c>
      <c r="DT17" s="97">
        <v>0</v>
      </c>
      <c r="DU17" s="115">
        <v>1000000</v>
      </c>
      <c r="DV17" s="125" t="b">
        <v>0</v>
      </c>
      <c r="DX17" s="201"/>
      <c r="DZ17" s="132" t="s">
        <v>1786</v>
      </c>
      <c r="EA17" s="138" t="s">
        <v>1016</v>
      </c>
      <c r="EB17" s="97">
        <v>0</v>
      </c>
      <c r="EC17" s="137">
        <v>1000</v>
      </c>
      <c r="ED17" s="125" t="b">
        <v>0</v>
      </c>
      <c r="EF17" s="201"/>
      <c r="EH17" s="132"/>
      <c r="EI17" s="123"/>
      <c r="EJ17" s="123"/>
      <c r="EN17" s="201"/>
      <c r="EP17" s="132"/>
      <c r="EQ17" s="138"/>
      <c r="ER17" s="138"/>
      <c r="EV17" s="201"/>
      <c r="EX17" s="132" t="s">
        <v>1616</v>
      </c>
      <c r="EY17" s="123" t="s">
        <v>245</v>
      </c>
      <c r="EZ17" s="123">
        <v>0</v>
      </c>
      <c r="FA17" s="115">
        <v>100</v>
      </c>
      <c r="FB17" s="125" t="b">
        <v>0</v>
      </c>
      <c r="FD17" s="201"/>
      <c r="FF17" s="132" t="s">
        <v>1631</v>
      </c>
      <c r="FG17" s="123" t="s">
        <v>40</v>
      </c>
      <c r="FH17" s="123">
        <v>0</v>
      </c>
      <c r="FI17" s="115">
        <v>100</v>
      </c>
      <c r="FJ17" s="125" t="b">
        <v>0</v>
      </c>
      <c r="FL17" s="201"/>
      <c r="FN17" s="132" t="s">
        <v>1803</v>
      </c>
      <c r="FO17" s="138" t="s">
        <v>91</v>
      </c>
      <c r="FP17" s="142">
        <v>0</v>
      </c>
      <c r="FQ17" s="115">
        <v>10000</v>
      </c>
      <c r="FR17" s="125" t="b">
        <v>0</v>
      </c>
      <c r="FT17" s="201"/>
      <c r="FV17" s="132" t="s">
        <v>1685</v>
      </c>
      <c r="FW17" s="123" t="s">
        <v>387</v>
      </c>
      <c r="FX17" s="123">
        <v>0</v>
      </c>
      <c r="FY17" s="115">
        <v>1000</v>
      </c>
      <c r="FZ17" s="125" t="b">
        <v>0</v>
      </c>
      <c r="GB17" s="201"/>
      <c r="GD17" s="139"/>
      <c r="GJ17" s="201"/>
      <c r="GL17" s="132" t="s">
        <v>1702</v>
      </c>
      <c r="GM17" s="123" t="s">
        <v>387</v>
      </c>
      <c r="GN17" s="97">
        <v>0</v>
      </c>
      <c r="GO17" s="97">
        <v>3500</v>
      </c>
      <c r="GP17" s="125" t="b">
        <v>0</v>
      </c>
      <c r="GR17" s="201"/>
      <c r="GT17" s="132" t="s">
        <v>1721</v>
      </c>
      <c r="GU17" s="138" t="s">
        <v>91</v>
      </c>
      <c r="GV17" s="123">
        <v>0</v>
      </c>
      <c r="GW17" s="115">
        <v>2500</v>
      </c>
      <c r="GX17" s="125" t="b">
        <v>0</v>
      </c>
      <c r="GZ17" s="201"/>
      <c r="HB17" s="132"/>
      <c r="HC17" s="123"/>
      <c r="HD17" s="123"/>
      <c r="HH17" s="201"/>
    </row>
    <row r="18" spans="2:216" ht="15" x14ac:dyDescent="0.25">
      <c r="B18" s="132"/>
      <c r="C18" s="138"/>
      <c r="F18" s="125"/>
      <c r="G18" s="125"/>
      <c r="H18" s="201"/>
      <c r="I18" s="121"/>
      <c r="J18" s="132" t="s">
        <v>1441</v>
      </c>
      <c r="K18" s="138"/>
      <c r="L18" s="142"/>
      <c r="M18" s="137"/>
      <c r="N18" s="125"/>
      <c r="O18" s="125"/>
      <c r="P18" s="201"/>
      <c r="R18" s="132"/>
      <c r="S18" s="123"/>
      <c r="T18" s="142"/>
      <c r="V18" s="125"/>
      <c r="W18" s="125"/>
      <c r="X18" s="201"/>
      <c r="Z18" s="132"/>
      <c r="AA18" s="123"/>
      <c r="AB18" s="123"/>
      <c r="AD18" s="125"/>
      <c r="AE18" s="125"/>
      <c r="AF18" s="201"/>
      <c r="AH18" s="132"/>
      <c r="AI18" s="123"/>
      <c r="AJ18" s="142"/>
      <c r="AN18" s="201"/>
      <c r="AP18" s="132" t="s">
        <v>1464</v>
      </c>
      <c r="AQ18" s="138"/>
      <c r="AR18" s="138"/>
      <c r="AV18" s="201"/>
      <c r="AX18" s="132"/>
      <c r="AY18" s="123"/>
      <c r="AZ18" s="142"/>
      <c r="BD18" s="201"/>
      <c r="BF18" s="132" t="s">
        <v>1756</v>
      </c>
      <c r="BG18" s="138" t="s">
        <v>261</v>
      </c>
      <c r="BH18" s="138">
        <v>0</v>
      </c>
      <c r="BI18" s="115">
        <v>360</v>
      </c>
      <c r="BJ18" s="125" t="b">
        <v>0</v>
      </c>
      <c r="BL18" s="201"/>
      <c r="BN18" s="132" t="s">
        <v>1506</v>
      </c>
      <c r="BO18" s="123"/>
      <c r="BP18" s="123"/>
      <c r="BS18" s="125" t="s">
        <v>183</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1761</v>
      </c>
      <c r="DK18" s="115" t="s">
        <v>40</v>
      </c>
      <c r="DL18" s="97">
        <v>0</v>
      </c>
      <c r="DM18" s="115">
        <v>100</v>
      </c>
      <c r="DN18" s="125" t="b">
        <v>0</v>
      </c>
      <c r="DP18" s="201"/>
      <c r="DR18" s="132" t="s">
        <v>1766</v>
      </c>
      <c r="DS18" s="97" t="s">
        <v>635</v>
      </c>
      <c r="DT18" s="97">
        <v>0</v>
      </c>
      <c r="DU18" s="137">
        <v>1000000</v>
      </c>
      <c r="DV18" s="125" t="b">
        <v>0</v>
      </c>
      <c r="DX18" s="201"/>
      <c r="DZ18" s="132" t="s">
        <v>1597</v>
      </c>
      <c r="EA18" s="138" t="s">
        <v>1016</v>
      </c>
      <c r="EB18" s="97">
        <v>0</v>
      </c>
      <c r="EC18" s="115">
        <v>1000</v>
      </c>
      <c r="ED18" s="125" t="b">
        <v>0</v>
      </c>
      <c r="EF18" s="201"/>
      <c r="EH18" s="132"/>
      <c r="EI18" s="123"/>
      <c r="EJ18" s="142"/>
      <c r="EN18" s="201"/>
      <c r="EP18" s="132"/>
      <c r="EQ18" s="138"/>
      <c r="ER18" s="142"/>
      <c r="EV18" s="201"/>
      <c r="EX18" s="132" t="s">
        <v>1617</v>
      </c>
      <c r="EY18" s="123" t="s">
        <v>46</v>
      </c>
      <c r="EZ18" s="142">
        <v>0</v>
      </c>
      <c r="FA18" s="115">
        <v>100</v>
      </c>
      <c r="FB18" s="125" t="b">
        <v>0</v>
      </c>
      <c r="FD18" s="201"/>
      <c r="FF18" s="132" t="s">
        <v>1632</v>
      </c>
      <c r="FG18" s="123" t="s">
        <v>119</v>
      </c>
      <c r="FH18" s="142">
        <v>0</v>
      </c>
      <c r="FI18" s="115">
        <v>25000</v>
      </c>
      <c r="FJ18" s="125" t="b">
        <v>0</v>
      </c>
      <c r="FL18" s="201"/>
      <c r="FN18" s="132" t="s">
        <v>1662</v>
      </c>
      <c r="FO18" s="123" t="s">
        <v>1414</v>
      </c>
      <c r="FP18" s="138">
        <v>0</v>
      </c>
      <c r="FQ18" s="115">
        <v>1000</v>
      </c>
      <c r="FR18" s="125" t="b">
        <v>0</v>
      </c>
      <c r="FT18" s="201"/>
      <c r="FV18" s="132" t="s">
        <v>1672</v>
      </c>
      <c r="FW18" s="123" t="s">
        <v>387</v>
      </c>
      <c r="FX18" s="142">
        <v>0</v>
      </c>
      <c r="FY18" s="115">
        <v>1000</v>
      </c>
      <c r="FZ18" s="125" t="b">
        <v>0</v>
      </c>
      <c r="GB18" s="201"/>
      <c r="GD18" s="139"/>
      <c r="GJ18" s="201"/>
      <c r="GL18" s="132" t="s">
        <v>1816</v>
      </c>
      <c r="GM18" s="123" t="s">
        <v>399</v>
      </c>
      <c r="GN18" s="97">
        <v>0</v>
      </c>
      <c r="GO18" s="97">
        <v>1500</v>
      </c>
      <c r="GP18" s="125" t="b">
        <v>0</v>
      </c>
      <c r="GR18" s="201"/>
      <c r="GT18" s="132" t="s">
        <v>1723</v>
      </c>
      <c r="GU18" s="138" t="s">
        <v>119</v>
      </c>
      <c r="GV18" s="142">
        <v>0</v>
      </c>
      <c r="GW18" s="115">
        <v>25000</v>
      </c>
      <c r="GX18" s="125" t="b">
        <v>0</v>
      </c>
      <c r="GZ18" s="201"/>
      <c r="HB18" s="132"/>
      <c r="HC18" s="123"/>
      <c r="HD18" s="142"/>
      <c r="HH18" s="201"/>
    </row>
    <row r="19" spans="2:216" ht="15" x14ac:dyDescent="0.25">
      <c r="B19" s="132"/>
      <c r="D19" s="142"/>
      <c r="F19" s="125"/>
      <c r="G19" s="125"/>
      <c r="H19" s="201"/>
      <c r="I19" s="121"/>
      <c r="J19" s="132" t="s">
        <v>1442</v>
      </c>
      <c r="K19" s="138"/>
      <c r="L19" s="142"/>
      <c r="M19" s="137"/>
      <c r="N19" s="125"/>
      <c r="O19" s="125"/>
      <c r="P19" s="201"/>
      <c r="R19" s="132"/>
      <c r="S19" s="123"/>
      <c r="T19" s="138"/>
      <c r="V19" s="125"/>
      <c r="W19" s="125"/>
      <c r="X19" s="201"/>
      <c r="Z19" s="132"/>
      <c r="AA19" s="123"/>
      <c r="AB19" s="142"/>
      <c r="AD19" s="125"/>
      <c r="AE19" s="125"/>
      <c r="AF19" s="201"/>
      <c r="AH19" s="132"/>
      <c r="AI19" s="123"/>
      <c r="AJ19" s="138"/>
      <c r="AN19" s="201"/>
      <c r="AP19" s="132" t="s">
        <v>1465</v>
      </c>
      <c r="AQ19" s="138"/>
      <c r="AR19" s="142"/>
      <c r="AV19" s="201"/>
      <c r="AX19" s="132"/>
      <c r="AY19" s="123"/>
      <c r="AZ19" s="138"/>
      <c r="BD19" s="201"/>
      <c r="BF19" s="132" t="s">
        <v>1490</v>
      </c>
      <c r="BG19" s="138" t="s">
        <v>115</v>
      </c>
      <c r="BH19" s="142">
        <v>0</v>
      </c>
      <c r="BI19" s="115">
        <v>15</v>
      </c>
      <c r="BJ19" s="125" t="b">
        <v>0</v>
      </c>
      <c r="BL19" s="201"/>
      <c r="BN19" s="132" t="s">
        <v>1507</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1549</v>
      </c>
      <c r="DK19" s="97" t="s">
        <v>387</v>
      </c>
      <c r="DL19" s="97">
        <v>0</v>
      </c>
      <c r="DN19" s="125" t="b">
        <v>0</v>
      </c>
      <c r="DP19" s="201"/>
      <c r="DR19" s="132" t="s">
        <v>1767</v>
      </c>
      <c r="DS19" s="152" t="s">
        <v>1019</v>
      </c>
      <c r="DT19" s="97">
        <v>0</v>
      </c>
      <c r="DU19" s="137">
        <v>1000000</v>
      </c>
      <c r="DV19" s="125" t="b">
        <v>0</v>
      </c>
      <c r="DX19" s="201"/>
      <c r="DZ19" s="132" t="s">
        <v>1598</v>
      </c>
      <c r="EA19" s="138" t="s">
        <v>1018</v>
      </c>
      <c r="EB19" s="97">
        <v>0</v>
      </c>
      <c r="EC19" s="115">
        <v>1000000</v>
      </c>
      <c r="ED19" s="125" t="b">
        <v>0</v>
      </c>
      <c r="EF19" s="201"/>
      <c r="EH19" s="132"/>
      <c r="EI19" s="123"/>
      <c r="EJ19" s="138"/>
      <c r="EN19" s="201"/>
      <c r="EP19" s="139"/>
      <c r="EV19" s="201"/>
      <c r="EX19" s="139" t="s">
        <v>1796</v>
      </c>
      <c r="EY19" s="115" t="s">
        <v>1023</v>
      </c>
      <c r="EZ19" s="115">
        <v>-100</v>
      </c>
      <c r="FA19" s="115">
        <v>10000</v>
      </c>
      <c r="FB19" s="125" t="b">
        <v>0</v>
      </c>
      <c r="FD19" s="201"/>
      <c r="FF19" s="132" t="s">
        <v>1633</v>
      </c>
      <c r="FG19" s="123" t="s">
        <v>91</v>
      </c>
      <c r="FH19" s="138">
        <v>0</v>
      </c>
      <c r="FI19" s="115">
        <v>25000</v>
      </c>
      <c r="FJ19" s="125" t="b">
        <v>0</v>
      </c>
      <c r="FL19" s="201"/>
      <c r="FN19" s="139"/>
      <c r="FT19" s="201"/>
      <c r="FV19" s="132" t="s">
        <v>1807</v>
      </c>
      <c r="FW19" s="123" t="s">
        <v>387</v>
      </c>
      <c r="FX19" s="138">
        <v>0</v>
      </c>
      <c r="FY19" s="115">
        <v>1000</v>
      </c>
      <c r="FZ19" s="125" t="b">
        <v>0</v>
      </c>
      <c r="GB19" s="201"/>
      <c r="GD19" s="139"/>
      <c r="GJ19" s="201"/>
      <c r="GL19" s="132" t="s">
        <v>1817</v>
      </c>
      <c r="GM19" s="123" t="s">
        <v>399</v>
      </c>
      <c r="GN19" s="97">
        <v>0</v>
      </c>
      <c r="GO19" s="97">
        <v>1000</v>
      </c>
      <c r="GP19" s="125" t="b">
        <v>0</v>
      </c>
      <c r="GR19" s="201"/>
      <c r="GT19" s="132" t="s">
        <v>1724</v>
      </c>
      <c r="GU19" s="138" t="s">
        <v>91</v>
      </c>
      <c r="GV19" s="138">
        <v>0</v>
      </c>
      <c r="GW19" s="115">
        <v>2500</v>
      </c>
      <c r="GX19" s="125" t="b">
        <v>0</v>
      </c>
      <c r="GZ19" s="201"/>
      <c r="HB19" s="132"/>
      <c r="HC19" s="123"/>
      <c r="HD19" s="138"/>
      <c r="HH19" s="201"/>
    </row>
    <row r="20" spans="2:216" ht="15" x14ac:dyDescent="0.25">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1466</v>
      </c>
      <c r="AQ20" s="138"/>
      <c r="AR20" s="138"/>
      <c r="AV20" s="201"/>
      <c r="AX20" s="139"/>
      <c r="BD20" s="201"/>
      <c r="BF20" s="132" t="s">
        <v>1491</v>
      </c>
      <c r="BG20" s="138" t="s">
        <v>115</v>
      </c>
      <c r="BH20" s="138">
        <v>0</v>
      </c>
      <c r="BI20" s="115">
        <v>15</v>
      </c>
      <c r="BJ20" s="125" t="b">
        <v>0</v>
      </c>
      <c r="BL20" s="201"/>
      <c r="BN20" s="132" t="s">
        <v>1508</v>
      </c>
      <c r="BO20" s="123"/>
      <c r="BP20" s="138"/>
      <c r="BS20" s="125" t="s">
        <v>120</v>
      </c>
      <c r="BT20" s="201"/>
      <c r="BV20" s="139"/>
      <c r="CB20" s="201"/>
      <c r="CD20" s="139"/>
      <c r="CJ20" s="201"/>
      <c r="CL20" s="139"/>
      <c r="CR20" s="201"/>
      <c r="CT20" s="139"/>
      <c r="CZ20" s="201"/>
      <c r="DB20" s="139"/>
      <c r="DH20" s="201"/>
      <c r="DJ20" s="139" t="s">
        <v>1544</v>
      </c>
      <c r="DK20" s="115" t="s">
        <v>1426</v>
      </c>
      <c r="DL20" s="115">
        <v>0</v>
      </c>
      <c r="DM20" s="115">
        <v>3</v>
      </c>
      <c r="DN20" s="125" t="b">
        <v>0</v>
      </c>
      <c r="DP20" s="201"/>
      <c r="DR20" s="132" t="s">
        <v>1768</v>
      </c>
      <c r="DS20" s="152" t="s">
        <v>1020</v>
      </c>
      <c r="DT20" s="97">
        <v>0</v>
      </c>
      <c r="DU20" s="115">
        <v>1000000</v>
      </c>
      <c r="DV20" s="125" t="b">
        <v>0</v>
      </c>
      <c r="DX20" s="201"/>
      <c r="DZ20" s="132" t="s">
        <v>1599</v>
      </c>
      <c r="EA20" s="138" t="s">
        <v>635</v>
      </c>
      <c r="EB20" s="97">
        <v>0</v>
      </c>
      <c r="EC20" s="115">
        <v>1000000</v>
      </c>
      <c r="ED20" s="125" t="b">
        <v>0</v>
      </c>
      <c r="EF20" s="201"/>
      <c r="EH20" s="139"/>
      <c r="EN20" s="201"/>
      <c r="EP20" s="139"/>
      <c r="EV20" s="201"/>
      <c r="EX20" s="139" t="s">
        <v>1797</v>
      </c>
      <c r="EY20" s="115" t="s">
        <v>1024</v>
      </c>
      <c r="EZ20" s="115">
        <v>-100</v>
      </c>
      <c r="FA20" s="115">
        <v>50000</v>
      </c>
      <c r="FB20" s="125" t="b">
        <v>0</v>
      </c>
      <c r="FD20" s="201"/>
      <c r="FF20" s="139" t="s">
        <v>1857</v>
      </c>
      <c r="FG20" s="115" t="s">
        <v>275</v>
      </c>
      <c r="FH20" s="115">
        <v>0</v>
      </c>
      <c r="FI20" s="115">
        <v>75000</v>
      </c>
      <c r="FJ20" s="125" t="b">
        <v>0</v>
      </c>
      <c r="FL20" s="201"/>
      <c r="FN20" s="139"/>
      <c r="FT20" s="201"/>
      <c r="FV20" s="139" t="s">
        <v>1808</v>
      </c>
      <c r="FW20" s="115" t="s">
        <v>387</v>
      </c>
      <c r="FX20" s="115">
        <v>0</v>
      </c>
      <c r="FY20" s="115">
        <v>1000</v>
      </c>
      <c r="FZ20" s="125" t="b">
        <v>0</v>
      </c>
      <c r="GB20" s="201"/>
      <c r="GD20" s="139"/>
      <c r="GJ20" s="201"/>
      <c r="GL20" s="139" t="s">
        <v>1818</v>
      </c>
      <c r="GM20" s="115" t="s">
        <v>399</v>
      </c>
      <c r="GN20" s="97">
        <v>0</v>
      </c>
      <c r="GO20" s="97">
        <v>1000</v>
      </c>
      <c r="GP20" s="125" t="b">
        <v>0</v>
      </c>
      <c r="GR20" s="201"/>
      <c r="GT20" s="139" t="s">
        <v>1726</v>
      </c>
      <c r="GU20" s="115" t="s">
        <v>1011</v>
      </c>
      <c r="GV20" s="115">
        <v>0</v>
      </c>
      <c r="GW20" s="115">
        <v>25000</v>
      </c>
      <c r="GX20" s="125" t="b">
        <v>0</v>
      </c>
      <c r="GZ20" s="201"/>
      <c r="HB20" s="139"/>
      <c r="HH20" s="201"/>
    </row>
    <row r="21" spans="2:216" ht="15" x14ac:dyDescent="0.25">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1467</v>
      </c>
      <c r="AU21" s="125" t="s">
        <v>126</v>
      </c>
      <c r="AV21" s="201"/>
      <c r="AX21" s="139"/>
      <c r="BD21" s="201"/>
      <c r="BF21" s="139" t="s">
        <v>1757</v>
      </c>
      <c r="BG21" s="115" t="s">
        <v>114</v>
      </c>
      <c r="BH21" s="115">
        <v>0</v>
      </c>
      <c r="BI21" s="115">
        <v>0.5</v>
      </c>
      <c r="BJ21" s="125" t="b">
        <v>0</v>
      </c>
      <c r="BL21" s="201"/>
      <c r="BN21" s="139" t="s">
        <v>1759</v>
      </c>
      <c r="BO21" s="115" t="s">
        <v>66</v>
      </c>
      <c r="BP21" s="115">
        <v>0</v>
      </c>
      <c r="BQ21" s="115">
        <v>1000</v>
      </c>
      <c r="BR21" s="125" t="b">
        <v>0</v>
      </c>
      <c r="BT21" s="201"/>
      <c r="BV21" s="139"/>
      <c r="CB21" s="201"/>
      <c r="CD21" s="139"/>
      <c r="CJ21" s="201"/>
      <c r="CL21" s="139"/>
      <c r="CR21" s="201"/>
      <c r="CT21" s="139"/>
      <c r="CZ21" s="201"/>
      <c r="DB21" s="139"/>
      <c r="DH21" s="201"/>
      <c r="DJ21" s="139" t="s">
        <v>1542</v>
      </c>
      <c r="DK21" s="97" t="s">
        <v>245</v>
      </c>
      <c r="DL21" s="97">
        <v>0</v>
      </c>
      <c r="DN21" s="125" t="b">
        <v>0</v>
      </c>
      <c r="DP21" s="201"/>
      <c r="DR21" s="132" t="s">
        <v>1769</v>
      </c>
      <c r="DS21" s="152" t="s">
        <v>1021</v>
      </c>
      <c r="DT21" s="97">
        <v>0</v>
      </c>
      <c r="DU21" s="115">
        <v>1000000</v>
      </c>
      <c r="DV21" s="125" t="b">
        <v>0</v>
      </c>
      <c r="DX21" s="201"/>
      <c r="DZ21" s="139" t="s">
        <v>1600</v>
      </c>
      <c r="EA21" s="97" t="s">
        <v>582</v>
      </c>
      <c r="EB21" s="97">
        <v>0</v>
      </c>
      <c r="ED21" s="125" t="b">
        <v>0</v>
      </c>
      <c r="EF21" s="201"/>
      <c r="EH21" s="139"/>
      <c r="EN21" s="201"/>
      <c r="EP21" s="139"/>
      <c r="EV21" s="201"/>
      <c r="EX21" s="139" t="s">
        <v>1798</v>
      </c>
      <c r="EY21" s="115" t="s">
        <v>1024</v>
      </c>
      <c r="EZ21" s="115">
        <v>-10000</v>
      </c>
      <c r="FA21" s="115">
        <v>10000</v>
      </c>
      <c r="FB21" s="125" t="b">
        <v>0</v>
      </c>
      <c r="FD21" s="201"/>
      <c r="FF21" s="139" t="s">
        <v>1863</v>
      </c>
      <c r="FG21" s="115" t="s">
        <v>40</v>
      </c>
      <c r="FH21" s="115">
        <v>0</v>
      </c>
      <c r="FI21" s="115">
        <v>100</v>
      </c>
      <c r="FJ21" s="125" t="b">
        <v>0</v>
      </c>
      <c r="FL21" s="201"/>
      <c r="FN21" s="139"/>
      <c r="FT21" s="201"/>
      <c r="FV21" s="139" t="s">
        <v>1809</v>
      </c>
      <c r="FW21" s="115" t="s">
        <v>387</v>
      </c>
      <c r="FX21" s="115">
        <v>0</v>
      </c>
      <c r="FY21" s="115">
        <v>1000</v>
      </c>
      <c r="FZ21" s="125" t="b">
        <v>0</v>
      </c>
      <c r="GB21" s="201"/>
      <c r="GD21" s="139"/>
      <c r="GJ21" s="201"/>
      <c r="GL21" s="139" t="s">
        <v>1819</v>
      </c>
      <c r="GM21" s="115" t="s">
        <v>399</v>
      </c>
      <c r="GN21" s="97">
        <v>0</v>
      </c>
      <c r="GO21" s="97">
        <v>2000</v>
      </c>
      <c r="GP21" s="125" t="b">
        <v>0</v>
      </c>
      <c r="GR21" s="201"/>
      <c r="GT21" s="139" t="s">
        <v>1725</v>
      </c>
      <c r="GU21" s="115" t="s">
        <v>1013</v>
      </c>
      <c r="GV21" s="115">
        <v>0</v>
      </c>
      <c r="GW21" s="115">
        <v>2500</v>
      </c>
      <c r="GX21" s="125" t="b">
        <v>0</v>
      </c>
      <c r="GZ21" s="201"/>
      <c r="HB21" s="139"/>
      <c r="HH21" s="201"/>
    </row>
    <row r="22" spans="2:216" ht="15" x14ac:dyDescent="0.25">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1437</v>
      </c>
      <c r="AQ22" s="138" t="s">
        <v>187</v>
      </c>
      <c r="AR22" s="138"/>
      <c r="AV22" s="201"/>
      <c r="AX22" s="139"/>
      <c r="BD22" s="201"/>
      <c r="BF22" s="139" t="s">
        <v>1493</v>
      </c>
      <c r="BG22" s="115" t="s">
        <v>1428</v>
      </c>
      <c r="BH22" s="115">
        <v>0</v>
      </c>
      <c r="BI22" s="115">
        <v>55</v>
      </c>
      <c r="BJ22" s="125" t="b">
        <v>0</v>
      </c>
      <c r="BL22" s="201"/>
      <c r="BN22" s="139"/>
      <c r="BT22" s="201"/>
      <c r="BV22" s="139"/>
      <c r="CB22" s="201"/>
      <c r="CD22" s="139"/>
      <c r="CJ22" s="201"/>
      <c r="CL22" s="139"/>
      <c r="CR22" s="201"/>
      <c r="CT22" s="139"/>
      <c r="CZ22" s="201"/>
      <c r="DB22" s="139"/>
      <c r="DH22" s="201"/>
      <c r="DJ22" s="139" t="s">
        <v>1543</v>
      </c>
      <c r="DK22" s="97" t="s">
        <v>245</v>
      </c>
      <c r="DL22" s="97">
        <v>0</v>
      </c>
      <c r="DN22" s="125" t="b">
        <v>0</v>
      </c>
      <c r="DP22" s="201"/>
      <c r="DR22" s="132" t="s">
        <v>1770</v>
      </c>
      <c r="DS22" s="152" t="s">
        <v>1022</v>
      </c>
      <c r="DT22" s="97">
        <v>0</v>
      </c>
      <c r="DU22" s="115">
        <v>1000000</v>
      </c>
      <c r="DV22" s="125" t="b">
        <v>0</v>
      </c>
      <c r="DX22" s="201"/>
      <c r="DZ22" s="139" t="s">
        <v>1601</v>
      </c>
      <c r="EA22" s="97" t="s">
        <v>582</v>
      </c>
      <c r="EB22" s="97">
        <v>0</v>
      </c>
      <c r="ED22" s="125" t="b">
        <v>0</v>
      </c>
      <c r="EF22" s="201"/>
      <c r="EH22" s="139"/>
      <c r="EN22" s="201"/>
      <c r="EP22" s="139"/>
      <c r="EV22" s="201"/>
      <c r="EX22" s="139" t="s">
        <v>1618</v>
      </c>
      <c r="EY22" s="115" t="s">
        <v>1010</v>
      </c>
      <c r="EZ22" s="115">
        <v>-20</v>
      </c>
      <c r="FA22" s="115">
        <v>40</v>
      </c>
      <c r="FB22" s="125" t="b">
        <v>0</v>
      </c>
      <c r="FD22" s="201"/>
      <c r="FF22" s="139" t="s">
        <v>1864</v>
      </c>
      <c r="FG22" s="115" t="s">
        <v>119</v>
      </c>
      <c r="FH22" s="115">
        <v>0</v>
      </c>
      <c r="FI22" s="115">
        <v>25000</v>
      </c>
      <c r="FJ22" s="125" t="b">
        <v>0</v>
      </c>
      <c r="FL22" s="201"/>
      <c r="FN22" s="139"/>
      <c r="FT22" s="201"/>
      <c r="FV22" s="139" t="s">
        <v>1810</v>
      </c>
      <c r="FW22" s="123" t="s">
        <v>387</v>
      </c>
      <c r="FX22" s="115">
        <v>0</v>
      </c>
      <c r="FY22" s="115">
        <v>1000</v>
      </c>
      <c r="FZ22" s="125" t="b">
        <v>0</v>
      </c>
      <c r="GB22" s="201"/>
      <c r="GD22" s="139"/>
      <c r="GJ22" s="201"/>
      <c r="GL22" s="139" t="s">
        <v>1820</v>
      </c>
      <c r="GM22" s="115" t="s">
        <v>399</v>
      </c>
      <c r="GN22" s="97">
        <v>0</v>
      </c>
      <c r="GO22" s="97">
        <v>1000</v>
      </c>
      <c r="GP22" s="125" t="b">
        <v>0</v>
      </c>
      <c r="GR22" s="201"/>
      <c r="GT22" s="139" t="s">
        <v>1727</v>
      </c>
      <c r="GU22" s="115" t="s">
        <v>1011</v>
      </c>
      <c r="GV22" s="115">
        <v>0</v>
      </c>
      <c r="GW22" s="115">
        <v>25000</v>
      </c>
      <c r="GX22" s="125" t="b">
        <v>0</v>
      </c>
      <c r="GZ22" s="201"/>
      <c r="HB22" s="139"/>
      <c r="HH22" s="201"/>
    </row>
    <row r="23" spans="2:216" ht="15" x14ac:dyDescent="0.25">
      <c r="B23" s="139"/>
      <c r="C23" s="115"/>
      <c r="D23" s="115"/>
      <c r="F23" s="125"/>
      <c r="G23" s="125"/>
      <c r="H23" s="201"/>
      <c r="I23" s="121"/>
      <c r="J23" s="139"/>
      <c r="N23" s="125"/>
      <c r="O23" s="125"/>
      <c r="P23" s="201"/>
      <c r="R23" s="139"/>
      <c r="V23" s="125"/>
      <c r="W23" s="125"/>
      <c r="X23" s="201"/>
      <c r="Z23" s="139"/>
      <c r="AD23" s="125"/>
      <c r="AE23" s="125"/>
      <c r="AF23" s="201"/>
      <c r="AH23" s="139"/>
      <c r="AN23" s="201"/>
      <c r="AP23" s="149" t="s">
        <v>1443</v>
      </c>
      <c r="AQ23" s="138" t="s">
        <v>1837</v>
      </c>
      <c r="AR23" s="138"/>
      <c r="AT23" s="115"/>
      <c r="AU23" s="115"/>
      <c r="AV23" s="201"/>
      <c r="AX23" s="139"/>
      <c r="BD23" s="201"/>
      <c r="BF23" s="139" t="s">
        <v>1494</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1545</v>
      </c>
      <c r="DK23" s="97" t="s">
        <v>44</v>
      </c>
      <c r="DL23" s="97">
        <v>0</v>
      </c>
      <c r="DN23" s="125" t="b">
        <v>0</v>
      </c>
      <c r="DP23" s="201"/>
      <c r="DR23" s="139" t="s">
        <v>1771</v>
      </c>
      <c r="DS23" s="152" t="s">
        <v>1012</v>
      </c>
      <c r="DT23" s="97">
        <v>0</v>
      </c>
      <c r="DU23" s="115">
        <v>1000000</v>
      </c>
      <c r="DV23" s="125" t="b">
        <v>0</v>
      </c>
      <c r="DX23" s="201"/>
      <c r="DZ23" s="139" t="s">
        <v>1787</v>
      </c>
      <c r="EA23" s="97" t="s">
        <v>509</v>
      </c>
      <c r="EB23" s="97">
        <v>0</v>
      </c>
      <c r="ED23" s="125" t="b">
        <v>0</v>
      </c>
      <c r="EF23" s="201"/>
      <c r="EH23" s="139"/>
      <c r="EN23" s="201"/>
      <c r="EP23" s="139"/>
      <c r="EV23" s="201"/>
      <c r="EX23" s="139" t="s">
        <v>1619</v>
      </c>
      <c r="EY23" s="115" t="s">
        <v>1010</v>
      </c>
      <c r="EZ23" s="115">
        <v>-20</v>
      </c>
      <c r="FA23" s="115">
        <v>40</v>
      </c>
      <c r="FB23" s="125" t="b">
        <v>0</v>
      </c>
      <c r="FD23" s="201"/>
      <c r="FF23" s="139" t="s">
        <v>1862</v>
      </c>
      <c r="FG23" s="115" t="s">
        <v>91</v>
      </c>
      <c r="FH23" s="115">
        <v>0</v>
      </c>
      <c r="FI23" s="115">
        <v>10000</v>
      </c>
      <c r="FJ23" s="125" t="b">
        <v>0</v>
      </c>
      <c r="FL23" s="201"/>
      <c r="FN23" s="139"/>
      <c r="FT23" s="201"/>
      <c r="FV23" s="139" t="s">
        <v>1677</v>
      </c>
      <c r="FW23" s="123" t="s">
        <v>387</v>
      </c>
      <c r="FX23" s="115">
        <v>0</v>
      </c>
      <c r="FY23" s="115">
        <v>1000</v>
      </c>
      <c r="FZ23" s="125" t="b">
        <v>0</v>
      </c>
      <c r="GB23" s="201"/>
      <c r="GD23" s="139"/>
      <c r="GJ23" s="201"/>
      <c r="GL23" s="139" t="s">
        <v>1821</v>
      </c>
      <c r="GM23" s="115" t="s">
        <v>399</v>
      </c>
      <c r="GN23" s="97">
        <v>0</v>
      </c>
      <c r="GO23" s="97">
        <v>1000</v>
      </c>
      <c r="GP23" s="125" t="b">
        <v>0</v>
      </c>
      <c r="GR23" s="201"/>
      <c r="GT23" s="139" t="s">
        <v>1728</v>
      </c>
      <c r="GU23" s="115" t="s">
        <v>1013</v>
      </c>
      <c r="GV23" s="115">
        <v>0</v>
      </c>
      <c r="GW23" s="115">
        <v>2500</v>
      </c>
      <c r="GX23" s="125" t="b">
        <v>0</v>
      </c>
      <c r="GZ23" s="201"/>
      <c r="HB23" s="139"/>
      <c r="HH23" s="201"/>
    </row>
    <row r="24" spans="2:216" ht="15" x14ac:dyDescent="0.25">
      <c r="B24" s="139"/>
      <c r="C24" s="115"/>
      <c r="D24" s="115"/>
      <c r="F24" s="125"/>
      <c r="G24" s="125"/>
      <c r="H24" s="201"/>
      <c r="I24" s="121"/>
      <c r="J24" s="139"/>
      <c r="N24" s="125"/>
      <c r="O24" s="125"/>
      <c r="P24" s="201"/>
      <c r="R24" s="139"/>
      <c r="V24" s="125"/>
      <c r="W24" s="125"/>
      <c r="X24" s="201"/>
      <c r="Z24" s="139"/>
      <c r="AD24" s="125"/>
      <c r="AE24" s="125"/>
      <c r="AF24" s="201"/>
      <c r="AH24" s="139"/>
      <c r="AN24" s="201"/>
      <c r="AP24" s="139" t="s">
        <v>1469</v>
      </c>
      <c r="AQ24" s="115" t="s">
        <v>40</v>
      </c>
      <c r="AR24" s="115">
        <v>0</v>
      </c>
      <c r="AS24" s="115">
        <v>10</v>
      </c>
      <c r="AV24" s="201"/>
      <c r="AX24" s="139"/>
      <c r="BD24" s="201"/>
      <c r="BF24" s="139"/>
      <c r="BL24" s="201"/>
      <c r="BN24" s="139"/>
      <c r="BT24" s="201"/>
      <c r="BV24" s="139"/>
      <c r="CB24" s="201"/>
      <c r="CD24" s="139"/>
      <c r="CJ24" s="201"/>
      <c r="CL24" s="139"/>
      <c r="CR24" s="201"/>
      <c r="CT24" s="139"/>
      <c r="CZ24" s="201"/>
      <c r="DB24" s="139"/>
      <c r="DH24" s="201"/>
      <c r="DJ24" s="139" t="s">
        <v>1546</v>
      </c>
      <c r="DK24" s="97" t="s">
        <v>633</v>
      </c>
      <c r="DL24" s="97">
        <v>0</v>
      </c>
      <c r="DN24" s="125" t="b">
        <v>0</v>
      </c>
      <c r="DP24" s="201"/>
      <c r="DR24" s="139" t="s">
        <v>1772</v>
      </c>
      <c r="DS24" s="152" t="s">
        <v>1014</v>
      </c>
      <c r="DT24" s="97">
        <v>0</v>
      </c>
      <c r="DU24" s="115">
        <v>1000000</v>
      </c>
      <c r="DV24" s="125" t="b">
        <v>0</v>
      </c>
      <c r="DX24" s="201"/>
      <c r="DZ24" s="139" t="s">
        <v>1788</v>
      </c>
      <c r="EA24" s="97" t="s">
        <v>508</v>
      </c>
      <c r="EB24" s="97">
        <v>0</v>
      </c>
      <c r="ED24" s="125" t="b">
        <v>0</v>
      </c>
      <c r="EF24" s="201"/>
      <c r="EH24" s="139"/>
      <c r="EN24" s="201"/>
      <c r="EP24" s="139"/>
      <c r="EV24" s="201"/>
      <c r="EX24" s="139" t="s">
        <v>1620</v>
      </c>
      <c r="EY24" s="115" t="s">
        <v>245</v>
      </c>
      <c r="EZ24" s="115">
        <v>0</v>
      </c>
      <c r="FA24" s="115">
        <v>100</v>
      </c>
      <c r="FB24" s="125" t="b">
        <v>0</v>
      </c>
      <c r="FD24" s="201"/>
      <c r="FF24" s="139" t="s">
        <v>1634</v>
      </c>
      <c r="FG24" s="115" t="s">
        <v>118</v>
      </c>
      <c r="FH24" s="115">
        <v>0</v>
      </c>
      <c r="FI24" s="115">
        <v>50000</v>
      </c>
      <c r="FJ24" s="125" t="b">
        <v>0</v>
      </c>
      <c r="FL24" s="201"/>
      <c r="FN24" s="139"/>
      <c r="FT24" s="201"/>
      <c r="FV24" s="139" t="s">
        <v>1678</v>
      </c>
      <c r="FW24" s="123" t="s">
        <v>387</v>
      </c>
      <c r="FX24" s="115">
        <v>0</v>
      </c>
      <c r="FY24" s="115">
        <v>1000</v>
      </c>
      <c r="FZ24" s="125" t="b">
        <v>0</v>
      </c>
      <c r="GB24" s="201"/>
      <c r="GD24" s="139"/>
      <c r="GE24" s="125"/>
      <c r="GF24" s="125"/>
      <c r="GG24" s="125"/>
      <c r="GJ24" s="201"/>
      <c r="GL24" s="139" t="s">
        <v>1703</v>
      </c>
      <c r="GM24" s="97" t="s">
        <v>387</v>
      </c>
      <c r="GN24" s="97">
        <v>0</v>
      </c>
      <c r="GO24" s="97">
        <v>1000</v>
      </c>
      <c r="GP24" s="125" t="b">
        <v>0</v>
      </c>
      <c r="GR24" s="201"/>
      <c r="GT24" s="139" t="s">
        <v>1831</v>
      </c>
      <c r="GU24" s="115" t="s">
        <v>5</v>
      </c>
      <c r="GV24" s="115">
        <v>0</v>
      </c>
      <c r="GW24" s="115">
        <v>50000</v>
      </c>
      <c r="GX24" s="125" t="b">
        <v>0</v>
      </c>
      <c r="GZ24" s="201"/>
      <c r="HB24" s="139"/>
      <c r="HH24" s="201"/>
    </row>
    <row r="25" spans="2:216" ht="15" x14ac:dyDescent="0.25">
      <c r="B25" s="139"/>
      <c r="C25" s="115"/>
      <c r="D25" s="115"/>
      <c r="F25" s="125"/>
      <c r="G25" s="125"/>
      <c r="H25" s="201"/>
      <c r="I25" s="121"/>
      <c r="J25" s="139"/>
      <c r="N25" s="125"/>
      <c r="O25" s="125"/>
      <c r="P25" s="201"/>
      <c r="R25" s="139"/>
      <c r="V25" s="125"/>
      <c r="W25" s="125"/>
      <c r="X25" s="201"/>
      <c r="Z25" s="139"/>
      <c r="AD25" s="125"/>
      <c r="AE25" s="125"/>
      <c r="AF25" s="201"/>
      <c r="AH25" s="139"/>
      <c r="AN25" s="201"/>
      <c r="AP25" s="139" t="s">
        <v>1468</v>
      </c>
      <c r="AQ25" s="115" t="s">
        <v>1430</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1878</v>
      </c>
      <c r="DK25" s="115" t="s">
        <v>40</v>
      </c>
      <c r="DL25" s="115">
        <v>0</v>
      </c>
      <c r="DM25" s="115">
        <v>100</v>
      </c>
      <c r="DN25" s="125" t="b">
        <v>0</v>
      </c>
      <c r="DP25" s="201"/>
      <c r="DR25" s="139" t="s">
        <v>1773</v>
      </c>
      <c r="DS25" s="152" t="s">
        <v>1015</v>
      </c>
      <c r="DT25" s="97">
        <v>0</v>
      </c>
      <c r="DU25" s="115">
        <v>1000000</v>
      </c>
      <c r="DV25" s="125" t="b">
        <v>0</v>
      </c>
      <c r="DX25" s="201"/>
      <c r="DZ25" s="139" t="s">
        <v>1605</v>
      </c>
      <c r="EA25" s="141" t="s">
        <v>1427</v>
      </c>
      <c r="EB25" s="97">
        <v>0</v>
      </c>
      <c r="ED25" s="125" t="b">
        <v>0</v>
      </c>
      <c r="EF25" s="201"/>
      <c r="EH25" s="139"/>
      <c r="EN25" s="201"/>
      <c r="EP25" s="139"/>
      <c r="EV25" s="201"/>
      <c r="EX25" s="139"/>
      <c r="FD25" s="201"/>
      <c r="FF25" s="139" t="s">
        <v>1635</v>
      </c>
      <c r="FG25" s="115" t="s">
        <v>40</v>
      </c>
      <c r="FH25" s="115">
        <v>0</v>
      </c>
      <c r="FI25" s="115">
        <v>100</v>
      </c>
      <c r="FJ25" s="125" t="b">
        <v>0</v>
      </c>
      <c r="FL25" s="201"/>
      <c r="FN25" s="139"/>
      <c r="FT25" s="201"/>
      <c r="FV25" s="139" t="s">
        <v>1679</v>
      </c>
      <c r="FW25" s="123" t="s">
        <v>387</v>
      </c>
      <c r="FX25" s="115">
        <v>0</v>
      </c>
      <c r="FY25" s="115">
        <v>1000</v>
      </c>
      <c r="FZ25" s="125" t="b">
        <v>0</v>
      </c>
      <c r="GB25" s="201"/>
      <c r="GD25" s="139"/>
      <c r="GE25" s="125"/>
      <c r="GF25" s="125"/>
      <c r="GG25" s="125"/>
      <c r="GJ25" s="201"/>
      <c r="GL25" s="139" t="s">
        <v>1704</v>
      </c>
      <c r="GM25" s="97" t="s">
        <v>387</v>
      </c>
      <c r="GN25" s="97">
        <v>0</v>
      </c>
      <c r="GO25" s="97">
        <v>1000</v>
      </c>
      <c r="GP25" s="125" t="b">
        <v>0</v>
      </c>
      <c r="GR25" s="201"/>
      <c r="GT25" s="139" t="s">
        <v>1729</v>
      </c>
      <c r="GU25" s="115" t="s">
        <v>5</v>
      </c>
      <c r="GV25" s="115">
        <v>0</v>
      </c>
      <c r="GW25" s="115">
        <v>50000</v>
      </c>
      <c r="GX25" s="125" t="b">
        <v>0</v>
      </c>
      <c r="GZ25" s="201"/>
      <c r="HB25" s="139"/>
      <c r="HH25" s="201"/>
    </row>
    <row r="26" spans="2:216" ht="15" x14ac:dyDescent="0.25">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1762</v>
      </c>
      <c r="DK26" s="115" t="s">
        <v>40</v>
      </c>
      <c r="DL26" s="97">
        <v>0</v>
      </c>
      <c r="DM26" s="115">
        <v>100</v>
      </c>
      <c r="DN26" s="125" t="b">
        <v>0</v>
      </c>
      <c r="DP26" s="201"/>
      <c r="DR26" s="139" t="s">
        <v>1774</v>
      </c>
      <c r="DS26" s="152" t="s">
        <v>1017</v>
      </c>
      <c r="DT26" s="97">
        <v>0</v>
      </c>
      <c r="DU26" s="115">
        <v>1000000</v>
      </c>
      <c r="DV26" s="125" t="b">
        <v>0</v>
      </c>
      <c r="DX26" s="201"/>
      <c r="DZ26" s="139" t="s">
        <v>1606</v>
      </c>
      <c r="EA26" s="115" t="s">
        <v>387</v>
      </c>
      <c r="EB26" s="115">
        <v>0</v>
      </c>
      <c r="EC26" s="115">
        <v>1000</v>
      </c>
      <c r="EF26" s="201"/>
      <c r="EH26" s="139"/>
      <c r="EN26" s="201"/>
      <c r="EP26" s="139"/>
      <c r="EV26" s="201"/>
      <c r="EX26" s="139"/>
      <c r="FD26" s="201"/>
      <c r="FF26" s="139" t="s">
        <v>1636</v>
      </c>
      <c r="FG26" s="115" t="s">
        <v>119</v>
      </c>
      <c r="FH26" s="115">
        <v>0</v>
      </c>
      <c r="FI26" s="115">
        <v>25000</v>
      </c>
      <c r="FJ26" s="125" t="b">
        <v>0</v>
      </c>
      <c r="FL26" s="201"/>
      <c r="FN26" s="139"/>
      <c r="FT26" s="201"/>
      <c r="FV26" s="139" t="s">
        <v>1680</v>
      </c>
      <c r="FW26" s="123" t="s">
        <v>387</v>
      </c>
      <c r="FX26" s="115">
        <v>0</v>
      </c>
      <c r="FY26" s="115">
        <v>1000</v>
      </c>
      <c r="FZ26" s="125" t="b">
        <v>0</v>
      </c>
      <c r="GB26" s="201"/>
      <c r="GD26" s="139"/>
      <c r="GE26" s="125"/>
      <c r="GF26" s="125"/>
      <c r="GG26" s="125"/>
      <c r="GJ26" s="201"/>
      <c r="GL26" s="139" t="s">
        <v>1705</v>
      </c>
      <c r="GM26" s="97" t="s">
        <v>387</v>
      </c>
      <c r="GN26" s="97">
        <v>0</v>
      </c>
      <c r="GO26" s="97">
        <v>1000</v>
      </c>
      <c r="GP26" s="125" t="b">
        <v>0</v>
      </c>
      <c r="GR26" s="201"/>
      <c r="GT26" s="139" t="s">
        <v>1730</v>
      </c>
      <c r="GU26" s="115" t="s">
        <v>5</v>
      </c>
      <c r="GV26" s="115">
        <v>0</v>
      </c>
      <c r="GW26" s="115">
        <v>50000</v>
      </c>
      <c r="GX26" s="125" t="b">
        <v>0</v>
      </c>
      <c r="GZ26" s="201"/>
      <c r="HB26" s="139"/>
      <c r="HH26" s="201"/>
    </row>
    <row r="27" spans="2:216" ht="15" x14ac:dyDescent="0.25">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1550</v>
      </c>
      <c r="DK27" s="97" t="s">
        <v>387</v>
      </c>
      <c r="DL27" s="97">
        <v>0</v>
      </c>
      <c r="DN27" s="125" t="b">
        <v>0</v>
      </c>
      <c r="DP27" s="201"/>
      <c r="DR27" s="139" t="s">
        <v>1569</v>
      </c>
      <c r="DS27" s="97" t="s">
        <v>387</v>
      </c>
      <c r="DT27" s="97">
        <v>0</v>
      </c>
      <c r="DU27" s="115">
        <v>1000</v>
      </c>
      <c r="DV27" s="125" t="b">
        <v>0</v>
      </c>
      <c r="DX27" s="201"/>
      <c r="DZ27" s="139" t="s">
        <v>1789</v>
      </c>
      <c r="EA27" s="152" t="s">
        <v>1016</v>
      </c>
      <c r="EB27" s="97">
        <v>0</v>
      </c>
      <c r="EC27" s="115">
        <v>1000</v>
      </c>
      <c r="ED27" s="125" t="b">
        <v>0</v>
      </c>
      <c r="EF27" s="201"/>
      <c r="EH27" s="139"/>
      <c r="EN27" s="201"/>
      <c r="EP27" s="139"/>
      <c r="EV27" s="201"/>
      <c r="EX27" s="139"/>
      <c r="FD27" s="201"/>
      <c r="FF27" s="139" t="s">
        <v>1637</v>
      </c>
      <c r="FG27" s="115" t="s">
        <v>91</v>
      </c>
      <c r="FH27" s="115">
        <v>0</v>
      </c>
      <c r="FI27" s="115">
        <v>10000</v>
      </c>
      <c r="FJ27" s="125" t="b">
        <v>0</v>
      </c>
      <c r="FL27" s="201"/>
      <c r="FN27" s="139"/>
      <c r="FT27" s="201"/>
      <c r="FV27" s="139" t="s">
        <v>1681</v>
      </c>
      <c r="FW27" s="123" t="s">
        <v>387</v>
      </c>
      <c r="FX27" s="115">
        <v>0</v>
      </c>
      <c r="FY27" s="115">
        <v>1000</v>
      </c>
      <c r="FZ27" s="125" t="b">
        <v>0</v>
      </c>
      <c r="GB27" s="201"/>
      <c r="GD27" s="139"/>
      <c r="GE27" s="125"/>
      <c r="GF27" s="125"/>
      <c r="GG27" s="125"/>
      <c r="GJ27" s="201"/>
      <c r="GL27" s="139" t="s">
        <v>1706</v>
      </c>
      <c r="GM27" s="97" t="s">
        <v>387</v>
      </c>
      <c r="GN27" s="97">
        <v>0</v>
      </c>
      <c r="GO27" s="97">
        <v>1000</v>
      </c>
      <c r="GP27" s="125" t="b">
        <v>0</v>
      </c>
      <c r="GR27" s="201"/>
      <c r="GT27" s="139" t="s">
        <v>1832</v>
      </c>
      <c r="GU27" s="115" t="s">
        <v>11</v>
      </c>
      <c r="GV27" s="115">
        <v>0</v>
      </c>
      <c r="GW27" s="115">
        <v>10</v>
      </c>
      <c r="GX27" s="125" t="b">
        <v>0</v>
      </c>
      <c r="GZ27" s="201"/>
      <c r="HB27" s="139"/>
      <c r="HH27" s="201"/>
    </row>
    <row r="28" spans="2:216" ht="15" x14ac:dyDescent="0.25">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1775</v>
      </c>
      <c r="DS28" s="97" t="s">
        <v>399</v>
      </c>
      <c r="DT28" s="97">
        <v>0</v>
      </c>
      <c r="DU28" s="115">
        <v>1000000</v>
      </c>
      <c r="DV28" s="125" t="b">
        <v>0</v>
      </c>
      <c r="DX28" s="201"/>
      <c r="DZ28" s="139" t="s">
        <v>1608</v>
      </c>
      <c r="EA28" s="152" t="s">
        <v>1016</v>
      </c>
      <c r="EB28" s="97">
        <v>0</v>
      </c>
      <c r="EC28" s="115">
        <v>1000</v>
      </c>
      <c r="ED28" s="125" t="b">
        <v>0</v>
      </c>
      <c r="EF28" s="201"/>
      <c r="EH28" s="139"/>
      <c r="EN28" s="201"/>
      <c r="EP28" s="139"/>
      <c r="EV28" s="201"/>
      <c r="EX28" s="139"/>
      <c r="FD28" s="201"/>
      <c r="FF28" s="139" t="s">
        <v>1638</v>
      </c>
      <c r="FG28" s="115" t="s">
        <v>46</v>
      </c>
      <c r="FH28" s="115">
        <v>0</v>
      </c>
      <c r="FI28" s="115">
        <v>50000</v>
      </c>
      <c r="FJ28" s="125" t="b">
        <v>0</v>
      </c>
      <c r="FL28" s="201"/>
      <c r="FN28" s="139"/>
      <c r="FT28" s="201"/>
      <c r="FV28" s="139" t="s">
        <v>1811</v>
      </c>
      <c r="FW28" s="123" t="s">
        <v>387</v>
      </c>
      <c r="FX28" s="115">
        <v>0</v>
      </c>
      <c r="FY28" s="115">
        <v>1000</v>
      </c>
      <c r="FZ28" s="125" t="b">
        <v>0</v>
      </c>
      <c r="GB28" s="201"/>
      <c r="GD28" s="139"/>
      <c r="GJ28" s="201"/>
      <c r="GL28" s="139" t="s">
        <v>1707</v>
      </c>
      <c r="GM28" s="97" t="s">
        <v>387</v>
      </c>
      <c r="GN28" s="97">
        <v>0</v>
      </c>
      <c r="GO28" s="97">
        <v>1000</v>
      </c>
      <c r="GP28" s="125" t="b">
        <v>0</v>
      </c>
      <c r="GR28" s="201"/>
      <c r="GT28" s="139" t="s">
        <v>1731</v>
      </c>
      <c r="GU28" s="115" t="s">
        <v>13</v>
      </c>
      <c r="GV28" s="115">
        <v>0</v>
      </c>
      <c r="GW28" s="115">
        <v>100</v>
      </c>
      <c r="GX28" s="125" t="b">
        <v>0</v>
      </c>
      <c r="GZ28" s="201"/>
      <c r="HB28" s="139"/>
      <c r="HH28" s="201"/>
    </row>
    <row r="29" spans="2:216" ht="15" x14ac:dyDescent="0.25">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1571</v>
      </c>
      <c r="DS29" s="115" t="s">
        <v>244</v>
      </c>
      <c r="DT29" s="97">
        <v>0</v>
      </c>
      <c r="DU29" s="115">
        <v>14</v>
      </c>
      <c r="DX29" s="201"/>
      <c r="DZ29" s="139" t="s">
        <v>1609</v>
      </c>
      <c r="EA29" s="152" t="s">
        <v>1018</v>
      </c>
      <c r="EB29" s="97">
        <v>0</v>
      </c>
      <c r="EC29" s="115">
        <v>1000000</v>
      </c>
      <c r="ED29" s="125" t="b">
        <v>0</v>
      </c>
      <c r="EF29" s="201"/>
      <c r="EH29" s="139"/>
      <c r="EN29" s="201"/>
      <c r="EP29" s="139"/>
      <c r="EV29" s="201"/>
      <c r="EX29" s="139"/>
      <c r="FD29" s="201"/>
      <c r="FF29" s="139" t="s">
        <v>1639</v>
      </c>
      <c r="FG29" s="115" t="s">
        <v>118</v>
      </c>
      <c r="FH29" s="115">
        <v>0</v>
      </c>
      <c r="FI29" s="115">
        <v>50000</v>
      </c>
      <c r="FJ29" s="125" t="b">
        <v>0</v>
      </c>
      <c r="FL29" s="201"/>
      <c r="FN29" s="139"/>
      <c r="FT29" s="201"/>
      <c r="FV29" s="139" t="s">
        <v>1683</v>
      </c>
      <c r="FW29" s="123" t="s">
        <v>387</v>
      </c>
      <c r="FX29" s="115">
        <v>0</v>
      </c>
      <c r="FY29" s="115">
        <v>1000</v>
      </c>
      <c r="FZ29" s="125" t="b">
        <v>0</v>
      </c>
      <c r="GB29" s="201"/>
      <c r="GD29" s="139"/>
      <c r="GJ29" s="201"/>
      <c r="GL29" s="139" t="s">
        <v>1708</v>
      </c>
      <c r="GM29" s="97" t="s">
        <v>387</v>
      </c>
      <c r="GN29" s="97">
        <v>0</v>
      </c>
      <c r="GO29" s="97">
        <v>1000</v>
      </c>
      <c r="GP29" s="125" t="b">
        <v>0</v>
      </c>
      <c r="GR29" s="201"/>
      <c r="GT29" s="139" t="s">
        <v>1829</v>
      </c>
      <c r="GU29" s="115" t="s">
        <v>16</v>
      </c>
      <c r="GV29" s="115">
        <v>0</v>
      </c>
      <c r="GW29" s="115">
        <v>100</v>
      </c>
      <c r="GX29" s="125" t="b">
        <v>0</v>
      </c>
      <c r="GZ29" s="201"/>
      <c r="HB29" s="139"/>
      <c r="HH29" s="201"/>
    </row>
    <row r="30" spans="2:216" ht="15" x14ac:dyDescent="0.25">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1572</v>
      </c>
      <c r="DS30" s="114" t="s">
        <v>387</v>
      </c>
      <c r="DT30" s="97">
        <v>0</v>
      </c>
      <c r="DU30" s="115">
        <v>1000</v>
      </c>
      <c r="DV30" s="125" t="b">
        <v>0</v>
      </c>
      <c r="DX30" s="201"/>
      <c r="DZ30" s="139" t="s">
        <v>1610</v>
      </c>
      <c r="EA30" s="152" t="s">
        <v>635</v>
      </c>
      <c r="EB30" s="97">
        <v>0</v>
      </c>
      <c r="EC30" s="115">
        <v>1000000</v>
      </c>
      <c r="ED30" s="125" t="b">
        <v>0</v>
      </c>
      <c r="EF30" s="201"/>
      <c r="EH30" s="139"/>
      <c r="EN30" s="201"/>
      <c r="EP30" s="139"/>
      <c r="EV30" s="201"/>
      <c r="EX30" s="139"/>
      <c r="FD30" s="201"/>
      <c r="FF30" s="139" t="s">
        <v>1800</v>
      </c>
      <c r="FG30" s="115" t="s">
        <v>1414</v>
      </c>
      <c r="FH30" s="115">
        <v>0</v>
      </c>
      <c r="FI30" s="115">
        <v>1000</v>
      </c>
      <c r="FJ30" s="125" t="b">
        <v>0</v>
      </c>
      <c r="FL30" s="201"/>
      <c r="FN30" s="139"/>
      <c r="FT30" s="201"/>
      <c r="FV30" s="139" t="s">
        <v>1684</v>
      </c>
      <c r="FW30" s="123" t="s">
        <v>387</v>
      </c>
      <c r="FX30" s="115">
        <v>0</v>
      </c>
      <c r="FY30" s="115">
        <v>1000</v>
      </c>
      <c r="FZ30" s="125" t="b">
        <v>0</v>
      </c>
      <c r="GB30" s="201"/>
      <c r="GD30" s="139"/>
      <c r="GJ30" s="201"/>
      <c r="GL30" s="139" t="s">
        <v>1822</v>
      </c>
      <c r="GM30" s="97" t="s">
        <v>387</v>
      </c>
      <c r="GN30" s="97">
        <v>0</v>
      </c>
      <c r="GO30" s="97">
        <v>1000</v>
      </c>
      <c r="GP30" s="125" t="b">
        <v>0</v>
      </c>
      <c r="GR30" s="201"/>
      <c r="GT30" s="139" t="s">
        <v>1733</v>
      </c>
      <c r="GU30" s="115" t="s">
        <v>18</v>
      </c>
      <c r="GV30" s="115">
        <v>0</v>
      </c>
      <c r="GW30" s="115">
        <v>100</v>
      </c>
      <c r="GX30" s="125" t="b">
        <v>0</v>
      </c>
      <c r="GZ30" s="201"/>
      <c r="HB30" s="139"/>
      <c r="HH30" s="201"/>
    </row>
    <row r="31" spans="2:216" ht="15" x14ac:dyDescent="0.25">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1573</v>
      </c>
      <c r="DS31" s="97" t="s">
        <v>387</v>
      </c>
      <c r="DT31" s="97">
        <v>0</v>
      </c>
      <c r="DU31" s="115">
        <v>1000</v>
      </c>
      <c r="DV31" s="125" t="b">
        <v>0</v>
      </c>
      <c r="DX31" s="201"/>
      <c r="DZ31" s="139"/>
      <c r="EF31" s="201"/>
      <c r="EH31" s="139"/>
      <c r="EN31" s="201"/>
      <c r="EP31" s="139"/>
      <c r="EV31" s="201"/>
      <c r="EX31" s="139"/>
      <c r="FD31" s="201"/>
      <c r="FF31" s="139" t="s">
        <v>1641</v>
      </c>
      <c r="FG31" s="115" t="s">
        <v>118</v>
      </c>
      <c r="FH31" s="115">
        <v>0</v>
      </c>
      <c r="FI31" s="115">
        <v>50000</v>
      </c>
      <c r="FJ31" s="125" t="b">
        <v>0</v>
      </c>
      <c r="FL31" s="201"/>
      <c r="FN31" s="139"/>
      <c r="FT31" s="201"/>
      <c r="FV31" s="139" t="s">
        <v>1686</v>
      </c>
      <c r="FW31" s="123" t="s">
        <v>387</v>
      </c>
      <c r="FX31" s="115">
        <v>0</v>
      </c>
      <c r="FY31" s="115">
        <v>1000</v>
      </c>
      <c r="FZ31" s="125" t="b">
        <v>0</v>
      </c>
      <c r="GB31" s="201"/>
      <c r="GD31" s="139"/>
      <c r="GJ31" s="201"/>
      <c r="GL31" s="139" t="s">
        <v>1710</v>
      </c>
      <c r="GM31" s="97" t="s">
        <v>387</v>
      </c>
      <c r="GN31" s="97">
        <v>0</v>
      </c>
      <c r="GO31" s="97">
        <v>1000</v>
      </c>
      <c r="GP31" s="125" t="b">
        <v>0</v>
      </c>
      <c r="GR31" s="201"/>
      <c r="GT31" s="139" t="s">
        <v>1734</v>
      </c>
      <c r="GU31" s="115" t="s">
        <v>119</v>
      </c>
      <c r="GV31" s="115">
        <v>0</v>
      </c>
      <c r="GW31" s="115">
        <v>25000</v>
      </c>
      <c r="GX31" s="125" t="b">
        <v>0</v>
      </c>
      <c r="GZ31" s="201"/>
      <c r="HB31" s="139"/>
      <c r="HH31" s="201"/>
    </row>
    <row r="32" spans="2:216" ht="15" x14ac:dyDescent="0.25">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1574</v>
      </c>
      <c r="DS32" s="97" t="s">
        <v>387</v>
      </c>
      <c r="DT32" s="97">
        <v>0</v>
      </c>
      <c r="DU32" s="115">
        <v>1000</v>
      </c>
      <c r="DV32" s="125" t="b">
        <v>0</v>
      </c>
      <c r="DX32" s="201"/>
      <c r="DZ32" s="139"/>
      <c r="EF32" s="201"/>
      <c r="EH32" s="139"/>
      <c r="EN32" s="201"/>
      <c r="EP32" s="139"/>
      <c r="EV32" s="201"/>
      <c r="EX32" s="139"/>
      <c r="FD32" s="201"/>
      <c r="FF32" s="139" t="s">
        <v>1642</v>
      </c>
      <c r="FG32" s="115" t="s">
        <v>40</v>
      </c>
      <c r="FH32" s="115">
        <v>0</v>
      </c>
      <c r="FI32" s="115">
        <v>100</v>
      </c>
      <c r="FJ32" s="125" t="b">
        <v>0</v>
      </c>
      <c r="FL32" s="201"/>
      <c r="FN32" s="139"/>
      <c r="FT32" s="201"/>
      <c r="FV32" s="139" t="s">
        <v>1812</v>
      </c>
      <c r="FW32" s="123" t="s">
        <v>387</v>
      </c>
      <c r="FX32" s="115">
        <v>0</v>
      </c>
      <c r="FY32" s="115">
        <v>1000</v>
      </c>
      <c r="FZ32" s="125" t="b">
        <v>0</v>
      </c>
      <c r="GB32" s="201"/>
      <c r="GD32" s="139"/>
      <c r="GJ32" s="201"/>
      <c r="GL32" s="139" t="s">
        <v>1711</v>
      </c>
      <c r="GM32" s="97" t="s">
        <v>387</v>
      </c>
      <c r="GN32" s="97">
        <v>0</v>
      </c>
      <c r="GO32" s="97">
        <v>1000</v>
      </c>
      <c r="GP32" s="125" t="b">
        <v>0</v>
      </c>
      <c r="GR32" s="201"/>
      <c r="GT32" s="139" t="s">
        <v>1735</v>
      </c>
      <c r="GU32" s="115" t="s">
        <v>91</v>
      </c>
      <c r="GV32" s="115">
        <v>0</v>
      </c>
      <c r="GW32" s="115">
        <v>2500</v>
      </c>
      <c r="GX32" s="125" t="b">
        <v>0</v>
      </c>
      <c r="GZ32" s="201"/>
      <c r="HB32" s="139"/>
      <c r="HH32" s="201"/>
    </row>
    <row r="33" spans="2:216" ht="15" x14ac:dyDescent="0.25">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1776</v>
      </c>
      <c r="DS33" s="97" t="s">
        <v>387</v>
      </c>
      <c r="DT33" s="97">
        <v>0</v>
      </c>
      <c r="DU33" s="115">
        <v>1000</v>
      </c>
      <c r="DV33" s="125" t="b">
        <v>0</v>
      </c>
      <c r="DX33" s="201"/>
      <c r="DZ33" s="139"/>
      <c r="EF33" s="201"/>
      <c r="EH33" s="139"/>
      <c r="EN33" s="201"/>
      <c r="EP33" s="139"/>
      <c r="EV33" s="201"/>
      <c r="EX33" s="139"/>
      <c r="FD33" s="201"/>
      <c r="FF33" s="139" t="s">
        <v>1643</v>
      </c>
      <c r="FG33" s="115" t="s">
        <v>119</v>
      </c>
      <c r="FH33" s="115">
        <v>0</v>
      </c>
      <c r="FI33" s="115">
        <v>25000</v>
      </c>
      <c r="FJ33" s="125" t="b">
        <v>0</v>
      </c>
      <c r="FL33" s="201"/>
      <c r="FN33" s="139"/>
      <c r="FT33" s="201"/>
      <c r="FV33" s="139" t="s">
        <v>1813</v>
      </c>
      <c r="FW33" s="115" t="s">
        <v>387</v>
      </c>
      <c r="FX33" s="115">
        <v>0</v>
      </c>
      <c r="FY33" s="115">
        <v>1000</v>
      </c>
      <c r="FZ33" s="125" t="b">
        <v>0</v>
      </c>
      <c r="GB33" s="201"/>
      <c r="GD33" s="139"/>
      <c r="GJ33" s="201"/>
      <c r="GL33" s="139" t="s">
        <v>1823</v>
      </c>
      <c r="GM33" s="97" t="s">
        <v>399</v>
      </c>
      <c r="GN33" s="97">
        <v>0</v>
      </c>
      <c r="GO33" s="97">
        <v>1000</v>
      </c>
      <c r="GP33" s="125" t="b">
        <v>0</v>
      </c>
      <c r="GR33" s="201"/>
      <c r="GT33" s="139" t="s">
        <v>1736</v>
      </c>
      <c r="GU33" s="115" t="s">
        <v>119</v>
      </c>
      <c r="GV33" s="115">
        <v>0</v>
      </c>
      <c r="GW33" s="115">
        <v>25000</v>
      </c>
      <c r="GX33" s="125" t="b">
        <v>0</v>
      </c>
      <c r="GZ33" s="201"/>
      <c r="HB33" s="139"/>
      <c r="HH33" s="201"/>
    </row>
    <row r="34" spans="2:216" ht="15" x14ac:dyDescent="0.25">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1576</v>
      </c>
      <c r="DS34" s="97" t="s">
        <v>387</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1644</v>
      </c>
      <c r="FG34" s="123" t="s">
        <v>91</v>
      </c>
      <c r="FH34" s="123">
        <v>0</v>
      </c>
      <c r="FI34" s="115">
        <v>10000</v>
      </c>
      <c r="FJ34" s="125" t="b">
        <v>0</v>
      </c>
      <c r="FL34" s="201"/>
      <c r="FN34" s="148"/>
      <c r="FO34" s="123"/>
      <c r="FP34" s="123"/>
      <c r="FT34" s="201"/>
      <c r="FV34" s="148" t="s">
        <v>1689</v>
      </c>
      <c r="FW34" s="115" t="s">
        <v>387</v>
      </c>
      <c r="FX34" s="123">
        <v>0</v>
      </c>
      <c r="FY34" s="115">
        <v>1000</v>
      </c>
      <c r="FZ34" s="125" t="b">
        <v>0</v>
      </c>
      <c r="GB34" s="201"/>
      <c r="GD34" s="148"/>
      <c r="GE34" s="123"/>
      <c r="GF34" s="123"/>
      <c r="GJ34" s="201"/>
      <c r="GL34" s="148" t="s">
        <v>1824</v>
      </c>
      <c r="GM34" s="97" t="s">
        <v>399</v>
      </c>
      <c r="GN34" s="97">
        <v>0</v>
      </c>
      <c r="GO34" s="97">
        <v>1000</v>
      </c>
      <c r="GP34" s="125" t="b">
        <v>0</v>
      </c>
      <c r="GR34" s="201"/>
      <c r="GT34" s="148" t="s">
        <v>1737</v>
      </c>
      <c r="GU34" s="138" t="s">
        <v>91</v>
      </c>
      <c r="GV34" s="123">
        <v>0</v>
      </c>
      <c r="GW34" s="115">
        <v>2500</v>
      </c>
      <c r="GX34" s="125" t="b">
        <v>0</v>
      </c>
      <c r="GZ34" s="201"/>
      <c r="HB34" s="139"/>
      <c r="HH34" s="201"/>
    </row>
    <row r="35" spans="2:216" ht="15" x14ac:dyDescent="0.25">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1777</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1855</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1825</v>
      </c>
      <c r="GM35" s="97" t="s">
        <v>399</v>
      </c>
      <c r="GN35" s="97">
        <v>0</v>
      </c>
      <c r="GO35" s="97">
        <v>1000</v>
      </c>
      <c r="GP35" s="125" t="b">
        <v>0</v>
      </c>
      <c r="GR35" s="201"/>
      <c r="GT35" s="139" t="s">
        <v>1738</v>
      </c>
      <c r="GU35" s="138" t="s">
        <v>1011</v>
      </c>
      <c r="GV35" s="123">
        <v>0</v>
      </c>
      <c r="GW35" s="115">
        <v>25000</v>
      </c>
      <c r="GX35" s="125" t="b">
        <v>0</v>
      </c>
      <c r="GZ35" s="201"/>
      <c r="HB35" s="148"/>
      <c r="HC35" s="123"/>
      <c r="HD35" s="123"/>
      <c r="HH35" s="201"/>
    </row>
    <row r="36" spans="2:216" ht="15" x14ac:dyDescent="0.25">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1578</v>
      </c>
      <c r="DS36" s="97" t="s">
        <v>310</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1645</v>
      </c>
      <c r="FG36" s="123" t="s">
        <v>40</v>
      </c>
      <c r="FH36" s="123">
        <v>0</v>
      </c>
      <c r="FI36" s="115">
        <v>100</v>
      </c>
      <c r="FJ36" s="125" t="b">
        <v>0</v>
      </c>
      <c r="FL36" s="201"/>
      <c r="FN36" s="139"/>
      <c r="FO36" s="123"/>
      <c r="FP36" s="123"/>
      <c r="FT36" s="201"/>
      <c r="FV36" s="139"/>
      <c r="FW36" s="123"/>
      <c r="FX36" s="123"/>
      <c r="GB36" s="201"/>
      <c r="GD36" s="139"/>
      <c r="GE36" s="123"/>
      <c r="GF36" s="123"/>
      <c r="GJ36" s="201"/>
      <c r="GL36" s="139" t="s">
        <v>1826</v>
      </c>
      <c r="GM36" s="97" t="s">
        <v>399</v>
      </c>
      <c r="GN36" s="97">
        <v>0</v>
      </c>
      <c r="GO36" s="97">
        <v>1000</v>
      </c>
      <c r="GP36" s="125" t="b">
        <v>0</v>
      </c>
      <c r="GR36" s="201"/>
      <c r="GT36" s="139" t="s">
        <v>1739</v>
      </c>
      <c r="GU36" s="138" t="s">
        <v>1013</v>
      </c>
      <c r="GV36" s="123">
        <v>0</v>
      </c>
      <c r="GW36" s="115">
        <v>2500</v>
      </c>
      <c r="GX36" s="125" t="b">
        <v>0</v>
      </c>
      <c r="GZ36" s="201"/>
      <c r="HB36" s="139"/>
      <c r="HC36" s="123"/>
      <c r="HD36" s="123"/>
      <c r="HH36" s="201"/>
    </row>
    <row r="37" spans="2:216" ht="15" x14ac:dyDescent="0.25">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1778</v>
      </c>
      <c r="DS37" s="152" t="s">
        <v>1018</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1646</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1827</v>
      </c>
      <c r="GM37" s="97" t="s">
        <v>399</v>
      </c>
      <c r="GN37" s="97">
        <v>0</v>
      </c>
      <c r="GO37" s="97">
        <v>1000</v>
      </c>
      <c r="GP37" s="125" t="b">
        <v>0</v>
      </c>
      <c r="GR37" s="201"/>
      <c r="GT37" s="139" t="s">
        <v>1740</v>
      </c>
      <c r="GU37" s="138" t="s">
        <v>1011</v>
      </c>
      <c r="GV37" s="123">
        <v>0</v>
      </c>
      <c r="GW37" s="115">
        <v>25000</v>
      </c>
      <c r="GX37" s="125" t="b">
        <v>0</v>
      </c>
      <c r="GZ37" s="201"/>
      <c r="HB37" s="139"/>
      <c r="HC37" s="123"/>
      <c r="HD37" s="123"/>
      <c r="HH37" s="201"/>
    </row>
    <row r="38" spans="2:216" ht="15" x14ac:dyDescent="0.25">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1779</v>
      </c>
      <c r="DS38" s="97" t="s">
        <v>635</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1647</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1828</v>
      </c>
      <c r="GM38" s="97" t="s">
        <v>399</v>
      </c>
      <c r="GN38" s="97">
        <v>0</v>
      </c>
      <c r="GO38" s="97">
        <v>1000</v>
      </c>
      <c r="GP38" s="125" t="b">
        <v>0</v>
      </c>
      <c r="GR38" s="201"/>
      <c r="GT38" s="139" t="s">
        <v>1741</v>
      </c>
      <c r="GU38" s="138" t="s">
        <v>1013</v>
      </c>
      <c r="GV38" s="123">
        <v>0</v>
      </c>
      <c r="GW38" s="115">
        <v>2500</v>
      </c>
      <c r="GX38" s="125" t="b">
        <v>0</v>
      </c>
      <c r="GZ38" s="201"/>
      <c r="HB38" s="139"/>
      <c r="HC38" s="123"/>
      <c r="HD38" s="123"/>
      <c r="HH38" s="201"/>
    </row>
    <row r="39" spans="2:216" ht="15" x14ac:dyDescent="0.25">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1780</v>
      </c>
      <c r="DS39" s="97" t="s">
        <v>635</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1858</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5" x14ac:dyDescent="0.25">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1580</v>
      </c>
      <c r="DS40" s="152" t="s">
        <v>1019</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1859</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5" x14ac:dyDescent="0.25">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1581</v>
      </c>
      <c r="DS41" s="152" t="s">
        <v>1020</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1860</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5" x14ac:dyDescent="0.25">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1582</v>
      </c>
      <c r="DS42" s="152" t="s">
        <v>1021</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1861</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5" x14ac:dyDescent="0.25">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1583</v>
      </c>
      <c r="DS43" s="152" t="s">
        <v>1022</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1648</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5" x14ac:dyDescent="0.25">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1584</v>
      </c>
      <c r="DS44" s="152" t="s">
        <v>1012</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1649</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5" x14ac:dyDescent="0.25">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1586</v>
      </c>
      <c r="DS45" s="152" t="s">
        <v>1014</v>
      </c>
      <c r="DT45" s="97">
        <v>0</v>
      </c>
      <c r="DU45" s="115">
        <v>1000000</v>
      </c>
      <c r="DV45" s="125" t="b">
        <v>0</v>
      </c>
      <c r="DX45" s="201"/>
      <c r="DZ45" s="139"/>
      <c r="EF45" s="201"/>
      <c r="EH45" s="148"/>
      <c r="EI45" s="123"/>
      <c r="EJ45" s="123"/>
      <c r="EN45" s="201"/>
      <c r="EP45" s="139"/>
      <c r="EV45" s="201"/>
      <c r="EX45" s="139"/>
      <c r="FD45" s="201"/>
      <c r="FF45" s="139" t="s">
        <v>1650</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5" x14ac:dyDescent="0.25">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1781</v>
      </c>
      <c r="DS46" s="152" t="s">
        <v>1015</v>
      </c>
      <c r="DT46" s="97">
        <v>0</v>
      </c>
      <c r="DU46" s="115">
        <v>1000000</v>
      </c>
      <c r="DV46" s="125" t="b">
        <v>0</v>
      </c>
      <c r="DX46" s="201"/>
      <c r="DZ46" s="139"/>
      <c r="EF46" s="201"/>
      <c r="EH46" s="139"/>
      <c r="EN46" s="201"/>
      <c r="EP46" s="139"/>
      <c r="EV46" s="201"/>
      <c r="EX46" s="139"/>
      <c r="FD46" s="201"/>
      <c r="FF46" s="139" t="s">
        <v>1651</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5" x14ac:dyDescent="0.25">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1588</v>
      </c>
      <c r="DS47" s="152" t="s">
        <v>1017</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5" x14ac:dyDescent="0.25">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1589</v>
      </c>
      <c r="DS48" s="97" t="s">
        <v>387</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5" x14ac:dyDescent="0.25">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1590</v>
      </c>
      <c r="DS49" s="97" t="s">
        <v>399</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5" x14ac:dyDescent="0.25">
      <c r="H50"/>
      <c r="J50" s="125"/>
      <c r="K50" s="125"/>
      <c r="L50" s="125"/>
      <c r="M50" s="125"/>
      <c r="N50" s="125"/>
      <c r="O50" s="125"/>
      <c r="P50" s="1054"/>
      <c r="X50"/>
      <c r="AF50"/>
      <c r="AN50"/>
      <c r="AV50"/>
      <c r="BD50"/>
      <c r="BL50"/>
      <c r="BT50"/>
      <c r="CB50"/>
      <c r="CJ50"/>
      <c r="CR50"/>
      <c r="CZ50"/>
      <c r="DH50"/>
      <c r="DP50"/>
      <c r="DX50"/>
      <c r="EF50"/>
      <c r="EN50"/>
      <c r="EV50" s="106"/>
      <c r="FD50"/>
      <c r="FL50"/>
      <c r="FT50"/>
      <c r="GB50"/>
      <c r="GJ50"/>
      <c r="GR50"/>
      <c r="GZ50"/>
      <c r="HH50"/>
    </row>
    <row r="51" spans="2:216" ht="15" x14ac:dyDescent="0.25">
      <c r="H51"/>
      <c r="J51" s="125"/>
      <c r="K51" s="125"/>
      <c r="L51" s="125"/>
      <c r="M51" s="125"/>
      <c r="N51" s="125"/>
      <c r="O51" s="125"/>
      <c r="P51" s="1054"/>
      <c r="X51"/>
      <c r="AF51"/>
      <c r="AN51"/>
      <c r="AV51"/>
      <c r="BD51"/>
      <c r="BL51"/>
      <c r="BT51"/>
      <c r="CB51"/>
      <c r="CJ51"/>
      <c r="CR51"/>
      <c r="CZ51"/>
      <c r="DH51"/>
      <c r="DP51"/>
      <c r="DX51"/>
      <c r="EF51"/>
      <c r="EN51"/>
      <c r="EV51" s="106"/>
      <c r="FD51"/>
      <c r="FL51"/>
      <c r="FT51"/>
      <c r="GB51"/>
      <c r="GJ51"/>
      <c r="GR51"/>
      <c r="GZ51"/>
      <c r="HH51"/>
    </row>
    <row r="52" spans="2:216" ht="15" x14ac:dyDescent="0.25">
      <c r="H52"/>
      <c r="P52"/>
      <c r="X52"/>
      <c r="AF52"/>
      <c r="AN52"/>
      <c r="AV52"/>
      <c r="BD52"/>
      <c r="BL52"/>
      <c r="BT52"/>
      <c r="CB52"/>
      <c r="CJ52"/>
      <c r="CR52"/>
      <c r="CZ52"/>
      <c r="DH52"/>
      <c r="DP52"/>
      <c r="DX52"/>
      <c r="EF52"/>
      <c r="EN52"/>
      <c r="EV52" s="106"/>
      <c r="FD52"/>
      <c r="FL52"/>
      <c r="FT52"/>
      <c r="GB52"/>
      <c r="GJ52"/>
      <c r="GR52"/>
      <c r="GZ52"/>
      <c r="HH52"/>
    </row>
    <row r="53" spans="2:216" ht="15" x14ac:dyDescent="0.25">
      <c r="H53"/>
      <c r="P53"/>
      <c r="X53"/>
      <c r="AF53"/>
      <c r="AN53"/>
      <c r="AV53"/>
      <c r="BD53"/>
      <c r="BL53"/>
      <c r="BT53"/>
      <c r="CB53"/>
      <c r="CJ53"/>
      <c r="CR53"/>
      <c r="CZ53"/>
      <c r="DH53"/>
      <c r="DP53"/>
      <c r="DX53"/>
      <c r="EF53"/>
      <c r="EN53"/>
      <c r="EV53" s="106"/>
      <c r="FD53"/>
      <c r="FL53"/>
      <c r="FT53"/>
      <c r="GB53"/>
      <c r="GJ53"/>
      <c r="GR53"/>
      <c r="GZ53"/>
      <c r="HH53"/>
    </row>
    <row r="54" spans="2:216" ht="15" x14ac:dyDescent="0.25">
      <c r="H54"/>
      <c r="P54"/>
      <c r="X54"/>
      <c r="AF54"/>
      <c r="AN54"/>
      <c r="AV54"/>
      <c r="BD54"/>
      <c r="BL54"/>
      <c r="BT54"/>
      <c r="CB54"/>
      <c r="CJ54"/>
      <c r="CR54"/>
      <c r="CZ54"/>
      <c r="DH54"/>
      <c r="DP54"/>
      <c r="DX54"/>
      <c r="EF54"/>
      <c r="EN54"/>
      <c r="EV54" s="106"/>
      <c r="FD54"/>
      <c r="FL54"/>
      <c r="FT54"/>
      <c r="GB54"/>
      <c r="GJ54"/>
      <c r="GR54"/>
      <c r="GZ54"/>
      <c r="HH54"/>
    </row>
    <row r="55" spans="2:216" ht="15" x14ac:dyDescent="0.25">
      <c r="H55"/>
      <c r="P55"/>
      <c r="X55"/>
      <c r="AF55"/>
      <c r="AN55"/>
      <c r="AV55"/>
      <c r="BD55"/>
      <c r="BL55"/>
      <c r="BT55"/>
      <c r="CB55"/>
      <c r="CJ55"/>
      <c r="CR55"/>
      <c r="CZ55"/>
      <c r="DH55"/>
      <c r="DP55"/>
      <c r="DX55"/>
      <c r="EF55"/>
      <c r="EN55"/>
      <c r="EV55" s="106"/>
      <c r="FD55"/>
      <c r="FL55"/>
      <c r="FT55"/>
      <c r="GB55"/>
      <c r="GJ55"/>
      <c r="GR55"/>
      <c r="GZ55"/>
      <c r="HH55"/>
    </row>
    <row r="56" spans="2:216" ht="15" x14ac:dyDescent="0.25">
      <c r="H56"/>
      <c r="P56"/>
      <c r="X56"/>
      <c r="AF56"/>
      <c r="AN56"/>
      <c r="AV56"/>
      <c r="BD56"/>
      <c r="BL56"/>
      <c r="BT56"/>
      <c r="CB56"/>
      <c r="CJ56"/>
      <c r="CR56"/>
      <c r="CZ56"/>
      <c r="DH56"/>
      <c r="DP56"/>
      <c r="DX56"/>
      <c r="EF56"/>
      <c r="EN56"/>
      <c r="EV56" s="106"/>
      <c r="FD56"/>
      <c r="FL56"/>
      <c r="FT56"/>
      <c r="GB56"/>
      <c r="GJ56"/>
      <c r="GR56"/>
      <c r="GZ56"/>
      <c r="HH56"/>
    </row>
    <row r="57" spans="2:216" ht="15" x14ac:dyDescent="0.25">
      <c r="H57"/>
      <c r="P57"/>
      <c r="X57"/>
      <c r="AF57"/>
      <c r="AN57"/>
      <c r="AV57"/>
      <c r="BD57"/>
      <c r="BL57"/>
      <c r="BT57"/>
      <c r="CB57"/>
      <c r="CJ57"/>
      <c r="CR57"/>
      <c r="CZ57"/>
      <c r="DH57"/>
      <c r="DP57"/>
      <c r="DX57"/>
      <c r="EF57"/>
      <c r="EN57"/>
      <c r="EV57" s="106"/>
      <c r="FD57"/>
      <c r="FL57"/>
      <c r="FT57"/>
      <c r="GB57"/>
      <c r="GJ57"/>
      <c r="GR57"/>
      <c r="GZ57"/>
      <c r="HH57"/>
    </row>
    <row r="58" spans="2:216" ht="15" x14ac:dyDescent="0.25">
      <c r="H58"/>
      <c r="P58"/>
      <c r="X58"/>
      <c r="AF58"/>
      <c r="AN58"/>
      <c r="AV58"/>
      <c r="BD58"/>
      <c r="BL58"/>
      <c r="BT58"/>
      <c r="CB58"/>
      <c r="CJ58"/>
      <c r="CR58"/>
      <c r="CZ58"/>
      <c r="DH58"/>
      <c r="DP58"/>
      <c r="DX58"/>
      <c r="EF58"/>
      <c r="EN58"/>
      <c r="EV58" s="106"/>
      <c r="FD58"/>
      <c r="FL58"/>
      <c r="FT58"/>
      <c r="GB58"/>
      <c r="GJ58"/>
      <c r="GR58"/>
      <c r="GZ58"/>
      <c r="HH58"/>
    </row>
    <row r="59" spans="2:216" ht="15" x14ac:dyDescent="0.25">
      <c r="H59"/>
      <c r="P59"/>
      <c r="X59"/>
      <c r="AF59"/>
      <c r="AN59"/>
      <c r="AV59"/>
      <c r="BD59"/>
      <c r="BL59"/>
      <c r="BT59"/>
      <c r="CB59"/>
      <c r="CJ59"/>
      <c r="CR59"/>
      <c r="CZ59"/>
      <c r="DH59"/>
      <c r="DP59"/>
      <c r="DX59"/>
      <c r="EF59"/>
      <c r="EN59"/>
      <c r="EV59" s="106"/>
      <c r="FD59"/>
      <c r="FL59"/>
      <c r="FT59"/>
      <c r="GB59"/>
      <c r="GJ59"/>
      <c r="GR59"/>
      <c r="GZ59"/>
      <c r="HH59"/>
    </row>
    <row r="60" spans="2:216" ht="15" x14ac:dyDescent="0.25">
      <c r="H60"/>
      <c r="P60"/>
      <c r="X60"/>
      <c r="AF60"/>
      <c r="AN60"/>
      <c r="AV60"/>
      <c r="BD60"/>
      <c r="BL60"/>
      <c r="BT60"/>
      <c r="CB60"/>
      <c r="CJ60"/>
      <c r="CR60"/>
      <c r="CZ60"/>
      <c r="DH60"/>
      <c r="DP60"/>
      <c r="DX60"/>
      <c r="EF60"/>
      <c r="EN60"/>
      <c r="EV60" s="106"/>
      <c r="FD60"/>
      <c r="FL60"/>
      <c r="FT60"/>
      <c r="GB60"/>
      <c r="GJ60"/>
      <c r="GR60"/>
      <c r="GZ60"/>
      <c r="HH60"/>
    </row>
    <row r="61" spans="2:216" ht="15" x14ac:dyDescent="0.25">
      <c r="H61"/>
      <c r="P61"/>
      <c r="X61"/>
      <c r="AF61"/>
      <c r="AN61"/>
      <c r="AV61"/>
      <c r="BD61"/>
      <c r="BL61"/>
      <c r="BT61"/>
      <c r="CB61"/>
      <c r="CJ61"/>
      <c r="CR61"/>
      <c r="CZ61"/>
      <c r="DH61"/>
      <c r="DP61"/>
      <c r="DX61"/>
      <c r="EF61"/>
      <c r="EN61"/>
      <c r="EV61" s="106"/>
      <c r="FD61"/>
      <c r="FL61"/>
      <c r="FT61"/>
      <c r="GB61"/>
      <c r="GJ61"/>
      <c r="GR61"/>
      <c r="GZ61"/>
      <c r="HH61"/>
    </row>
    <row r="62" spans="2:216" ht="15" x14ac:dyDescent="0.25">
      <c r="H62"/>
      <c r="P62"/>
      <c r="X62"/>
      <c r="AF62"/>
      <c r="AN62"/>
      <c r="AV62"/>
      <c r="BD62"/>
      <c r="BL62"/>
      <c r="BT62"/>
      <c r="CB62"/>
      <c r="CJ62"/>
      <c r="CR62"/>
      <c r="CZ62"/>
      <c r="DH62"/>
      <c r="DP62"/>
      <c r="DX62"/>
      <c r="EF62"/>
      <c r="EN62"/>
      <c r="EV62" s="106"/>
      <c r="FD62"/>
      <c r="FL62"/>
      <c r="FT62"/>
      <c r="GB62"/>
      <c r="GJ62"/>
      <c r="GR62"/>
      <c r="GZ62"/>
      <c r="HH62"/>
    </row>
    <row r="63" spans="2:216" ht="15" x14ac:dyDescent="0.25">
      <c r="H63"/>
      <c r="P63"/>
      <c r="X63"/>
      <c r="AF63"/>
      <c r="AN63"/>
      <c r="AV63"/>
      <c r="BD63"/>
      <c r="BL63"/>
      <c r="BT63"/>
      <c r="CB63"/>
      <c r="CJ63"/>
      <c r="CR63"/>
      <c r="CZ63"/>
      <c r="DH63"/>
      <c r="DP63"/>
      <c r="DX63"/>
      <c r="EF63"/>
      <c r="EN63"/>
      <c r="EV63" s="106"/>
      <c r="FD63"/>
      <c r="FL63"/>
      <c r="FT63"/>
      <c r="GB63"/>
      <c r="GJ63"/>
      <c r="GR63"/>
      <c r="GZ63"/>
      <c r="HH63"/>
    </row>
    <row r="64" spans="2:216" ht="15" x14ac:dyDescent="0.25">
      <c r="H64"/>
      <c r="P64"/>
      <c r="X64"/>
      <c r="AF64"/>
      <c r="AN64"/>
      <c r="AV64"/>
      <c r="BD64"/>
      <c r="BL64"/>
      <c r="BT64"/>
      <c r="CB64"/>
      <c r="CJ64"/>
      <c r="CR64"/>
      <c r="CZ64"/>
      <c r="DH64"/>
      <c r="DP64"/>
      <c r="DX64"/>
      <c r="EF64"/>
      <c r="EN64"/>
      <c r="EV64" s="106"/>
      <c r="FD64"/>
      <c r="FL64"/>
      <c r="FT64"/>
      <c r="GB64"/>
      <c r="GJ64"/>
      <c r="GR64"/>
      <c r="GZ64"/>
      <c r="HH64"/>
    </row>
    <row r="65" spans="8:216" ht="15" x14ac:dyDescent="0.25">
      <c r="H65"/>
      <c r="P65"/>
      <c r="X65"/>
      <c r="AF65"/>
      <c r="AN65"/>
      <c r="AV65"/>
      <c r="BD65"/>
      <c r="BL65"/>
      <c r="BT65"/>
      <c r="CB65"/>
      <c r="CJ65"/>
      <c r="CR65"/>
      <c r="CZ65"/>
      <c r="DH65"/>
      <c r="DP65"/>
      <c r="DX65"/>
      <c r="EF65"/>
      <c r="EN65"/>
      <c r="EV65" s="106"/>
      <c r="FD65"/>
      <c r="FL65"/>
      <c r="FT65"/>
      <c r="GB65"/>
      <c r="GJ65"/>
      <c r="GR65"/>
      <c r="GZ65"/>
      <c r="HH65"/>
    </row>
    <row r="66" spans="8:216" ht="15" x14ac:dyDescent="0.25">
      <c r="H66"/>
      <c r="P66"/>
      <c r="X66"/>
      <c r="AF66"/>
      <c r="AN66"/>
      <c r="AV66"/>
      <c r="BD66"/>
      <c r="BL66"/>
      <c r="BT66"/>
      <c r="CB66"/>
      <c r="CJ66"/>
      <c r="CR66"/>
      <c r="CZ66"/>
      <c r="DH66"/>
      <c r="DP66"/>
      <c r="DX66"/>
      <c r="EF66"/>
      <c r="EN66"/>
      <c r="EV66" s="106"/>
      <c r="FD66"/>
      <c r="FL66"/>
      <c r="FT66"/>
      <c r="GB66"/>
      <c r="GJ66"/>
      <c r="GR66"/>
      <c r="GZ66"/>
      <c r="HH66"/>
    </row>
    <row r="67" spans="8:216" ht="15" x14ac:dyDescent="0.25">
      <c r="H67"/>
      <c r="P67"/>
      <c r="X67"/>
      <c r="AF67"/>
      <c r="AN67"/>
      <c r="AV67"/>
      <c r="BD67"/>
      <c r="BL67"/>
      <c r="BT67"/>
      <c r="CB67"/>
      <c r="CJ67"/>
      <c r="CR67"/>
      <c r="CZ67"/>
      <c r="DH67"/>
      <c r="DP67"/>
      <c r="DX67"/>
      <c r="EF67"/>
      <c r="EN67"/>
      <c r="EV67" s="106"/>
      <c r="FD67"/>
      <c r="FL67"/>
      <c r="FT67"/>
      <c r="GB67"/>
      <c r="GJ67"/>
      <c r="GR67"/>
      <c r="GZ67"/>
      <c r="HH67"/>
    </row>
    <row r="68" spans="8:216" ht="15" x14ac:dyDescent="0.25">
      <c r="H68"/>
      <c r="P68"/>
      <c r="X68"/>
      <c r="AF68"/>
      <c r="AN68"/>
      <c r="AV68"/>
      <c r="BD68"/>
      <c r="BL68"/>
      <c r="BT68"/>
      <c r="CB68"/>
      <c r="CJ68"/>
      <c r="CR68"/>
      <c r="CZ68"/>
      <c r="DH68"/>
      <c r="DP68"/>
      <c r="DX68"/>
      <c r="EF68"/>
      <c r="EN68"/>
      <c r="EV68" s="106"/>
      <c r="FD68"/>
      <c r="FL68"/>
      <c r="FT68"/>
      <c r="GB68"/>
      <c r="GJ68"/>
      <c r="GR68"/>
      <c r="GZ68"/>
      <c r="HH68"/>
    </row>
    <row r="69" spans="8:216" ht="15" x14ac:dyDescent="0.25">
      <c r="H69"/>
      <c r="P69"/>
      <c r="X69"/>
      <c r="AF69"/>
      <c r="AN69"/>
      <c r="AV69"/>
      <c r="BD69"/>
      <c r="BL69"/>
      <c r="BT69"/>
      <c r="CB69"/>
      <c r="CJ69"/>
      <c r="CR69"/>
      <c r="CZ69"/>
      <c r="DH69"/>
      <c r="DP69"/>
      <c r="DX69"/>
      <c r="EF69"/>
      <c r="EN69"/>
      <c r="EV69" s="106"/>
      <c r="FD69"/>
      <c r="FL69"/>
      <c r="FT69"/>
      <c r="GB69"/>
      <c r="GJ69"/>
      <c r="GR69"/>
      <c r="GZ69"/>
      <c r="HH69"/>
    </row>
    <row r="70" spans="8:216" ht="15" x14ac:dyDescent="0.25">
      <c r="H70"/>
      <c r="P70"/>
      <c r="X70"/>
      <c r="AF70"/>
      <c r="AN70"/>
      <c r="AV70"/>
      <c r="BD70"/>
      <c r="BL70"/>
      <c r="BT70"/>
      <c r="CB70"/>
      <c r="CJ70"/>
      <c r="CR70"/>
      <c r="CZ70"/>
      <c r="DH70"/>
      <c r="DP70"/>
      <c r="DX70"/>
      <c r="EF70"/>
      <c r="EN70"/>
      <c r="EV70" s="106"/>
      <c r="FD70"/>
      <c r="FL70"/>
      <c r="FT70"/>
      <c r="GB70"/>
      <c r="GJ70"/>
      <c r="GR70"/>
      <c r="GZ70"/>
      <c r="HH70"/>
    </row>
    <row r="71" spans="8:216" ht="15" x14ac:dyDescent="0.25">
      <c r="H71"/>
      <c r="P71"/>
      <c r="X71"/>
      <c r="AF71"/>
      <c r="AN71"/>
      <c r="AV71"/>
      <c r="BD71"/>
      <c r="BL71"/>
      <c r="BT71"/>
      <c r="CB71"/>
      <c r="CJ71"/>
      <c r="CR71"/>
      <c r="CZ71"/>
      <c r="DH71"/>
      <c r="DP71"/>
      <c r="DX71"/>
      <c r="EF71"/>
      <c r="EN71"/>
      <c r="EV71" s="106"/>
      <c r="FD71"/>
      <c r="FL71"/>
      <c r="FT71"/>
      <c r="GB71"/>
      <c r="GJ71"/>
      <c r="GR71"/>
      <c r="GZ71"/>
      <c r="HH71"/>
    </row>
    <row r="72" spans="8:216" ht="15" x14ac:dyDescent="0.25">
      <c r="H72"/>
      <c r="P72"/>
      <c r="X72"/>
      <c r="AF72"/>
      <c r="AN72"/>
      <c r="AV72"/>
      <c r="BD72"/>
      <c r="BL72"/>
      <c r="BT72"/>
      <c r="CB72"/>
      <c r="CJ72"/>
      <c r="CR72"/>
      <c r="CZ72"/>
      <c r="DH72"/>
      <c r="DP72"/>
      <c r="DX72"/>
      <c r="EF72"/>
      <c r="EN72"/>
      <c r="EV72" s="106"/>
      <c r="FD72"/>
      <c r="FL72"/>
      <c r="FT72"/>
      <c r="GB72"/>
      <c r="GJ72"/>
      <c r="GR72"/>
      <c r="GZ72"/>
      <c r="HH72"/>
    </row>
    <row r="73" spans="8:216" ht="15" x14ac:dyDescent="0.25">
      <c r="H73"/>
      <c r="P73"/>
      <c r="X73"/>
      <c r="AF73"/>
      <c r="AN73"/>
      <c r="AV73"/>
      <c r="BD73"/>
      <c r="BL73"/>
      <c r="BT73"/>
      <c r="CB73"/>
      <c r="CJ73"/>
      <c r="CR73"/>
      <c r="CZ73"/>
      <c r="DH73"/>
      <c r="DP73"/>
      <c r="DX73"/>
      <c r="EF73"/>
      <c r="EN73"/>
      <c r="EV73" s="106"/>
      <c r="FD73"/>
      <c r="FL73"/>
      <c r="FT73"/>
      <c r="GB73"/>
      <c r="GJ73"/>
      <c r="GR73"/>
      <c r="GZ73"/>
      <c r="HH73"/>
    </row>
    <row r="74" spans="8:216" ht="15" x14ac:dyDescent="0.25">
      <c r="H74"/>
      <c r="P74"/>
      <c r="X74"/>
      <c r="AF74"/>
      <c r="AN74"/>
      <c r="AV74"/>
      <c r="BD74"/>
      <c r="BL74"/>
      <c r="BT74"/>
      <c r="CB74"/>
      <c r="CJ74"/>
      <c r="CR74"/>
      <c r="CZ74"/>
      <c r="DH74"/>
      <c r="DP74"/>
      <c r="DX74"/>
      <c r="EF74"/>
      <c r="EN74"/>
      <c r="EV74" s="106"/>
      <c r="FD74"/>
      <c r="FL74"/>
      <c r="FT74"/>
      <c r="GB74"/>
      <c r="GJ74"/>
      <c r="GR74"/>
      <c r="GZ74"/>
      <c r="HH74"/>
    </row>
    <row r="75" spans="8:216" ht="15" x14ac:dyDescent="0.25">
      <c r="H75"/>
      <c r="P75"/>
      <c r="X75"/>
      <c r="AF75"/>
      <c r="AN75"/>
      <c r="AV75"/>
      <c r="BD75"/>
      <c r="BL75"/>
      <c r="BT75"/>
      <c r="CB75"/>
      <c r="CJ75"/>
      <c r="CR75"/>
      <c r="CZ75"/>
      <c r="DH75"/>
      <c r="DP75"/>
      <c r="DX75"/>
      <c r="EF75"/>
      <c r="EN75"/>
      <c r="EV75" s="106"/>
      <c r="FD75"/>
      <c r="FL75"/>
      <c r="FT75"/>
      <c r="GB75"/>
      <c r="GJ75"/>
      <c r="GR75"/>
      <c r="GZ75"/>
      <c r="HH75"/>
    </row>
    <row r="76" spans="8:216" ht="15" x14ac:dyDescent="0.25">
      <c r="H76"/>
      <c r="P76"/>
      <c r="X76"/>
      <c r="AF76"/>
      <c r="AN76"/>
      <c r="AV76"/>
      <c r="BD76"/>
      <c r="BL76"/>
      <c r="BT76"/>
      <c r="CB76"/>
      <c r="CJ76"/>
      <c r="CR76"/>
      <c r="CZ76"/>
      <c r="DH76"/>
      <c r="DP76"/>
      <c r="DX76"/>
      <c r="EF76"/>
      <c r="EN76"/>
      <c r="EV76" s="106"/>
      <c r="FD76"/>
      <c r="FL76"/>
      <c r="FT76"/>
      <c r="GB76"/>
      <c r="GJ76"/>
      <c r="GR76"/>
      <c r="GZ76"/>
      <c r="HH76"/>
    </row>
    <row r="77" spans="8:216" ht="15" x14ac:dyDescent="0.25">
      <c r="H77"/>
      <c r="P77"/>
      <c r="X77"/>
      <c r="AF77"/>
      <c r="AN77"/>
      <c r="AV77"/>
      <c r="BD77"/>
      <c r="BL77"/>
      <c r="BT77"/>
      <c r="CB77"/>
      <c r="CJ77"/>
      <c r="CR77"/>
      <c r="CZ77"/>
      <c r="DH77"/>
      <c r="DP77"/>
      <c r="DX77"/>
      <c r="EF77"/>
      <c r="EN77"/>
      <c r="EV77" s="106"/>
      <c r="FD77"/>
      <c r="FL77"/>
      <c r="FT77"/>
      <c r="GB77"/>
      <c r="GJ77"/>
      <c r="GR77"/>
      <c r="GZ77"/>
      <c r="HH77"/>
    </row>
    <row r="78" spans="8:216" ht="15" x14ac:dyDescent="0.25">
      <c r="H78"/>
      <c r="P78"/>
      <c r="X78"/>
      <c r="AF78"/>
      <c r="AN78"/>
      <c r="AV78"/>
      <c r="BD78"/>
      <c r="BL78"/>
      <c r="BT78"/>
      <c r="CB78"/>
      <c r="CJ78"/>
      <c r="CR78"/>
      <c r="CZ78"/>
      <c r="DH78"/>
      <c r="DP78"/>
      <c r="DX78"/>
      <c r="EF78"/>
      <c r="EN78"/>
      <c r="EV78" s="106"/>
      <c r="FD78"/>
      <c r="FL78"/>
      <c r="FT78"/>
      <c r="GB78"/>
      <c r="GJ78"/>
      <c r="GR78"/>
      <c r="GZ78"/>
      <c r="HH78"/>
    </row>
    <row r="79" spans="8:216" ht="15" x14ac:dyDescent="0.25">
      <c r="H79"/>
      <c r="P79"/>
      <c r="X79"/>
      <c r="AF79"/>
      <c r="AN79"/>
      <c r="AV79"/>
      <c r="BD79"/>
      <c r="BL79"/>
      <c r="BT79"/>
      <c r="CB79"/>
      <c r="CJ79"/>
      <c r="CR79"/>
      <c r="CZ79"/>
      <c r="DH79"/>
      <c r="DP79"/>
      <c r="DX79"/>
      <c r="EF79"/>
      <c r="EN79"/>
      <c r="EV79" s="106"/>
      <c r="FD79"/>
      <c r="FL79"/>
      <c r="FT79"/>
      <c r="GB79"/>
      <c r="GJ79"/>
      <c r="GR79"/>
      <c r="GZ79"/>
      <c r="HH79"/>
    </row>
    <row r="80" spans="8:216" ht="15" x14ac:dyDescent="0.25">
      <c r="H80"/>
      <c r="P80"/>
      <c r="X80"/>
      <c r="AF80"/>
      <c r="AN80"/>
      <c r="AV80"/>
      <c r="BD80"/>
      <c r="BL80"/>
      <c r="BT80"/>
      <c r="CB80"/>
      <c r="CJ80"/>
      <c r="CR80"/>
      <c r="CZ80"/>
      <c r="DH80"/>
      <c r="DP80"/>
      <c r="DX80"/>
      <c r="EF80"/>
      <c r="EN80"/>
      <c r="EV80" s="106"/>
      <c r="FD80"/>
      <c r="FL80"/>
      <c r="FT80"/>
      <c r="GB80"/>
      <c r="GJ80"/>
      <c r="GR80"/>
      <c r="GZ80"/>
      <c r="HH80"/>
    </row>
    <row r="81" spans="8:216" ht="15" x14ac:dyDescent="0.25">
      <c r="H81"/>
      <c r="P81"/>
      <c r="X81"/>
      <c r="AF81"/>
      <c r="AN81"/>
      <c r="AV81"/>
      <c r="BD81"/>
      <c r="BL81"/>
      <c r="BT81"/>
      <c r="CB81"/>
      <c r="CJ81"/>
      <c r="CR81"/>
      <c r="CZ81"/>
      <c r="DH81"/>
      <c r="DP81"/>
      <c r="DX81"/>
      <c r="EF81"/>
      <c r="EN81"/>
      <c r="EV81" s="106"/>
      <c r="FD81"/>
      <c r="FL81"/>
      <c r="FT81"/>
      <c r="GB81"/>
      <c r="GJ81"/>
      <c r="GR81"/>
      <c r="GZ81"/>
      <c r="HH81"/>
    </row>
    <row r="82" spans="8:216" ht="15" x14ac:dyDescent="0.25">
      <c r="H82"/>
      <c r="P82"/>
      <c r="X82"/>
      <c r="AF82"/>
      <c r="AN82"/>
      <c r="AV82"/>
      <c r="BD82"/>
      <c r="BL82"/>
      <c r="BT82"/>
      <c r="CB82"/>
      <c r="CJ82"/>
      <c r="CR82"/>
      <c r="CZ82"/>
      <c r="DH82"/>
      <c r="DP82"/>
      <c r="DX82"/>
      <c r="EF82"/>
      <c r="EN82"/>
      <c r="EV82" s="106"/>
      <c r="FD82"/>
      <c r="FL82"/>
      <c r="FT82"/>
      <c r="GB82"/>
      <c r="GJ82"/>
      <c r="GR82"/>
      <c r="GZ82"/>
      <c r="HH82"/>
    </row>
    <row r="83" spans="8:216" ht="15" x14ac:dyDescent="0.25">
      <c r="H83"/>
      <c r="P83"/>
      <c r="X83"/>
      <c r="AF83"/>
      <c r="AN83"/>
      <c r="AV83"/>
      <c r="BD83"/>
      <c r="BL83"/>
      <c r="BT83"/>
      <c r="CB83"/>
      <c r="CJ83"/>
      <c r="CR83"/>
      <c r="CZ83"/>
      <c r="DH83"/>
      <c r="DP83"/>
      <c r="DX83"/>
      <c r="EF83"/>
      <c r="EN83"/>
      <c r="EV83" s="106"/>
      <c r="FD83"/>
      <c r="FL83"/>
      <c r="FT83"/>
      <c r="GB83"/>
      <c r="GJ83"/>
      <c r="GR83"/>
      <c r="GZ83"/>
      <c r="HH83"/>
    </row>
    <row r="84" spans="8:216" ht="15" x14ac:dyDescent="0.25">
      <c r="H84"/>
      <c r="P84"/>
      <c r="X84"/>
      <c r="AF84"/>
      <c r="AN84"/>
      <c r="AV84"/>
      <c r="BD84"/>
      <c r="BL84"/>
      <c r="BT84"/>
      <c r="CB84"/>
      <c r="CJ84"/>
      <c r="CR84"/>
      <c r="CZ84"/>
      <c r="DH84"/>
      <c r="DP84"/>
      <c r="DX84"/>
      <c r="EF84"/>
      <c r="EN84"/>
      <c r="EV84" s="106"/>
      <c r="FD84"/>
      <c r="FL84"/>
      <c r="FT84"/>
      <c r="GB84"/>
      <c r="GJ84"/>
      <c r="GR84"/>
      <c r="GZ84"/>
      <c r="HH84"/>
    </row>
    <row r="85" spans="8:216" ht="15" x14ac:dyDescent="0.25">
      <c r="H85"/>
      <c r="P85"/>
      <c r="X85"/>
      <c r="AF85"/>
      <c r="AN85"/>
      <c r="AV85"/>
      <c r="BD85"/>
      <c r="BL85"/>
      <c r="BT85"/>
      <c r="CB85"/>
      <c r="CJ85"/>
      <c r="CR85"/>
      <c r="CZ85"/>
      <c r="DH85"/>
      <c r="DP85"/>
      <c r="DX85"/>
      <c r="EF85"/>
      <c r="EN85"/>
      <c r="EV85" s="106"/>
      <c r="FD85"/>
      <c r="FL85"/>
      <c r="FT85"/>
      <c r="GB85"/>
      <c r="GJ85"/>
      <c r="GR85"/>
      <c r="GZ85"/>
      <c r="HH85"/>
    </row>
    <row r="86" spans="8:216" ht="15" x14ac:dyDescent="0.25">
      <c r="H86"/>
      <c r="P86"/>
      <c r="X86"/>
      <c r="AF86"/>
      <c r="AN86"/>
      <c r="AV86"/>
      <c r="BD86"/>
      <c r="BL86"/>
      <c r="BT86"/>
      <c r="CB86"/>
      <c r="CJ86"/>
      <c r="CR86"/>
      <c r="CZ86"/>
      <c r="DH86"/>
      <c r="DP86"/>
      <c r="DX86"/>
      <c r="EF86"/>
      <c r="EN86"/>
      <c r="EV86" s="106"/>
      <c r="FD86"/>
      <c r="FL86"/>
      <c r="FT86"/>
      <c r="GB86"/>
      <c r="GJ86"/>
      <c r="GR86"/>
      <c r="GZ86"/>
      <c r="HH86"/>
    </row>
    <row r="87" spans="8:216" ht="15" x14ac:dyDescent="0.25">
      <c r="H87"/>
      <c r="P87"/>
      <c r="X87"/>
      <c r="AF87"/>
      <c r="AN87"/>
      <c r="AV87"/>
      <c r="BD87"/>
      <c r="BL87"/>
      <c r="BT87"/>
      <c r="CB87"/>
      <c r="CJ87"/>
      <c r="CR87"/>
      <c r="CZ87"/>
      <c r="DH87"/>
      <c r="DP87"/>
      <c r="DX87"/>
      <c r="EF87"/>
      <c r="EN87"/>
      <c r="EV87" s="106"/>
      <c r="FD87"/>
      <c r="FL87"/>
      <c r="FT87"/>
      <c r="GB87"/>
      <c r="GJ87"/>
      <c r="GR87"/>
      <c r="GZ87"/>
      <c r="HH87"/>
    </row>
    <row r="88" spans="8:216" ht="15" x14ac:dyDescent="0.25">
      <c r="H88"/>
      <c r="P88"/>
      <c r="X88"/>
      <c r="AF88"/>
      <c r="AN88"/>
      <c r="AV88"/>
      <c r="BD88"/>
      <c r="BL88"/>
      <c r="BT88"/>
      <c r="CB88"/>
      <c r="CJ88"/>
      <c r="CR88"/>
      <c r="CZ88"/>
      <c r="DH88"/>
      <c r="DP88"/>
      <c r="DX88"/>
      <c r="EF88"/>
      <c r="EN88"/>
      <c r="EV88" s="106"/>
      <c r="FD88"/>
      <c r="FL88"/>
      <c r="FT88"/>
      <c r="GB88"/>
      <c r="GJ88"/>
      <c r="GR88"/>
      <c r="GZ88"/>
      <c r="HH88"/>
    </row>
    <row r="89" spans="8:216" ht="15" x14ac:dyDescent="0.25">
      <c r="H89"/>
      <c r="P89"/>
      <c r="X89"/>
      <c r="AF89"/>
      <c r="AN89"/>
      <c r="AV89"/>
      <c r="BD89"/>
      <c r="BL89"/>
      <c r="BT89"/>
      <c r="CB89"/>
      <c r="CJ89"/>
      <c r="CR89"/>
      <c r="CZ89"/>
      <c r="DH89"/>
      <c r="DP89"/>
      <c r="DX89"/>
      <c r="EF89"/>
      <c r="EN89"/>
      <c r="EV89" s="106"/>
      <c r="FD89"/>
      <c r="FL89"/>
      <c r="FT89"/>
      <c r="GB89"/>
      <c r="GJ89"/>
      <c r="GR89"/>
      <c r="GZ89"/>
      <c r="HH89"/>
    </row>
    <row r="90" spans="8:216" ht="15" x14ac:dyDescent="0.25">
      <c r="H90"/>
      <c r="P90"/>
      <c r="X90"/>
      <c r="AF90"/>
      <c r="AN90"/>
      <c r="AV90"/>
      <c r="BD90"/>
      <c r="BL90"/>
      <c r="BT90"/>
      <c r="CB90"/>
      <c r="CJ90"/>
      <c r="CR90"/>
      <c r="CZ90"/>
      <c r="DH90"/>
      <c r="DP90"/>
      <c r="DX90"/>
      <c r="EF90"/>
      <c r="EN90"/>
      <c r="EV90" s="106"/>
      <c r="FD90"/>
      <c r="FL90"/>
      <c r="FT90"/>
      <c r="GB90"/>
      <c r="GJ90"/>
      <c r="GR90"/>
      <c r="GZ90"/>
      <c r="HH90"/>
    </row>
    <row r="91" spans="8:216" ht="15" x14ac:dyDescent="0.25">
      <c r="H91"/>
      <c r="P91"/>
      <c r="X91"/>
      <c r="AF91"/>
      <c r="AN91"/>
      <c r="AV91"/>
      <c r="BD91"/>
      <c r="BL91"/>
      <c r="BT91"/>
      <c r="CB91"/>
      <c r="CJ91"/>
      <c r="CR91"/>
      <c r="CZ91"/>
      <c r="DH91"/>
      <c r="DP91"/>
      <c r="DX91"/>
      <c r="EF91"/>
      <c r="EN91"/>
      <c r="EV91" s="106"/>
      <c r="FD91"/>
      <c r="FL91"/>
      <c r="FT91"/>
      <c r="GB91"/>
      <c r="GJ91"/>
      <c r="GR91"/>
      <c r="GZ91"/>
      <c r="HH91"/>
    </row>
    <row r="92" spans="8:216" ht="15" x14ac:dyDescent="0.25">
      <c r="H92"/>
      <c r="P92"/>
      <c r="X92"/>
      <c r="AF92"/>
      <c r="AN92"/>
      <c r="AV92"/>
      <c r="BD92"/>
      <c r="BL92"/>
      <c r="BT92"/>
      <c r="CB92"/>
      <c r="CJ92"/>
      <c r="CR92"/>
      <c r="CZ92"/>
      <c r="DH92"/>
      <c r="DP92"/>
      <c r="DX92"/>
      <c r="EF92"/>
      <c r="EN92"/>
      <c r="EV92" s="106"/>
      <c r="FD92"/>
      <c r="FL92"/>
      <c r="FT92"/>
      <c r="GB92"/>
      <c r="GJ92"/>
      <c r="GR92"/>
      <c r="GZ92"/>
      <c r="HH92"/>
    </row>
    <row r="93" spans="8:216" ht="15" x14ac:dyDescent="0.25">
      <c r="H93"/>
      <c r="P93"/>
      <c r="X93"/>
      <c r="AF93"/>
      <c r="AN93"/>
      <c r="AV93"/>
      <c r="BD93"/>
      <c r="BL93"/>
      <c r="BT93"/>
      <c r="CB93"/>
      <c r="CJ93"/>
      <c r="CR93"/>
      <c r="CZ93"/>
      <c r="DH93"/>
      <c r="DP93"/>
      <c r="DX93"/>
      <c r="EF93"/>
      <c r="EN93"/>
      <c r="EV93" s="106"/>
      <c r="FD93"/>
      <c r="FL93"/>
      <c r="FT93"/>
      <c r="GB93"/>
      <c r="GJ93"/>
      <c r="GR93"/>
      <c r="GZ93"/>
      <c r="HH93"/>
    </row>
    <row r="94" spans="8:216" ht="15" x14ac:dyDescent="0.25">
      <c r="H94"/>
      <c r="P94"/>
      <c r="X94"/>
      <c r="AF94"/>
      <c r="AN94"/>
      <c r="AV94"/>
      <c r="BD94"/>
      <c r="BL94"/>
      <c r="BT94"/>
      <c r="CB94"/>
      <c r="CJ94"/>
      <c r="CR94"/>
      <c r="CZ94"/>
      <c r="DH94"/>
      <c r="DP94"/>
      <c r="DX94"/>
      <c r="EF94"/>
      <c r="EN94"/>
      <c r="EV94" s="106"/>
      <c r="FD94"/>
      <c r="FL94"/>
      <c r="FT94"/>
      <c r="GB94"/>
      <c r="GJ94"/>
      <c r="GR94"/>
      <c r="GZ94"/>
      <c r="HH94"/>
    </row>
    <row r="95" spans="8:216" ht="15" x14ac:dyDescent="0.25">
      <c r="H95"/>
      <c r="P95"/>
      <c r="X95"/>
      <c r="AF95"/>
      <c r="AN95"/>
      <c r="AV95"/>
      <c r="BD95"/>
      <c r="BL95"/>
      <c r="BT95"/>
      <c r="CB95"/>
      <c r="CJ95"/>
      <c r="CR95"/>
      <c r="CZ95"/>
      <c r="DH95"/>
      <c r="DP95"/>
      <c r="DX95"/>
      <c r="EF95"/>
      <c r="EN95"/>
      <c r="EV95" s="106"/>
      <c r="FD95"/>
      <c r="FL95"/>
      <c r="FT95"/>
      <c r="GB95"/>
      <c r="GJ95"/>
      <c r="GR95"/>
      <c r="GZ95"/>
      <c r="HH95"/>
    </row>
    <row r="96" spans="8:216" ht="15" x14ac:dyDescent="0.25">
      <c r="H96"/>
      <c r="P96"/>
      <c r="X96"/>
      <c r="AF96"/>
      <c r="AN96"/>
      <c r="AV96"/>
      <c r="BD96"/>
      <c r="BL96"/>
      <c r="BT96"/>
      <c r="CB96"/>
      <c r="CJ96"/>
      <c r="CR96"/>
      <c r="CZ96"/>
      <c r="DH96"/>
      <c r="DP96"/>
      <c r="DX96"/>
      <c r="EF96"/>
      <c r="EN96"/>
      <c r="EV96" s="106"/>
      <c r="FD96"/>
      <c r="FL96"/>
      <c r="FT96"/>
      <c r="GB96"/>
      <c r="GJ96"/>
      <c r="GR96"/>
      <c r="GZ96"/>
      <c r="HH96"/>
    </row>
    <row r="97" spans="8:216" ht="15" x14ac:dyDescent="0.25">
      <c r="H97"/>
      <c r="P97"/>
      <c r="X97"/>
      <c r="AF97"/>
      <c r="AN97"/>
      <c r="AV97"/>
      <c r="BD97"/>
      <c r="BL97"/>
      <c r="BT97"/>
      <c r="CB97"/>
      <c r="CJ97"/>
      <c r="CR97"/>
      <c r="CZ97"/>
      <c r="DH97"/>
      <c r="DP97"/>
      <c r="DX97"/>
      <c r="EF97"/>
      <c r="EN97"/>
      <c r="EV97" s="106"/>
      <c r="FD97"/>
      <c r="FL97"/>
      <c r="FT97"/>
      <c r="GB97"/>
      <c r="GJ97"/>
      <c r="GR97"/>
      <c r="GZ97"/>
      <c r="HH97"/>
    </row>
    <row r="98" spans="8:216" ht="15" x14ac:dyDescent="0.25">
      <c r="H98"/>
      <c r="P98"/>
      <c r="X98"/>
      <c r="AF98"/>
      <c r="AN98"/>
      <c r="AV98"/>
      <c r="BD98"/>
      <c r="BL98"/>
      <c r="BT98"/>
      <c r="CB98"/>
      <c r="CJ98"/>
      <c r="CR98"/>
      <c r="CZ98"/>
      <c r="DH98"/>
      <c r="DP98"/>
      <c r="DX98"/>
      <c r="EF98"/>
      <c r="EN98"/>
      <c r="EV98" s="106"/>
      <c r="FD98"/>
      <c r="FL98"/>
      <c r="FT98"/>
      <c r="GB98"/>
      <c r="GJ98"/>
      <c r="GR98"/>
      <c r="GZ98"/>
      <c r="HH98"/>
    </row>
    <row r="99" spans="8:216" ht="15" x14ac:dyDescent="0.25">
      <c r="H99"/>
      <c r="P99"/>
      <c r="X99"/>
      <c r="AF99"/>
      <c r="AN99"/>
      <c r="AV99"/>
      <c r="BD99"/>
      <c r="BL99"/>
      <c r="BT99"/>
      <c r="CB99"/>
      <c r="CJ99"/>
      <c r="CR99"/>
      <c r="CZ99"/>
      <c r="DH99"/>
      <c r="DP99"/>
      <c r="DX99"/>
      <c r="EF99"/>
      <c r="EN99"/>
      <c r="EV99" s="106"/>
      <c r="FD99"/>
      <c r="FL99"/>
      <c r="FT99"/>
      <c r="GB99"/>
      <c r="GJ99"/>
      <c r="GR99"/>
      <c r="GZ99"/>
      <c r="HH99"/>
    </row>
    <row r="100" spans="8:216" ht="15" x14ac:dyDescent="0.25">
      <c r="H100"/>
      <c r="P100"/>
      <c r="X100"/>
      <c r="AF100"/>
      <c r="AN100"/>
      <c r="AV100"/>
      <c r="BD100"/>
      <c r="BL100"/>
      <c r="BT100"/>
      <c r="CB100"/>
      <c r="CJ100"/>
      <c r="CR100"/>
      <c r="CZ100"/>
      <c r="DH100"/>
      <c r="DP100"/>
      <c r="DX100"/>
      <c r="EF100"/>
      <c r="EN100"/>
      <c r="EV100" s="106"/>
      <c r="FD100"/>
      <c r="FL100"/>
      <c r="FT100"/>
      <c r="GB100"/>
      <c r="GJ100"/>
      <c r="GR100"/>
      <c r="GZ100"/>
      <c r="HH100"/>
    </row>
    <row r="101" spans="8:216" ht="15" x14ac:dyDescent="0.25">
      <c r="H101"/>
      <c r="P101"/>
      <c r="X101"/>
      <c r="AF101"/>
      <c r="AN101"/>
      <c r="AV101"/>
      <c r="BD101"/>
      <c r="BL101"/>
      <c r="BT101"/>
      <c r="CB101"/>
      <c r="CJ101"/>
      <c r="CR101"/>
      <c r="CZ101"/>
      <c r="DH101"/>
      <c r="DP101"/>
      <c r="DX101"/>
      <c r="EF101"/>
      <c r="EN101"/>
      <c r="EV101" s="106"/>
      <c r="FD101"/>
      <c r="FL101"/>
      <c r="FT101"/>
      <c r="GB101"/>
      <c r="GJ101"/>
      <c r="GR101"/>
      <c r="GZ101"/>
      <c r="HH101"/>
    </row>
    <row r="102" spans="8:216" ht="15" x14ac:dyDescent="0.25">
      <c r="H102"/>
      <c r="P102"/>
      <c r="X102"/>
      <c r="AF102"/>
      <c r="AN102"/>
      <c r="AV102"/>
      <c r="BD102"/>
      <c r="BL102"/>
      <c r="BT102"/>
      <c r="CB102"/>
      <c r="CJ102"/>
      <c r="CR102"/>
      <c r="CZ102"/>
      <c r="DH102"/>
      <c r="DP102"/>
      <c r="DX102"/>
      <c r="EF102"/>
      <c r="EN102"/>
      <c r="EV102" s="106"/>
      <c r="FD102"/>
      <c r="FL102"/>
      <c r="FT102"/>
      <c r="GB102"/>
      <c r="GJ102"/>
      <c r="GR102"/>
      <c r="GZ102"/>
      <c r="HH102"/>
    </row>
    <row r="103" spans="8:216" ht="15" x14ac:dyDescent="0.25">
      <c r="H103"/>
      <c r="P103"/>
      <c r="X103"/>
      <c r="AF103"/>
      <c r="AN103"/>
      <c r="AV103"/>
      <c r="BD103"/>
      <c r="BL103"/>
      <c r="BT103"/>
      <c r="CB103"/>
      <c r="CJ103"/>
      <c r="CR103"/>
      <c r="CZ103"/>
      <c r="DH103"/>
      <c r="DP103"/>
      <c r="DX103"/>
      <c r="EF103"/>
      <c r="EN103"/>
      <c r="EV103" s="106"/>
      <c r="FD103"/>
      <c r="FL103"/>
      <c r="FT103"/>
      <c r="GB103"/>
      <c r="GJ103"/>
      <c r="GR103"/>
      <c r="GZ103"/>
      <c r="HH103"/>
    </row>
    <row r="104" spans="8:216" ht="15" x14ac:dyDescent="0.25">
      <c r="H104"/>
      <c r="P104"/>
      <c r="X104"/>
      <c r="AF104"/>
      <c r="AN104"/>
      <c r="AV104"/>
      <c r="BD104"/>
      <c r="BL104"/>
      <c r="BT104"/>
      <c r="CB104"/>
      <c r="CJ104"/>
      <c r="CR104"/>
      <c r="CZ104"/>
      <c r="DH104"/>
      <c r="DP104"/>
      <c r="DX104"/>
      <c r="EF104"/>
      <c r="EN104"/>
      <c r="EV104" s="106"/>
      <c r="FD104"/>
      <c r="FL104"/>
      <c r="FT104"/>
      <c r="GB104"/>
      <c r="GJ104"/>
      <c r="GR104"/>
      <c r="GZ104"/>
      <c r="HH104"/>
    </row>
    <row r="105" spans="8:216" ht="15" x14ac:dyDescent="0.25">
      <c r="H105"/>
      <c r="P105"/>
      <c r="X105"/>
      <c r="AF105"/>
      <c r="AN105"/>
      <c r="AV105"/>
      <c r="BD105"/>
      <c r="BL105"/>
      <c r="BT105"/>
      <c r="CB105"/>
      <c r="CJ105"/>
      <c r="CR105"/>
      <c r="CZ105"/>
      <c r="DH105"/>
      <c r="DP105"/>
      <c r="DX105"/>
      <c r="EF105"/>
      <c r="EN105"/>
      <c r="EV105" s="106"/>
      <c r="FD105"/>
      <c r="FL105"/>
      <c r="FT105"/>
      <c r="GB105"/>
      <c r="GJ105"/>
      <c r="GR105"/>
      <c r="GZ105"/>
      <c r="HH105"/>
    </row>
    <row r="106" spans="8:216" ht="15" x14ac:dyDescent="0.25">
      <c r="H106"/>
      <c r="P106"/>
      <c r="X106"/>
      <c r="AF106"/>
      <c r="AN106"/>
      <c r="AV106"/>
      <c r="BD106"/>
      <c r="BL106"/>
      <c r="BT106"/>
      <c r="CB106"/>
      <c r="CJ106"/>
      <c r="CR106"/>
      <c r="CZ106"/>
      <c r="DH106"/>
      <c r="DP106"/>
      <c r="DX106"/>
      <c r="EF106"/>
      <c r="EN106"/>
      <c r="EV106" s="106"/>
      <c r="FD106"/>
      <c r="FL106"/>
      <c r="FT106"/>
      <c r="GB106"/>
      <c r="GJ106"/>
      <c r="GR106"/>
      <c r="GZ106"/>
      <c r="HH106"/>
    </row>
    <row r="107" spans="8:216" ht="15" x14ac:dyDescent="0.25">
      <c r="H107"/>
      <c r="P107"/>
      <c r="X107"/>
      <c r="AF107"/>
      <c r="AN107"/>
      <c r="AV107"/>
      <c r="BD107"/>
      <c r="BL107"/>
      <c r="BT107"/>
      <c r="CB107"/>
      <c r="CJ107"/>
      <c r="CR107"/>
      <c r="CZ107"/>
      <c r="DH107"/>
      <c r="DP107"/>
      <c r="DX107"/>
      <c r="EF107"/>
      <c r="EN107"/>
      <c r="EV107" s="106"/>
      <c r="FD107"/>
      <c r="FL107"/>
      <c r="FT107"/>
      <c r="GB107"/>
      <c r="GJ107"/>
      <c r="GR107"/>
      <c r="GZ107"/>
      <c r="HH107"/>
    </row>
    <row r="108" spans="8:216" ht="15" x14ac:dyDescent="0.25">
      <c r="H108"/>
      <c r="P108"/>
      <c r="X108"/>
      <c r="AF108"/>
      <c r="AN108"/>
      <c r="AV108"/>
      <c r="BD108"/>
      <c r="BL108"/>
      <c r="BT108"/>
      <c r="CB108"/>
      <c r="CJ108"/>
      <c r="CR108"/>
      <c r="CZ108"/>
      <c r="DH108"/>
      <c r="DP108"/>
      <c r="DX108"/>
      <c r="EF108"/>
      <c r="EN108"/>
      <c r="EV108" s="106"/>
      <c r="FD108"/>
      <c r="FL108"/>
      <c r="FT108"/>
      <c r="GB108"/>
      <c r="GJ108"/>
      <c r="GR108"/>
      <c r="GZ108"/>
      <c r="HH108"/>
    </row>
    <row r="109" spans="8:216" ht="15" x14ac:dyDescent="0.25">
      <c r="H109"/>
      <c r="P109"/>
      <c r="X109"/>
      <c r="AF109"/>
      <c r="AN109"/>
      <c r="AV109"/>
      <c r="BD109"/>
      <c r="BL109"/>
      <c r="BT109"/>
      <c r="CB109"/>
      <c r="CJ109"/>
      <c r="CR109"/>
      <c r="CZ109"/>
      <c r="DH109"/>
      <c r="DP109"/>
      <c r="DX109"/>
      <c r="EF109"/>
      <c r="EN109"/>
      <c r="EV109" s="106"/>
      <c r="FD109"/>
      <c r="FL109"/>
      <c r="FT109"/>
      <c r="GB109"/>
      <c r="GJ109"/>
      <c r="GR109"/>
      <c r="GZ109"/>
      <c r="HH109"/>
    </row>
    <row r="110" spans="8:216" ht="15" x14ac:dyDescent="0.25">
      <c r="H110"/>
      <c r="P110"/>
      <c r="X110"/>
      <c r="AF110"/>
      <c r="AN110"/>
      <c r="AV110"/>
      <c r="BD110"/>
      <c r="BL110"/>
      <c r="BT110"/>
      <c r="CB110"/>
      <c r="CJ110"/>
      <c r="CR110"/>
      <c r="CZ110"/>
      <c r="DH110"/>
      <c r="DP110"/>
      <c r="DX110"/>
      <c r="EF110"/>
      <c r="EN110"/>
      <c r="EV110" s="106"/>
      <c r="FD110"/>
      <c r="FL110"/>
      <c r="FT110"/>
      <c r="GB110"/>
      <c r="GJ110"/>
      <c r="GR110"/>
      <c r="GZ110"/>
      <c r="HH110"/>
    </row>
    <row r="111" spans="8:216" ht="15" x14ac:dyDescent="0.25">
      <c r="H111"/>
      <c r="P111"/>
      <c r="X111"/>
      <c r="AF111"/>
      <c r="AN111"/>
      <c r="AV111"/>
      <c r="BD111"/>
      <c r="BL111"/>
      <c r="BT111"/>
      <c r="CB111"/>
      <c r="CJ111"/>
      <c r="CR111"/>
      <c r="CZ111"/>
      <c r="DH111"/>
      <c r="DP111"/>
      <c r="DX111"/>
      <c r="EF111"/>
      <c r="EN111"/>
      <c r="EV111" s="106"/>
      <c r="FD111"/>
      <c r="FL111"/>
      <c r="FT111"/>
      <c r="GB111"/>
      <c r="GJ111"/>
      <c r="GR111"/>
      <c r="GZ111"/>
      <c r="HH111"/>
    </row>
    <row r="112" spans="8:216" ht="15" x14ac:dyDescent="0.25">
      <c r="H112"/>
      <c r="P112"/>
      <c r="X112"/>
      <c r="AF112"/>
      <c r="AN112"/>
      <c r="AV112"/>
      <c r="BD112"/>
      <c r="BL112"/>
      <c r="BT112"/>
      <c r="CB112"/>
      <c r="CJ112"/>
      <c r="CR112"/>
      <c r="CZ112"/>
      <c r="DH112"/>
      <c r="DP112"/>
      <c r="DX112"/>
      <c r="EF112"/>
      <c r="EN112"/>
      <c r="EV112" s="106"/>
      <c r="FD112"/>
      <c r="FL112"/>
      <c r="FT112"/>
      <c r="GB112"/>
      <c r="GJ112"/>
      <c r="GR112"/>
      <c r="GZ112"/>
      <c r="HH112"/>
    </row>
    <row r="113" spans="8:216" ht="15" x14ac:dyDescent="0.25">
      <c r="H113"/>
      <c r="P113"/>
      <c r="X113"/>
      <c r="AF113"/>
      <c r="AN113"/>
      <c r="AV113"/>
      <c r="BD113"/>
      <c r="BL113"/>
      <c r="BT113"/>
      <c r="CB113"/>
      <c r="CJ113"/>
      <c r="CR113"/>
      <c r="CZ113"/>
      <c r="DH113"/>
      <c r="DP113"/>
      <c r="DX113"/>
      <c r="EF113"/>
      <c r="EN113"/>
      <c r="EV113" s="106"/>
      <c r="FD113"/>
      <c r="FL113"/>
      <c r="FT113"/>
      <c r="GB113"/>
      <c r="GJ113"/>
      <c r="GR113"/>
      <c r="GZ113"/>
      <c r="HH113"/>
    </row>
    <row r="114" spans="8:216" ht="15" x14ac:dyDescent="0.25">
      <c r="H114"/>
      <c r="P114"/>
      <c r="X114"/>
      <c r="AF114"/>
      <c r="AN114"/>
      <c r="AV114"/>
      <c r="BD114"/>
      <c r="BL114"/>
      <c r="BT114"/>
      <c r="CB114"/>
      <c r="CJ114"/>
      <c r="CR114"/>
      <c r="CZ114"/>
      <c r="DH114"/>
      <c r="DP114"/>
      <c r="DX114"/>
      <c r="EF114"/>
      <c r="EN114"/>
      <c r="EV114" s="106"/>
      <c r="FD114"/>
      <c r="FL114"/>
      <c r="FT114"/>
      <c r="GB114"/>
      <c r="GJ114"/>
      <c r="GR114"/>
      <c r="GZ114"/>
      <c r="HH114"/>
    </row>
    <row r="115" spans="8:216" ht="15" x14ac:dyDescent="0.25">
      <c r="H115"/>
      <c r="P115"/>
      <c r="X115"/>
      <c r="AF115"/>
      <c r="AN115"/>
      <c r="AV115"/>
      <c r="BD115"/>
      <c r="BL115"/>
      <c r="BT115"/>
      <c r="CB115"/>
      <c r="CJ115"/>
      <c r="CR115"/>
      <c r="CZ115"/>
      <c r="DH115"/>
      <c r="DP115"/>
      <c r="DX115"/>
      <c r="EF115"/>
      <c r="EN115"/>
      <c r="EV115" s="106"/>
      <c r="FD115"/>
      <c r="FL115"/>
      <c r="FT115"/>
      <c r="GB115"/>
      <c r="GJ115"/>
      <c r="GR115"/>
      <c r="GZ115"/>
      <c r="HH115"/>
    </row>
    <row r="116" spans="8:216" ht="15" x14ac:dyDescent="0.25">
      <c r="H116"/>
      <c r="P116"/>
      <c r="X116"/>
      <c r="AF116"/>
      <c r="AN116"/>
      <c r="AV116"/>
      <c r="BD116"/>
      <c r="BL116"/>
      <c r="BT116"/>
      <c r="CB116"/>
      <c r="CJ116"/>
      <c r="CR116"/>
      <c r="CZ116"/>
      <c r="DH116"/>
      <c r="DP116"/>
      <c r="DX116"/>
      <c r="EF116"/>
      <c r="EN116"/>
      <c r="EV116" s="106"/>
      <c r="FD116"/>
      <c r="FL116"/>
      <c r="FT116"/>
      <c r="GB116"/>
      <c r="GJ116"/>
      <c r="GR116"/>
      <c r="GZ116"/>
      <c r="HH116"/>
    </row>
    <row r="117" spans="8:216" ht="15" x14ac:dyDescent="0.25">
      <c r="H117"/>
      <c r="P117"/>
      <c r="X117"/>
      <c r="AF117"/>
      <c r="AN117"/>
      <c r="AV117"/>
      <c r="BD117"/>
      <c r="BL117"/>
      <c r="BT117"/>
      <c r="CB117"/>
      <c r="CJ117"/>
      <c r="CR117"/>
      <c r="CZ117"/>
      <c r="DH117"/>
      <c r="DP117"/>
      <c r="DX117"/>
      <c r="EF117"/>
      <c r="EN117"/>
      <c r="EV117" s="106"/>
      <c r="FD117"/>
      <c r="FL117"/>
      <c r="FT117"/>
      <c r="GB117"/>
      <c r="GJ117"/>
      <c r="GR117"/>
      <c r="GZ117"/>
      <c r="HH117"/>
    </row>
    <row r="118" spans="8:216" ht="15" x14ac:dyDescent="0.25">
      <c r="H118"/>
      <c r="P118"/>
      <c r="X118"/>
      <c r="AF118"/>
      <c r="AN118"/>
      <c r="AV118"/>
      <c r="BD118"/>
      <c r="BL118"/>
      <c r="BT118"/>
      <c r="CB118"/>
      <c r="CJ118"/>
      <c r="CR118"/>
      <c r="CZ118"/>
      <c r="DH118"/>
      <c r="DP118"/>
      <c r="DX118"/>
      <c r="EF118"/>
      <c r="EN118"/>
      <c r="EV118" s="106"/>
      <c r="FD118"/>
      <c r="FL118"/>
      <c r="FT118"/>
      <c r="GB118"/>
      <c r="GJ118"/>
      <c r="GR118"/>
      <c r="GZ118"/>
      <c r="HH118"/>
    </row>
    <row r="119" spans="8:216" ht="15" x14ac:dyDescent="0.25">
      <c r="H119"/>
      <c r="P119"/>
      <c r="X119"/>
      <c r="AF119"/>
      <c r="AN119"/>
      <c r="AV119"/>
      <c r="BD119"/>
      <c r="BL119"/>
      <c r="BT119"/>
      <c r="CB119"/>
      <c r="CJ119"/>
      <c r="CR119"/>
      <c r="CZ119"/>
      <c r="DH119"/>
      <c r="DP119"/>
      <c r="DX119"/>
      <c r="EF119"/>
      <c r="EN119"/>
      <c r="EV119" s="106"/>
      <c r="FD119"/>
      <c r="FL119"/>
      <c r="FT119"/>
      <c r="GB119"/>
      <c r="GJ119"/>
      <c r="GR119"/>
      <c r="GZ119"/>
      <c r="HH119"/>
    </row>
    <row r="120" spans="8:216" ht="15" x14ac:dyDescent="0.25">
      <c r="H120"/>
      <c r="P120"/>
      <c r="X120"/>
      <c r="AF120"/>
      <c r="AN120"/>
      <c r="AV120"/>
      <c r="BD120"/>
      <c r="BL120"/>
      <c r="BT120"/>
      <c r="CB120"/>
      <c r="CJ120"/>
      <c r="CR120"/>
      <c r="CZ120"/>
      <c r="DH120"/>
      <c r="DP120"/>
      <c r="DX120"/>
      <c r="EF120"/>
      <c r="EN120"/>
      <c r="EV120" s="106"/>
      <c r="FD120"/>
      <c r="FL120"/>
      <c r="FT120"/>
      <c r="GB120"/>
      <c r="GJ120"/>
      <c r="GR120"/>
      <c r="GZ120"/>
      <c r="HH120"/>
    </row>
    <row r="121" spans="8:216" ht="15" x14ac:dyDescent="0.25">
      <c r="H121"/>
      <c r="P121"/>
      <c r="X121"/>
      <c r="AF121"/>
      <c r="AN121"/>
      <c r="AV121"/>
      <c r="BD121"/>
      <c r="BL121"/>
      <c r="BT121"/>
      <c r="CB121"/>
      <c r="CJ121"/>
      <c r="CR121"/>
      <c r="CZ121"/>
      <c r="DH121"/>
      <c r="DP121"/>
      <c r="DX121"/>
      <c r="EF121"/>
      <c r="EN121"/>
      <c r="EV121" s="106"/>
      <c r="FD121"/>
      <c r="FL121"/>
      <c r="FT121"/>
      <c r="GB121"/>
      <c r="GJ121"/>
      <c r="GR121"/>
      <c r="GZ121"/>
      <c r="HH121"/>
    </row>
    <row r="122" spans="8:216" ht="15" x14ac:dyDescent="0.25">
      <c r="H122"/>
      <c r="P122"/>
      <c r="X122"/>
      <c r="AF122"/>
      <c r="AN122"/>
      <c r="AV122"/>
      <c r="BD122"/>
      <c r="BL122"/>
      <c r="BT122"/>
      <c r="CB122"/>
      <c r="CJ122"/>
      <c r="CR122"/>
      <c r="CZ122"/>
      <c r="DH122"/>
      <c r="DP122"/>
      <c r="DX122"/>
      <c r="EF122"/>
      <c r="EN122"/>
      <c r="EV122" s="106"/>
      <c r="FD122"/>
      <c r="FL122"/>
      <c r="FT122"/>
      <c r="GB122"/>
      <c r="GJ122"/>
      <c r="GR122"/>
      <c r="GZ122"/>
      <c r="HH122"/>
    </row>
    <row r="123" spans="8:216" ht="15" x14ac:dyDescent="0.25">
      <c r="H123"/>
      <c r="P123"/>
      <c r="X123"/>
      <c r="AF123"/>
      <c r="AN123"/>
      <c r="AV123"/>
      <c r="BD123"/>
      <c r="BL123"/>
      <c r="BT123"/>
      <c r="CB123"/>
      <c r="CJ123"/>
      <c r="CR123"/>
      <c r="CZ123"/>
      <c r="DH123"/>
      <c r="DP123"/>
      <c r="DX123"/>
      <c r="EF123"/>
      <c r="EN123"/>
      <c r="EV123" s="106"/>
      <c r="FD123"/>
      <c r="FL123"/>
      <c r="FT123"/>
      <c r="GB123"/>
      <c r="GJ123"/>
      <c r="GR123"/>
      <c r="GZ123"/>
      <c r="HH123"/>
    </row>
    <row r="124" spans="8:216" ht="15" x14ac:dyDescent="0.25">
      <c r="H124"/>
      <c r="P124"/>
      <c r="X124"/>
      <c r="AF124"/>
      <c r="AN124"/>
      <c r="AV124"/>
      <c r="BD124"/>
      <c r="BL124"/>
      <c r="BT124"/>
      <c r="CB124"/>
      <c r="CJ124"/>
      <c r="CR124"/>
      <c r="CZ124"/>
      <c r="DH124"/>
      <c r="DP124"/>
      <c r="DX124"/>
      <c r="EF124"/>
      <c r="EN124"/>
      <c r="EV124" s="106"/>
      <c r="FD124"/>
      <c r="FL124"/>
      <c r="FT124"/>
      <c r="GB124"/>
      <c r="GJ124"/>
      <c r="GR124"/>
      <c r="GZ124"/>
      <c r="HH124"/>
    </row>
    <row r="125" spans="8:216" ht="15" x14ac:dyDescent="0.25">
      <c r="H125"/>
      <c r="P125"/>
      <c r="X125"/>
      <c r="AF125"/>
      <c r="AN125"/>
      <c r="AV125"/>
      <c r="BD125"/>
      <c r="BL125"/>
      <c r="BT125"/>
      <c r="CB125"/>
      <c r="CJ125"/>
      <c r="CR125"/>
      <c r="CZ125"/>
      <c r="DH125"/>
      <c r="DP125"/>
      <c r="DX125"/>
      <c r="EF125"/>
      <c r="EN125"/>
      <c r="EV125" s="106"/>
      <c r="FD125"/>
      <c r="FL125"/>
      <c r="FT125"/>
      <c r="GB125"/>
      <c r="GJ125"/>
      <c r="GR125"/>
      <c r="GZ125"/>
      <c r="HH125"/>
    </row>
    <row r="126" spans="8:216" ht="15" x14ac:dyDescent="0.25">
      <c r="H126"/>
      <c r="P126"/>
      <c r="X126"/>
      <c r="AF126"/>
      <c r="AN126"/>
      <c r="AV126"/>
      <c r="BD126"/>
      <c r="BL126"/>
      <c r="BT126"/>
      <c r="CB126"/>
      <c r="CJ126"/>
      <c r="CR126"/>
      <c r="CZ126"/>
      <c r="DH126"/>
      <c r="DP126"/>
      <c r="DX126"/>
      <c r="EF126"/>
      <c r="EN126"/>
      <c r="EV126" s="106"/>
      <c r="FD126"/>
      <c r="FL126"/>
      <c r="FT126"/>
      <c r="GB126"/>
      <c r="GJ126"/>
      <c r="GR126"/>
      <c r="GZ126"/>
      <c r="HH126"/>
    </row>
    <row r="127" spans="8:216" ht="15" x14ac:dyDescent="0.25">
      <c r="H127"/>
      <c r="P127"/>
      <c r="X127"/>
      <c r="AF127"/>
      <c r="AN127"/>
      <c r="AV127"/>
      <c r="BD127"/>
      <c r="BL127"/>
      <c r="BT127"/>
      <c r="CB127"/>
      <c r="CJ127"/>
      <c r="CR127"/>
      <c r="CZ127"/>
      <c r="DH127"/>
      <c r="DP127"/>
      <c r="DX127"/>
      <c r="EF127"/>
      <c r="EN127"/>
      <c r="EV127" s="106"/>
      <c r="FD127"/>
      <c r="FL127"/>
      <c r="FT127"/>
      <c r="GB127"/>
      <c r="GJ127"/>
      <c r="GR127"/>
      <c r="GZ127"/>
      <c r="HH127"/>
    </row>
    <row r="128" spans="8:216" ht="15" x14ac:dyDescent="0.25">
      <c r="H128"/>
      <c r="P128"/>
      <c r="X128"/>
      <c r="AF128"/>
      <c r="AN128"/>
      <c r="AV128"/>
      <c r="BD128"/>
      <c r="BL128"/>
      <c r="BT128"/>
      <c r="CB128"/>
      <c r="CJ128"/>
      <c r="CR128"/>
      <c r="CZ128"/>
      <c r="DH128"/>
      <c r="DP128"/>
      <c r="DX128"/>
      <c r="EF128"/>
      <c r="EN128"/>
      <c r="EV128" s="106"/>
      <c r="FD128"/>
      <c r="FL128"/>
      <c r="FT128"/>
      <c r="GB128"/>
      <c r="GJ128"/>
      <c r="GR128"/>
      <c r="GZ128"/>
      <c r="HH128"/>
    </row>
    <row r="129" spans="8:216" ht="15" x14ac:dyDescent="0.25">
      <c r="H129"/>
      <c r="P129"/>
      <c r="X129"/>
      <c r="AF129"/>
      <c r="AN129"/>
      <c r="AV129"/>
      <c r="BD129"/>
      <c r="BL129"/>
      <c r="BT129"/>
      <c r="CB129"/>
      <c r="CJ129"/>
      <c r="CR129"/>
      <c r="CZ129"/>
      <c r="DH129"/>
      <c r="DP129"/>
      <c r="DX129"/>
      <c r="EF129"/>
      <c r="EN129"/>
      <c r="EV129" s="106"/>
      <c r="FD129"/>
      <c r="FL129"/>
      <c r="FT129"/>
      <c r="GB129"/>
      <c r="GJ129"/>
      <c r="GR129"/>
      <c r="GZ129"/>
      <c r="HH129"/>
    </row>
    <row r="130" spans="8:216" ht="15" x14ac:dyDescent="0.25">
      <c r="H130"/>
      <c r="P130"/>
      <c r="X130"/>
      <c r="AF130"/>
      <c r="AN130"/>
      <c r="AV130"/>
      <c r="BD130"/>
      <c r="BL130"/>
      <c r="BT130"/>
      <c r="CB130"/>
      <c r="CJ130"/>
      <c r="CR130"/>
      <c r="CZ130"/>
      <c r="DH130"/>
      <c r="DP130"/>
      <c r="DX130"/>
      <c r="EF130"/>
      <c r="EN130"/>
      <c r="EV130" s="106"/>
      <c r="FD130"/>
      <c r="FL130"/>
      <c r="FT130"/>
      <c r="GB130"/>
      <c r="GJ130"/>
      <c r="GR130"/>
      <c r="GZ130"/>
      <c r="HH130"/>
    </row>
    <row r="131" spans="8:216" ht="15" x14ac:dyDescent="0.25">
      <c r="H131"/>
      <c r="P131"/>
      <c r="X131"/>
      <c r="AF131"/>
      <c r="AN131"/>
      <c r="AV131"/>
      <c r="BD131"/>
      <c r="BL131"/>
      <c r="BT131"/>
      <c r="CB131"/>
      <c r="CJ131"/>
      <c r="CR131"/>
      <c r="CZ131"/>
      <c r="DH131"/>
      <c r="DP131"/>
      <c r="DX131"/>
      <c r="EF131"/>
      <c r="EN131"/>
      <c r="EV131" s="106"/>
      <c r="FD131"/>
      <c r="FL131"/>
      <c r="FT131"/>
      <c r="GB131"/>
      <c r="GJ131"/>
      <c r="GR131"/>
      <c r="GZ131"/>
      <c r="HH131"/>
    </row>
    <row r="132" spans="8:216" ht="15" x14ac:dyDescent="0.25">
      <c r="H132"/>
      <c r="P132"/>
      <c r="X132"/>
      <c r="AF132"/>
      <c r="AN132"/>
      <c r="AV132"/>
      <c r="BD132"/>
      <c r="BL132"/>
      <c r="BT132"/>
      <c r="CB132"/>
      <c r="CJ132"/>
      <c r="CR132"/>
      <c r="CZ132"/>
      <c r="DH132"/>
      <c r="DP132"/>
      <c r="DX132"/>
      <c r="EF132"/>
      <c r="EN132"/>
      <c r="EV132" s="106"/>
      <c r="FD132"/>
      <c r="FL132"/>
      <c r="FT132"/>
      <c r="GB132"/>
      <c r="GJ132"/>
      <c r="GR132"/>
      <c r="GZ132"/>
      <c r="HH132"/>
    </row>
    <row r="133" spans="8:216" ht="15" x14ac:dyDescent="0.25">
      <c r="H133"/>
      <c r="P133"/>
      <c r="X133"/>
      <c r="AF133"/>
      <c r="AN133"/>
      <c r="AV133"/>
      <c r="BD133"/>
      <c r="BL133"/>
      <c r="BT133"/>
      <c r="CB133"/>
      <c r="CJ133"/>
      <c r="CR133"/>
      <c r="CZ133"/>
      <c r="DH133"/>
      <c r="DP133"/>
      <c r="DX133"/>
      <c r="EF133"/>
      <c r="EN133"/>
      <c r="EV133" s="106"/>
      <c r="FD133"/>
      <c r="FL133"/>
      <c r="FT133"/>
      <c r="GB133"/>
      <c r="GJ133"/>
      <c r="GR133"/>
      <c r="GZ133"/>
      <c r="HH133"/>
    </row>
    <row r="134" spans="8:216" ht="15" x14ac:dyDescent="0.25">
      <c r="H134"/>
      <c r="P134"/>
      <c r="X134"/>
      <c r="AF134"/>
      <c r="AN134"/>
      <c r="AV134"/>
      <c r="BD134"/>
      <c r="BL134"/>
      <c r="BT134"/>
      <c r="CB134"/>
      <c r="CJ134"/>
      <c r="CR134"/>
      <c r="CZ134"/>
      <c r="DH134"/>
      <c r="DP134"/>
      <c r="DX134"/>
      <c r="EF134"/>
      <c r="EN134"/>
      <c r="EV134" s="106"/>
      <c r="FD134"/>
      <c r="FL134"/>
      <c r="FT134"/>
      <c r="GB134"/>
      <c r="GJ134"/>
      <c r="GR134"/>
      <c r="GZ134"/>
      <c r="HH134"/>
    </row>
    <row r="135" spans="8:216" ht="15" x14ac:dyDescent="0.25">
      <c r="H135"/>
      <c r="P135"/>
      <c r="X135"/>
      <c r="AF135"/>
      <c r="AN135"/>
      <c r="AV135"/>
      <c r="BD135"/>
      <c r="BL135"/>
      <c r="BT135"/>
      <c r="CB135"/>
      <c r="CJ135"/>
      <c r="CR135"/>
      <c r="CZ135"/>
      <c r="DH135"/>
      <c r="DP135"/>
      <c r="DX135"/>
      <c r="EF135"/>
      <c r="EN135"/>
      <c r="EV135" s="106"/>
      <c r="FD135"/>
      <c r="FL135"/>
      <c r="FT135"/>
      <c r="GB135"/>
      <c r="GJ135"/>
      <c r="GR135"/>
      <c r="GZ135"/>
      <c r="HH135"/>
    </row>
    <row r="136" spans="8:216" ht="15" x14ac:dyDescent="0.25">
      <c r="H136"/>
      <c r="P136"/>
      <c r="X136"/>
      <c r="AF136"/>
      <c r="AN136"/>
      <c r="AV136"/>
      <c r="BD136"/>
      <c r="BL136"/>
      <c r="BT136"/>
      <c r="CB136"/>
      <c r="CJ136"/>
      <c r="CR136"/>
      <c r="CZ136"/>
      <c r="DH136"/>
      <c r="DP136"/>
      <c r="DX136"/>
      <c r="EF136"/>
      <c r="EN136"/>
      <c r="EV136" s="106"/>
      <c r="FD136"/>
      <c r="FL136"/>
      <c r="FT136"/>
      <c r="GB136"/>
      <c r="GJ136"/>
      <c r="GR136"/>
      <c r="GZ136"/>
      <c r="HH136"/>
    </row>
    <row r="137" spans="8:216" ht="15" x14ac:dyDescent="0.25">
      <c r="H137"/>
      <c r="P137"/>
      <c r="X137"/>
      <c r="AF137"/>
      <c r="AN137"/>
      <c r="AV137"/>
      <c r="BD137"/>
      <c r="BL137"/>
      <c r="BT137"/>
      <c r="CB137"/>
      <c r="CJ137"/>
      <c r="CR137"/>
      <c r="CZ137"/>
      <c r="DH137"/>
      <c r="DP137"/>
      <c r="DX137"/>
      <c r="EF137"/>
      <c r="EN137"/>
      <c r="EV137" s="106"/>
      <c r="FD137"/>
      <c r="FL137"/>
      <c r="FT137"/>
      <c r="GB137"/>
      <c r="GJ137"/>
      <c r="GR137"/>
      <c r="GZ137"/>
      <c r="HH137"/>
    </row>
    <row r="138" spans="8:216" ht="15" x14ac:dyDescent="0.25">
      <c r="H138"/>
      <c r="P138"/>
      <c r="X138"/>
      <c r="AF138"/>
      <c r="AN138"/>
      <c r="AV138"/>
      <c r="BD138"/>
      <c r="BL138"/>
      <c r="BT138"/>
      <c r="CB138"/>
      <c r="CJ138"/>
      <c r="CR138"/>
      <c r="CZ138"/>
      <c r="DH138"/>
      <c r="DP138"/>
      <c r="DX138"/>
      <c r="EF138"/>
      <c r="EN138"/>
      <c r="EV138" s="106"/>
      <c r="FD138"/>
      <c r="FL138"/>
      <c r="FT138"/>
      <c r="GB138"/>
      <c r="GJ138"/>
      <c r="GR138"/>
      <c r="GZ138"/>
      <c r="HH138"/>
    </row>
    <row r="139" spans="8:216" ht="15" x14ac:dyDescent="0.25">
      <c r="H139"/>
      <c r="P139"/>
      <c r="X139"/>
      <c r="AF139"/>
      <c r="AN139"/>
      <c r="AV139"/>
      <c r="BD139"/>
      <c r="BL139"/>
      <c r="BT139"/>
      <c r="CB139"/>
      <c r="CJ139"/>
      <c r="CR139"/>
      <c r="CZ139"/>
      <c r="DH139"/>
      <c r="DP139"/>
      <c r="DX139"/>
      <c r="EF139"/>
      <c r="EN139"/>
      <c r="EV139" s="106"/>
      <c r="FD139"/>
      <c r="FL139"/>
      <c r="FT139"/>
      <c r="GB139"/>
      <c r="GJ139"/>
      <c r="GR139"/>
      <c r="GZ139"/>
      <c r="HH139"/>
    </row>
    <row r="140" spans="8:216" ht="15" x14ac:dyDescent="0.25">
      <c r="H140"/>
      <c r="P140"/>
      <c r="X140"/>
      <c r="AF140"/>
      <c r="AN140"/>
      <c r="AV140"/>
      <c r="BD140"/>
      <c r="BL140"/>
      <c r="BT140"/>
      <c r="CB140"/>
      <c r="CJ140"/>
      <c r="CR140"/>
      <c r="CZ140"/>
      <c r="DH140"/>
      <c r="DP140"/>
      <c r="DX140"/>
      <c r="EF140"/>
      <c r="EN140"/>
      <c r="EV140" s="106"/>
      <c r="FD140"/>
      <c r="FL140"/>
      <c r="FT140"/>
      <c r="GB140"/>
      <c r="GJ140"/>
      <c r="GR140"/>
      <c r="GZ140"/>
      <c r="HH140"/>
    </row>
    <row r="141" spans="8:216" ht="15" x14ac:dyDescent="0.25">
      <c r="H141"/>
      <c r="P141"/>
      <c r="X141"/>
      <c r="AF141"/>
      <c r="AN141"/>
      <c r="AV141"/>
      <c r="BD141"/>
      <c r="BL141"/>
      <c r="BT141"/>
      <c r="CB141"/>
      <c r="CJ141"/>
      <c r="CR141"/>
      <c r="CZ141"/>
      <c r="DH141"/>
      <c r="DP141"/>
      <c r="DX141"/>
      <c r="EF141"/>
      <c r="EN141"/>
      <c r="EV141" s="106"/>
      <c r="FD141"/>
      <c r="FL141"/>
      <c r="FT141"/>
      <c r="GB141"/>
      <c r="GJ141"/>
      <c r="GR141"/>
      <c r="GZ141"/>
      <c r="HH141"/>
    </row>
    <row r="142" spans="8:216" ht="15" x14ac:dyDescent="0.25">
      <c r="H142"/>
      <c r="P142"/>
      <c r="X142"/>
      <c r="AF142"/>
      <c r="AN142"/>
      <c r="AV142"/>
      <c r="BD142"/>
      <c r="BL142"/>
      <c r="BT142"/>
      <c r="CB142"/>
      <c r="CJ142"/>
      <c r="CR142"/>
      <c r="CZ142"/>
      <c r="DH142"/>
      <c r="DP142"/>
      <c r="DX142"/>
      <c r="EF142"/>
      <c r="EN142"/>
      <c r="EV142" s="106"/>
      <c r="FD142"/>
      <c r="FL142"/>
      <c r="FT142"/>
      <c r="GB142"/>
      <c r="GJ142"/>
      <c r="GR142"/>
      <c r="GZ142"/>
      <c r="HH142"/>
    </row>
    <row r="143" spans="8:216" ht="15" x14ac:dyDescent="0.25">
      <c r="H143"/>
      <c r="P143"/>
      <c r="X143"/>
      <c r="AF143"/>
      <c r="AN143"/>
      <c r="AV143"/>
      <c r="BD143"/>
      <c r="BL143"/>
      <c r="BT143"/>
      <c r="CB143"/>
      <c r="CJ143"/>
      <c r="CR143"/>
      <c r="CZ143"/>
      <c r="DH143"/>
      <c r="DP143"/>
      <c r="DX143"/>
      <c r="EF143"/>
      <c r="EN143"/>
      <c r="EV143" s="106"/>
      <c r="FD143"/>
      <c r="FL143"/>
      <c r="FT143"/>
      <c r="GB143"/>
      <c r="GJ143"/>
      <c r="GR143"/>
      <c r="GZ143"/>
      <c r="HH143"/>
    </row>
    <row r="144" spans="8:216" ht="15" x14ac:dyDescent="0.25">
      <c r="H144"/>
      <c r="P144"/>
      <c r="X144"/>
      <c r="AF144"/>
      <c r="AN144"/>
      <c r="AV144"/>
      <c r="BD144"/>
      <c r="BL144"/>
      <c r="BT144"/>
      <c r="CB144"/>
      <c r="CJ144"/>
      <c r="CR144"/>
      <c r="CZ144"/>
      <c r="DH144"/>
      <c r="DP144"/>
      <c r="DX144"/>
      <c r="EF144"/>
      <c r="EN144"/>
      <c r="EV144" s="106"/>
      <c r="FD144"/>
      <c r="FL144"/>
      <c r="FT144"/>
      <c r="GB144"/>
      <c r="GJ144"/>
      <c r="GR144"/>
      <c r="GZ144"/>
      <c r="HH144"/>
    </row>
    <row r="145" spans="8:216" ht="15" x14ac:dyDescent="0.25">
      <c r="H145"/>
      <c r="P145"/>
      <c r="X145"/>
      <c r="AF145"/>
      <c r="AN145"/>
      <c r="AV145"/>
      <c r="BD145"/>
      <c r="BL145"/>
      <c r="BT145"/>
      <c r="CB145"/>
      <c r="CJ145"/>
      <c r="CR145"/>
      <c r="CZ145"/>
      <c r="DH145"/>
      <c r="DP145"/>
      <c r="DX145"/>
      <c r="EF145"/>
      <c r="EN145"/>
      <c r="EV145" s="106"/>
      <c r="FD145"/>
      <c r="FL145"/>
      <c r="FT145"/>
      <c r="GB145"/>
      <c r="GJ145"/>
      <c r="GR145"/>
      <c r="GZ145"/>
      <c r="HH145"/>
    </row>
    <row r="146" spans="8:216" ht="15" x14ac:dyDescent="0.25">
      <c r="H146"/>
      <c r="P146"/>
      <c r="X146"/>
      <c r="AF146"/>
      <c r="AN146"/>
      <c r="AV146"/>
      <c r="BD146"/>
      <c r="BL146"/>
      <c r="BT146"/>
      <c r="CB146"/>
      <c r="CJ146"/>
      <c r="CR146"/>
      <c r="CZ146"/>
      <c r="DH146"/>
      <c r="DP146"/>
      <c r="DX146"/>
      <c r="EF146"/>
      <c r="EN146"/>
      <c r="EV146" s="106"/>
      <c r="FD146"/>
      <c r="FL146"/>
      <c r="FT146"/>
      <c r="GB146"/>
      <c r="GJ146"/>
      <c r="GR146"/>
      <c r="GZ146"/>
      <c r="HH146"/>
    </row>
    <row r="147" spans="8:216" ht="15" x14ac:dyDescent="0.25">
      <c r="H147"/>
      <c r="P147"/>
      <c r="X147"/>
      <c r="AF147"/>
      <c r="AN147"/>
      <c r="AV147"/>
      <c r="BD147"/>
      <c r="BL147"/>
      <c r="BT147"/>
      <c r="CB147"/>
      <c r="CJ147"/>
      <c r="CR147"/>
      <c r="CZ147"/>
      <c r="DH147"/>
      <c r="DP147"/>
      <c r="DX147"/>
      <c r="EF147"/>
      <c r="EN147"/>
      <c r="EV147" s="106"/>
      <c r="FD147"/>
      <c r="FL147"/>
      <c r="FT147"/>
      <c r="GB147"/>
      <c r="GJ147"/>
      <c r="GR147"/>
      <c r="GZ147"/>
      <c r="HH147"/>
    </row>
    <row r="148" spans="8:216" ht="15" x14ac:dyDescent="0.25">
      <c r="H148"/>
      <c r="P148"/>
      <c r="X148"/>
      <c r="AF148"/>
      <c r="AN148"/>
      <c r="AV148"/>
      <c r="BD148"/>
      <c r="BL148"/>
      <c r="BT148"/>
      <c r="CB148"/>
      <c r="CJ148"/>
      <c r="CR148"/>
      <c r="CZ148"/>
      <c r="DH148"/>
      <c r="DP148"/>
      <c r="DX148"/>
      <c r="EF148"/>
      <c r="EN148"/>
      <c r="EV148" s="106"/>
      <c r="FD148"/>
      <c r="FL148"/>
      <c r="FT148"/>
      <c r="GB148"/>
      <c r="GJ148"/>
      <c r="GR148"/>
      <c r="GZ148"/>
      <c r="HH148"/>
    </row>
    <row r="149" spans="8:216" ht="15" x14ac:dyDescent="0.25">
      <c r="H149"/>
      <c r="P149"/>
      <c r="X149"/>
      <c r="AF149"/>
      <c r="AN149"/>
      <c r="AV149"/>
      <c r="BD149"/>
      <c r="BL149"/>
      <c r="BT149"/>
      <c r="CB149"/>
      <c r="CJ149"/>
      <c r="CR149"/>
      <c r="CZ149"/>
      <c r="DH149"/>
      <c r="DP149"/>
      <c r="DX149"/>
      <c r="EF149"/>
      <c r="EN149"/>
      <c r="EV149" s="106"/>
      <c r="FD149"/>
      <c r="FL149"/>
      <c r="FT149"/>
      <c r="GB149"/>
      <c r="GJ149"/>
      <c r="GR149"/>
      <c r="GZ149"/>
      <c r="HH149"/>
    </row>
    <row r="150" spans="8:216" ht="15" x14ac:dyDescent="0.25">
      <c r="H150"/>
      <c r="P150"/>
      <c r="X150"/>
      <c r="AF150"/>
      <c r="AN150"/>
      <c r="AV150"/>
      <c r="BD150"/>
      <c r="BL150"/>
      <c r="BT150"/>
      <c r="CB150"/>
      <c r="CJ150"/>
      <c r="CR150"/>
      <c r="CZ150"/>
      <c r="DH150"/>
      <c r="DP150"/>
      <c r="DX150"/>
      <c r="EF150"/>
      <c r="EN150"/>
      <c r="EV150" s="106"/>
      <c r="FD150"/>
      <c r="FL150"/>
      <c r="FT150"/>
      <c r="GB150"/>
      <c r="GJ150"/>
      <c r="GR150"/>
      <c r="GZ150"/>
      <c r="HH150"/>
    </row>
    <row r="151" spans="8:216" ht="15" x14ac:dyDescent="0.25">
      <c r="H151"/>
      <c r="P151"/>
      <c r="X151"/>
      <c r="AF151"/>
      <c r="AN151"/>
      <c r="AV151"/>
      <c r="BD151"/>
      <c r="BL151"/>
      <c r="BT151"/>
      <c r="CB151"/>
      <c r="CJ151"/>
      <c r="CR151"/>
      <c r="CZ151"/>
      <c r="DH151"/>
      <c r="DP151"/>
      <c r="DX151"/>
      <c r="EF151"/>
      <c r="EN151"/>
      <c r="EV151" s="106"/>
      <c r="FD151"/>
      <c r="FL151"/>
      <c r="FT151"/>
      <c r="GB151"/>
      <c r="GJ151"/>
      <c r="GR151"/>
      <c r="GZ151"/>
      <c r="HH151"/>
    </row>
    <row r="152" spans="8:216" ht="15" x14ac:dyDescent="0.25">
      <c r="H152"/>
      <c r="P152"/>
      <c r="X152"/>
      <c r="AF152"/>
      <c r="AN152"/>
      <c r="AV152"/>
      <c r="BD152"/>
      <c r="BL152"/>
      <c r="BT152"/>
      <c r="CB152"/>
      <c r="CJ152"/>
      <c r="CR152"/>
      <c r="CZ152"/>
      <c r="DH152"/>
      <c r="DP152"/>
      <c r="DX152"/>
      <c r="EF152"/>
      <c r="EN152"/>
      <c r="EV152" s="106"/>
      <c r="FD152"/>
      <c r="FL152"/>
      <c r="FT152"/>
      <c r="GB152"/>
      <c r="GJ152"/>
      <c r="GR152"/>
      <c r="GZ152"/>
      <c r="HH152"/>
    </row>
    <row r="153" spans="8:216" ht="15" x14ac:dyDescent="0.25">
      <c r="H153"/>
      <c r="P153"/>
      <c r="X153"/>
      <c r="AF153"/>
      <c r="AN153"/>
      <c r="AV153"/>
      <c r="BD153"/>
      <c r="BL153"/>
      <c r="BT153"/>
      <c r="CB153"/>
      <c r="CJ153"/>
      <c r="CR153"/>
      <c r="CZ153"/>
      <c r="DH153"/>
      <c r="DP153"/>
      <c r="DX153"/>
      <c r="EF153"/>
      <c r="EN153"/>
      <c r="EV153" s="106"/>
      <c r="FD153"/>
      <c r="FL153"/>
      <c r="FT153"/>
      <c r="GB153"/>
      <c r="GJ153"/>
      <c r="GR153"/>
      <c r="GZ153"/>
      <c r="HH153"/>
    </row>
    <row r="154" spans="8:216" ht="15" x14ac:dyDescent="0.25">
      <c r="H154"/>
      <c r="P154"/>
      <c r="X154"/>
      <c r="AF154"/>
      <c r="AN154"/>
      <c r="AV154"/>
      <c r="BD154"/>
      <c r="BL154"/>
      <c r="BT154"/>
      <c r="CB154"/>
      <c r="CJ154"/>
      <c r="CR154"/>
      <c r="CZ154"/>
      <c r="DH154"/>
      <c r="DP154"/>
      <c r="DX154"/>
      <c r="EF154"/>
      <c r="EN154"/>
      <c r="EV154" s="106"/>
      <c r="FD154"/>
      <c r="FL154"/>
      <c r="FT154"/>
      <c r="GB154"/>
      <c r="GJ154"/>
      <c r="GR154"/>
      <c r="GZ154"/>
      <c r="HH154"/>
    </row>
    <row r="155" spans="8:216" ht="15" x14ac:dyDescent="0.25">
      <c r="H155"/>
      <c r="P155"/>
      <c r="X155"/>
      <c r="AF155"/>
      <c r="AN155"/>
      <c r="AV155"/>
      <c r="BD155"/>
      <c r="BL155"/>
      <c r="BT155"/>
      <c r="CB155"/>
      <c r="CJ155"/>
      <c r="CR155"/>
      <c r="CZ155"/>
      <c r="DH155"/>
      <c r="DP155"/>
      <c r="DX155"/>
      <c r="EF155"/>
      <c r="EN155"/>
      <c r="EV155" s="106"/>
      <c r="FD155"/>
      <c r="FL155"/>
      <c r="FT155"/>
      <c r="GB155"/>
      <c r="GJ155"/>
      <c r="GR155"/>
      <c r="GZ155"/>
      <c r="HH155"/>
    </row>
    <row r="156" spans="8:216" ht="15" x14ac:dyDescent="0.25">
      <c r="H156"/>
      <c r="P156"/>
      <c r="X156"/>
      <c r="AF156"/>
      <c r="AN156"/>
      <c r="AV156"/>
      <c r="BD156"/>
      <c r="BL156"/>
      <c r="BT156"/>
      <c r="CB156"/>
      <c r="CJ156"/>
      <c r="CR156"/>
      <c r="CZ156"/>
      <c r="DH156"/>
      <c r="DP156"/>
      <c r="DX156"/>
      <c r="EF156"/>
      <c r="EN156"/>
      <c r="EV156" s="106"/>
      <c r="FD156"/>
      <c r="FL156"/>
      <c r="FT156"/>
      <c r="GB156"/>
      <c r="GJ156"/>
      <c r="GR156"/>
      <c r="GZ156"/>
      <c r="HH156"/>
    </row>
    <row r="157" spans="8:216" ht="15" x14ac:dyDescent="0.25">
      <c r="H157"/>
      <c r="P157"/>
      <c r="X157"/>
      <c r="AF157"/>
      <c r="AN157"/>
      <c r="AV157"/>
      <c r="BD157"/>
      <c r="BL157"/>
      <c r="BT157"/>
      <c r="CB157"/>
      <c r="CJ157"/>
      <c r="CR157"/>
      <c r="CZ157"/>
      <c r="DH157"/>
      <c r="DP157"/>
      <c r="DX157"/>
      <c r="EF157"/>
      <c r="EN157"/>
      <c r="EV157" s="106"/>
      <c r="FD157"/>
      <c r="FL157"/>
      <c r="FT157"/>
      <c r="GB157"/>
      <c r="GJ157"/>
      <c r="GR157"/>
      <c r="GZ157"/>
      <c r="HH157"/>
    </row>
    <row r="158" spans="8:216" ht="15" x14ac:dyDescent="0.25">
      <c r="H158"/>
      <c r="P158"/>
      <c r="X158"/>
      <c r="AF158"/>
      <c r="AN158"/>
      <c r="AV158"/>
      <c r="BD158"/>
      <c r="BL158"/>
      <c r="BT158"/>
      <c r="CB158"/>
      <c r="CJ158"/>
      <c r="CR158"/>
      <c r="CZ158"/>
      <c r="DH158"/>
      <c r="DP158"/>
      <c r="DX158"/>
      <c r="EF158"/>
      <c r="EN158"/>
      <c r="EV158" s="106"/>
      <c r="FD158"/>
      <c r="FL158"/>
      <c r="FT158"/>
      <c r="GB158"/>
      <c r="GJ158"/>
      <c r="GR158"/>
      <c r="GZ158"/>
      <c r="HH158"/>
    </row>
    <row r="159" spans="8:216" ht="15" x14ac:dyDescent="0.25">
      <c r="H159"/>
      <c r="P159"/>
      <c r="X159"/>
      <c r="AF159"/>
      <c r="AN159"/>
      <c r="AV159"/>
      <c r="BD159"/>
      <c r="BL159"/>
      <c r="BT159"/>
      <c r="CB159"/>
      <c r="CJ159"/>
      <c r="CR159"/>
      <c r="CZ159"/>
      <c r="DH159"/>
      <c r="DP159"/>
      <c r="DX159"/>
      <c r="EF159"/>
      <c r="EN159"/>
      <c r="EV159" s="106"/>
      <c r="FD159"/>
      <c r="FL159"/>
      <c r="FT159"/>
      <c r="GB159"/>
      <c r="GJ159"/>
      <c r="GR159"/>
      <c r="GZ159"/>
      <c r="HH159"/>
    </row>
    <row r="160" spans="8:216" ht="15" x14ac:dyDescent="0.25">
      <c r="H160"/>
      <c r="P160"/>
      <c r="X160"/>
      <c r="AF160"/>
      <c r="AN160"/>
      <c r="AV160"/>
      <c r="BD160"/>
      <c r="BL160"/>
      <c r="BT160"/>
      <c r="CB160"/>
      <c r="CJ160"/>
      <c r="CR160"/>
      <c r="CZ160"/>
      <c r="DH160"/>
      <c r="DP160"/>
      <c r="DX160"/>
      <c r="EF160"/>
      <c r="EN160"/>
      <c r="EV160" s="106"/>
      <c r="FD160"/>
      <c r="FL160"/>
      <c r="FT160"/>
      <c r="GB160"/>
      <c r="GJ160"/>
      <c r="GR160"/>
      <c r="GZ160"/>
      <c r="HH160"/>
    </row>
    <row r="161" spans="8:216" ht="15" x14ac:dyDescent="0.25">
      <c r="H161"/>
      <c r="P161"/>
      <c r="X161"/>
      <c r="AF161"/>
      <c r="AN161"/>
      <c r="AV161"/>
      <c r="BD161"/>
      <c r="BL161"/>
      <c r="BT161"/>
      <c r="CB161"/>
      <c r="CJ161"/>
      <c r="CR161"/>
      <c r="CZ161"/>
      <c r="DH161"/>
      <c r="DP161"/>
      <c r="DX161"/>
      <c r="EF161"/>
      <c r="EN161"/>
      <c r="EV161" s="106"/>
      <c r="FD161"/>
      <c r="FL161"/>
      <c r="FT161"/>
      <c r="GB161"/>
      <c r="GJ161"/>
      <c r="GR161"/>
      <c r="GZ161"/>
      <c r="HH161"/>
    </row>
    <row r="162" spans="8:216" ht="15" x14ac:dyDescent="0.25">
      <c r="H162"/>
      <c r="P162"/>
      <c r="X162"/>
      <c r="AF162"/>
      <c r="AN162"/>
      <c r="AV162"/>
      <c r="BD162"/>
      <c r="BL162"/>
      <c r="BT162"/>
      <c r="CB162"/>
      <c r="CJ162"/>
      <c r="CR162"/>
      <c r="CZ162"/>
      <c r="DH162"/>
      <c r="DP162"/>
      <c r="DX162"/>
      <c r="EF162"/>
      <c r="EN162"/>
      <c r="EV162" s="106"/>
      <c r="FD162"/>
      <c r="FL162"/>
      <c r="FT162"/>
      <c r="GB162"/>
      <c r="GJ162"/>
      <c r="GR162"/>
      <c r="GZ162"/>
      <c r="HH162"/>
    </row>
    <row r="163" spans="8:216" ht="15" x14ac:dyDescent="0.25">
      <c r="H163"/>
      <c r="P163"/>
      <c r="X163"/>
      <c r="AF163"/>
      <c r="AN163"/>
      <c r="AV163"/>
      <c r="BD163"/>
      <c r="BL163"/>
      <c r="BT163"/>
      <c r="CB163"/>
      <c r="CJ163"/>
      <c r="CR163"/>
      <c r="CZ163"/>
      <c r="DH163"/>
      <c r="DP163"/>
      <c r="DX163"/>
      <c r="EF163"/>
      <c r="EN163"/>
      <c r="EV163" s="106"/>
      <c r="FD163"/>
      <c r="FL163"/>
      <c r="FT163"/>
      <c r="GB163"/>
      <c r="GJ163"/>
      <c r="GR163"/>
      <c r="GZ163"/>
      <c r="HH163"/>
    </row>
    <row r="164" spans="8:216" ht="15" x14ac:dyDescent="0.25">
      <c r="H164"/>
      <c r="P164"/>
      <c r="X164"/>
      <c r="AF164"/>
      <c r="AN164"/>
      <c r="AV164"/>
      <c r="BD164"/>
      <c r="BL164"/>
      <c r="BT164"/>
      <c r="CB164"/>
      <c r="CJ164"/>
      <c r="CR164"/>
      <c r="CZ164"/>
      <c r="DH164"/>
      <c r="DP164"/>
      <c r="DX164"/>
      <c r="EF164"/>
      <c r="EN164"/>
      <c r="EV164" s="106"/>
      <c r="FD164"/>
      <c r="FL164"/>
      <c r="FT164"/>
      <c r="GB164"/>
      <c r="GJ164"/>
      <c r="GR164"/>
      <c r="GZ164"/>
      <c r="HH164"/>
    </row>
    <row r="165" spans="8:216" ht="15" x14ac:dyDescent="0.25">
      <c r="H165"/>
      <c r="P165"/>
      <c r="X165"/>
      <c r="AF165"/>
      <c r="AN165"/>
      <c r="AV165"/>
      <c r="BD165"/>
      <c r="BL165"/>
      <c r="BT165"/>
      <c r="CB165"/>
      <c r="CJ165"/>
      <c r="CR165"/>
      <c r="CZ165"/>
      <c r="DH165"/>
      <c r="DP165"/>
      <c r="DX165"/>
      <c r="EF165"/>
      <c r="EN165"/>
      <c r="EV165" s="106"/>
      <c r="FD165"/>
      <c r="FL165"/>
      <c r="FT165"/>
      <c r="GB165"/>
      <c r="GJ165"/>
      <c r="GR165"/>
      <c r="GZ165"/>
      <c r="HH165"/>
    </row>
    <row r="166" spans="8:216" ht="15" x14ac:dyDescent="0.25">
      <c r="H166"/>
      <c r="P166"/>
      <c r="X166"/>
      <c r="AF166"/>
      <c r="AN166"/>
      <c r="AV166"/>
      <c r="BD166"/>
      <c r="BL166"/>
      <c r="BT166"/>
      <c r="CB166"/>
      <c r="CJ166"/>
      <c r="CR166"/>
      <c r="CZ166"/>
      <c r="DH166"/>
      <c r="DP166"/>
      <c r="DX166"/>
      <c r="EF166"/>
      <c r="EN166"/>
      <c r="EV166" s="106"/>
      <c r="FD166"/>
      <c r="FL166"/>
      <c r="FT166"/>
      <c r="GB166"/>
      <c r="GJ166"/>
      <c r="GR166"/>
      <c r="GZ166"/>
      <c r="HH166"/>
    </row>
    <row r="167" spans="8:216" ht="15" x14ac:dyDescent="0.25">
      <c r="H167"/>
      <c r="P167"/>
      <c r="X167"/>
      <c r="AF167"/>
      <c r="AN167"/>
      <c r="AV167"/>
      <c r="BD167"/>
      <c r="BL167"/>
      <c r="BT167"/>
      <c r="CB167"/>
      <c r="CJ167"/>
      <c r="CR167"/>
      <c r="CZ167"/>
      <c r="DH167"/>
      <c r="DP167"/>
      <c r="DX167"/>
      <c r="EF167"/>
      <c r="EN167"/>
      <c r="EV167" s="106"/>
      <c r="FD167"/>
      <c r="FL167"/>
      <c r="FT167"/>
      <c r="GB167"/>
      <c r="GJ167"/>
      <c r="GR167"/>
      <c r="GZ167"/>
      <c r="HH167"/>
    </row>
    <row r="168" spans="8:216" ht="15" x14ac:dyDescent="0.25">
      <c r="H168"/>
      <c r="P168"/>
      <c r="X168"/>
      <c r="AF168"/>
      <c r="AN168"/>
      <c r="AV168"/>
      <c r="BD168"/>
      <c r="BL168"/>
      <c r="BT168"/>
      <c r="CB168"/>
      <c r="CJ168"/>
      <c r="CR168"/>
      <c r="CZ168"/>
      <c r="DH168"/>
      <c r="DP168"/>
      <c r="DX168"/>
      <c r="EF168"/>
      <c r="EN168"/>
      <c r="EV168" s="106"/>
      <c r="FD168"/>
      <c r="FL168"/>
      <c r="FT168"/>
      <c r="GB168"/>
      <c r="GJ168"/>
      <c r="GR168"/>
      <c r="GZ168"/>
      <c r="HH168"/>
    </row>
    <row r="169" spans="8:216" ht="15" x14ac:dyDescent="0.25">
      <c r="H169"/>
      <c r="P169"/>
      <c r="X169"/>
      <c r="AF169"/>
      <c r="AN169"/>
      <c r="AV169"/>
      <c r="BD169"/>
      <c r="BL169"/>
      <c r="BT169"/>
      <c r="CB169"/>
      <c r="CJ169"/>
      <c r="CR169"/>
      <c r="CZ169"/>
      <c r="DH169"/>
      <c r="DP169"/>
      <c r="DX169"/>
      <c r="EF169"/>
      <c r="EN169"/>
      <c r="EV169" s="106"/>
      <c r="FD169"/>
      <c r="FL169"/>
      <c r="FT169"/>
      <c r="GB169"/>
      <c r="GJ169"/>
      <c r="GR169"/>
      <c r="GZ169"/>
      <c r="HH169"/>
    </row>
    <row r="170" spans="8:216" ht="15" x14ac:dyDescent="0.25">
      <c r="H170"/>
      <c r="P170"/>
      <c r="X170"/>
      <c r="AF170"/>
      <c r="AN170"/>
      <c r="AV170"/>
      <c r="BD170"/>
      <c r="BL170"/>
      <c r="BT170"/>
      <c r="CB170"/>
      <c r="CJ170"/>
      <c r="CR170"/>
      <c r="CZ170"/>
      <c r="DH170"/>
      <c r="DP170"/>
      <c r="DX170"/>
      <c r="EF170"/>
      <c r="EN170"/>
      <c r="EV170" s="106"/>
      <c r="FD170"/>
      <c r="FL170"/>
      <c r="FT170"/>
      <c r="GB170"/>
      <c r="GJ170"/>
      <c r="GR170"/>
      <c r="GZ170"/>
      <c r="HH170"/>
    </row>
    <row r="171" spans="8:216" ht="15" x14ac:dyDescent="0.25">
      <c r="H171"/>
      <c r="P171"/>
      <c r="X171"/>
      <c r="AF171"/>
      <c r="AN171"/>
      <c r="AV171"/>
      <c r="BD171"/>
      <c r="BL171"/>
      <c r="BT171"/>
      <c r="CB171"/>
      <c r="CJ171"/>
      <c r="CR171"/>
      <c r="CZ171"/>
      <c r="DH171"/>
      <c r="DP171"/>
      <c r="DX171"/>
      <c r="EF171"/>
      <c r="EN171"/>
      <c r="EV171" s="106"/>
      <c r="FD171"/>
      <c r="FL171"/>
      <c r="FT171"/>
      <c r="GB171"/>
      <c r="GJ171"/>
      <c r="GR171"/>
      <c r="GZ171"/>
      <c r="HH171"/>
    </row>
    <row r="172" spans="8:216" ht="15" x14ac:dyDescent="0.25">
      <c r="H172"/>
      <c r="P172"/>
      <c r="X172"/>
      <c r="AF172"/>
      <c r="AN172"/>
      <c r="AV172"/>
      <c r="BD172"/>
      <c r="BL172"/>
      <c r="BT172"/>
      <c r="CB172"/>
      <c r="CJ172"/>
      <c r="CR172"/>
      <c r="CZ172"/>
      <c r="DH172"/>
      <c r="DP172"/>
      <c r="DX172"/>
      <c r="EF172"/>
      <c r="EN172"/>
      <c r="EV172" s="106"/>
      <c r="FD172"/>
      <c r="FL172"/>
      <c r="FT172"/>
      <c r="GB172"/>
      <c r="GJ172"/>
      <c r="GR172"/>
      <c r="GZ172"/>
      <c r="HH172"/>
    </row>
    <row r="173" spans="8:216" ht="15" x14ac:dyDescent="0.25">
      <c r="H173"/>
      <c r="P173"/>
      <c r="X173"/>
      <c r="AF173"/>
      <c r="AN173"/>
      <c r="AV173"/>
      <c r="BD173"/>
      <c r="BL173"/>
      <c r="BT173"/>
      <c r="CB173"/>
      <c r="CJ173"/>
      <c r="CR173"/>
      <c r="CZ173"/>
      <c r="DH173"/>
      <c r="DP173"/>
      <c r="DX173"/>
      <c r="EF173"/>
      <c r="EN173"/>
      <c r="EV173" s="106"/>
      <c r="FD173"/>
      <c r="FL173"/>
      <c r="FT173"/>
      <c r="GB173"/>
      <c r="GJ173"/>
      <c r="GR173"/>
      <c r="GZ173"/>
      <c r="HH173"/>
    </row>
    <row r="174" spans="8:216" ht="15" x14ac:dyDescent="0.25">
      <c r="H174"/>
      <c r="P174"/>
      <c r="X174"/>
      <c r="AF174"/>
      <c r="AN174"/>
      <c r="AV174"/>
      <c r="BD174"/>
      <c r="BL174"/>
      <c r="BT174"/>
      <c r="CB174"/>
      <c r="CJ174"/>
      <c r="CR174"/>
      <c r="CZ174"/>
      <c r="DH174"/>
      <c r="DP174"/>
      <c r="DX174"/>
      <c r="EF174"/>
      <c r="EN174"/>
      <c r="EV174" s="106"/>
      <c r="FD174"/>
      <c r="FL174"/>
      <c r="FT174"/>
      <c r="GB174"/>
      <c r="GJ174"/>
      <c r="GR174"/>
      <c r="GZ174"/>
      <c r="HH174"/>
    </row>
    <row r="175" spans="8:216" ht="15" x14ac:dyDescent="0.25">
      <c r="H175"/>
      <c r="P175"/>
      <c r="X175"/>
      <c r="AF175"/>
      <c r="AN175"/>
      <c r="AV175"/>
      <c r="BD175"/>
      <c r="BL175"/>
      <c r="BT175"/>
      <c r="CB175"/>
      <c r="CJ175"/>
      <c r="CR175"/>
      <c r="CZ175"/>
      <c r="DH175"/>
      <c r="DP175"/>
      <c r="DX175"/>
      <c r="EF175"/>
      <c r="EN175"/>
      <c r="EV175" s="106"/>
      <c r="FD175"/>
      <c r="FL175"/>
      <c r="FT175"/>
      <c r="GB175"/>
      <c r="GJ175"/>
      <c r="GR175"/>
      <c r="GZ175"/>
      <c r="HH175"/>
    </row>
    <row r="176" spans="8:216" ht="15" x14ac:dyDescent="0.25">
      <c r="H176"/>
      <c r="P176"/>
      <c r="X176"/>
      <c r="AF176"/>
      <c r="AN176"/>
      <c r="AV176"/>
      <c r="BD176"/>
      <c r="BL176"/>
      <c r="BT176"/>
      <c r="CB176"/>
      <c r="CJ176"/>
      <c r="CR176"/>
      <c r="CZ176"/>
      <c r="DH176"/>
      <c r="DP176"/>
      <c r="DX176"/>
      <c r="EF176"/>
      <c r="EN176"/>
      <c r="EV176" s="106"/>
      <c r="FD176"/>
      <c r="FL176"/>
      <c r="FT176"/>
      <c r="GB176"/>
      <c r="GJ176"/>
      <c r="GR176"/>
      <c r="GZ176"/>
      <c r="HH176"/>
    </row>
    <row r="177" spans="8:216" ht="15" x14ac:dyDescent="0.25">
      <c r="H177"/>
      <c r="P177"/>
      <c r="X177"/>
      <c r="AF177"/>
      <c r="AN177"/>
      <c r="AV177"/>
      <c r="BD177"/>
      <c r="BL177"/>
      <c r="BT177"/>
      <c r="CB177"/>
      <c r="CJ177"/>
      <c r="CR177"/>
      <c r="CZ177"/>
      <c r="DH177"/>
      <c r="DP177"/>
      <c r="DX177"/>
      <c r="EF177"/>
      <c r="EN177"/>
      <c r="EV177" s="106"/>
      <c r="FD177"/>
      <c r="FL177"/>
      <c r="FT177"/>
      <c r="GB177"/>
      <c r="GJ177"/>
      <c r="GR177"/>
      <c r="GZ177"/>
      <c r="HH177"/>
    </row>
    <row r="178" spans="8:216" ht="15" x14ac:dyDescent="0.25">
      <c r="H178"/>
      <c r="P178"/>
      <c r="X178"/>
      <c r="AF178"/>
      <c r="AN178"/>
      <c r="AV178"/>
      <c r="BD178"/>
      <c r="BL178"/>
      <c r="BT178"/>
      <c r="CB178"/>
      <c r="CJ178"/>
      <c r="CR178"/>
      <c r="CZ178"/>
      <c r="DH178"/>
      <c r="DP178"/>
      <c r="DX178"/>
      <c r="EF178"/>
      <c r="EN178"/>
      <c r="EV178" s="106"/>
      <c r="FD178"/>
      <c r="FL178"/>
      <c r="FT178"/>
      <c r="GB178"/>
      <c r="GJ178"/>
      <c r="GR178"/>
      <c r="GZ178"/>
      <c r="HH178"/>
    </row>
    <row r="179" spans="8:216" ht="15" x14ac:dyDescent="0.25">
      <c r="H179"/>
      <c r="P179"/>
      <c r="X179"/>
      <c r="AF179"/>
      <c r="AN179"/>
      <c r="AV179"/>
      <c r="BD179"/>
      <c r="BL179"/>
      <c r="BT179"/>
      <c r="CB179"/>
      <c r="CJ179"/>
      <c r="CR179"/>
      <c r="CZ179"/>
      <c r="DH179"/>
      <c r="DP179"/>
      <c r="DX179"/>
      <c r="EF179"/>
      <c r="EN179"/>
      <c r="EV179" s="106"/>
      <c r="FD179"/>
      <c r="FL179"/>
      <c r="FT179"/>
      <c r="GB179"/>
      <c r="GJ179"/>
      <c r="GR179"/>
      <c r="GZ179"/>
      <c r="HH179"/>
    </row>
    <row r="180" spans="8:216" ht="15" x14ac:dyDescent="0.25">
      <c r="H180"/>
      <c r="P180"/>
      <c r="X180"/>
      <c r="AF180"/>
      <c r="AN180"/>
      <c r="AV180"/>
      <c r="BD180"/>
      <c r="BL180"/>
      <c r="BT180"/>
      <c r="CB180"/>
      <c r="CJ180"/>
      <c r="CR180"/>
      <c r="CZ180"/>
      <c r="DH180"/>
      <c r="DP180"/>
      <c r="DX180"/>
      <c r="EF180"/>
      <c r="EN180"/>
      <c r="EV180" s="106"/>
      <c r="FD180"/>
      <c r="FL180"/>
      <c r="FT180"/>
      <c r="GB180"/>
      <c r="GJ180"/>
      <c r="GR180"/>
      <c r="GZ180"/>
      <c r="HH180"/>
    </row>
    <row r="181" spans="8:216" ht="15" x14ac:dyDescent="0.25">
      <c r="H181"/>
      <c r="P181"/>
      <c r="X181"/>
      <c r="AF181"/>
      <c r="AN181"/>
      <c r="AV181"/>
      <c r="BD181"/>
      <c r="BL181"/>
      <c r="BT181"/>
      <c r="CB181"/>
      <c r="CJ181"/>
      <c r="CR181"/>
      <c r="CZ181"/>
      <c r="DH181"/>
      <c r="DP181"/>
      <c r="DX181"/>
      <c r="EF181"/>
      <c r="EN181"/>
      <c r="EV181" s="106"/>
      <c r="FD181"/>
      <c r="FL181"/>
      <c r="FT181"/>
      <c r="GB181"/>
      <c r="GJ181"/>
      <c r="GR181"/>
      <c r="GZ181"/>
      <c r="HH181"/>
    </row>
    <row r="182" spans="8:216" ht="15" x14ac:dyDescent="0.25">
      <c r="H182"/>
      <c r="P182"/>
      <c r="X182"/>
      <c r="AF182"/>
      <c r="AN182"/>
      <c r="AV182"/>
      <c r="BD182"/>
      <c r="BL182"/>
      <c r="BT182"/>
      <c r="CB182"/>
      <c r="CJ182"/>
      <c r="CR182"/>
      <c r="CZ182"/>
      <c r="DH182"/>
      <c r="DP182"/>
      <c r="DX182"/>
      <c r="EF182"/>
      <c r="EN182"/>
      <c r="EV182" s="106"/>
      <c r="FD182"/>
      <c r="FL182"/>
      <c r="FT182"/>
      <c r="GB182"/>
      <c r="GJ182"/>
      <c r="GR182"/>
      <c r="GZ182"/>
      <c r="HH182"/>
    </row>
    <row r="183" spans="8:216" ht="15" x14ac:dyDescent="0.25">
      <c r="H183"/>
      <c r="P183"/>
      <c r="X183"/>
      <c r="AF183"/>
      <c r="AN183"/>
      <c r="AV183"/>
      <c r="BD183"/>
      <c r="BL183"/>
      <c r="BT183"/>
      <c r="CB183"/>
      <c r="CJ183"/>
      <c r="CR183"/>
      <c r="CZ183"/>
      <c r="DH183"/>
      <c r="DP183"/>
      <c r="DX183"/>
      <c r="EF183"/>
      <c r="EN183"/>
      <c r="EV183" s="106"/>
      <c r="FD183"/>
      <c r="FL183"/>
      <c r="FT183"/>
      <c r="GB183"/>
      <c r="GJ183"/>
      <c r="GR183"/>
      <c r="GZ183"/>
      <c r="HH183"/>
    </row>
    <row r="184" spans="8:216" ht="15" x14ac:dyDescent="0.25">
      <c r="H184"/>
      <c r="P184"/>
      <c r="X184"/>
      <c r="AF184"/>
      <c r="AN184"/>
      <c r="AV184"/>
      <c r="BD184"/>
      <c r="BL184"/>
      <c r="BT184"/>
      <c r="CB184"/>
      <c r="CJ184"/>
      <c r="CR184"/>
      <c r="CZ184"/>
      <c r="DH184"/>
      <c r="DP184"/>
      <c r="DX184"/>
      <c r="EF184"/>
      <c r="EN184"/>
      <c r="EV184" s="106"/>
      <c r="FD184"/>
      <c r="FL184"/>
      <c r="FT184"/>
      <c r="GB184"/>
      <c r="GJ184"/>
      <c r="GR184"/>
      <c r="GZ184"/>
      <c r="HH184"/>
    </row>
    <row r="185" spans="8:216" ht="15" x14ac:dyDescent="0.25">
      <c r="H185"/>
      <c r="P185"/>
      <c r="X185"/>
      <c r="AF185"/>
      <c r="AN185"/>
      <c r="AV185"/>
      <c r="BD185"/>
      <c r="BL185"/>
      <c r="BT185"/>
      <c r="CB185"/>
      <c r="CJ185"/>
      <c r="CR185"/>
      <c r="CZ185"/>
      <c r="DH185"/>
      <c r="DP185"/>
      <c r="DX185"/>
      <c r="EF185"/>
      <c r="EN185"/>
      <c r="EV185" s="106"/>
      <c r="FD185"/>
      <c r="FL185"/>
      <c r="FT185"/>
      <c r="GB185"/>
      <c r="GJ185"/>
      <c r="GR185"/>
      <c r="GZ185"/>
      <c r="HH185"/>
    </row>
    <row r="186" spans="8:216" ht="15" x14ac:dyDescent="0.25">
      <c r="H186"/>
      <c r="P186"/>
      <c r="X186"/>
      <c r="AF186"/>
      <c r="AN186"/>
      <c r="AV186"/>
      <c r="BD186"/>
      <c r="BL186"/>
      <c r="BT186"/>
      <c r="CB186"/>
      <c r="CJ186"/>
      <c r="CR186"/>
      <c r="CZ186"/>
      <c r="DH186"/>
      <c r="DP186"/>
      <c r="DX186"/>
      <c r="EF186"/>
      <c r="EN186"/>
      <c r="EV186" s="106"/>
      <c r="FD186"/>
      <c r="FL186"/>
      <c r="FT186"/>
      <c r="GB186"/>
      <c r="GJ186"/>
      <c r="GR186"/>
      <c r="GZ186"/>
      <c r="HH186"/>
    </row>
    <row r="187" spans="8:216" ht="15" x14ac:dyDescent="0.25">
      <c r="H187"/>
      <c r="P187"/>
      <c r="X187"/>
      <c r="AF187"/>
      <c r="AN187"/>
      <c r="AV187"/>
      <c r="BD187"/>
      <c r="BL187"/>
      <c r="BT187"/>
      <c r="CB187"/>
      <c r="CJ187"/>
      <c r="CR187"/>
      <c r="CZ187"/>
      <c r="DH187"/>
      <c r="DP187"/>
      <c r="DX187"/>
      <c r="EF187"/>
      <c r="EN187"/>
      <c r="EV187" s="106"/>
      <c r="FD187"/>
      <c r="FL187"/>
      <c r="FT187"/>
      <c r="GB187"/>
      <c r="GJ187"/>
      <c r="GR187"/>
      <c r="GZ187"/>
      <c r="HH187"/>
    </row>
    <row r="188" spans="8:216" ht="15" x14ac:dyDescent="0.25">
      <c r="H188"/>
      <c r="P188"/>
      <c r="X188"/>
      <c r="AF188"/>
      <c r="AN188"/>
      <c r="AV188"/>
      <c r="BD188"/>
      <c r="BL188"/>
      <c r="BT188"/>
      <c r="CB188"/>
      <c r="CJ188"/>
      <c r="CR188"/>
      <c r="CZ188"/>
      <c r="DH188"/>
      <c r="DP188"/>
      <c r="DX188"/>
      <c r="EF188"/>
      <c r="EN188"/>
      <c r="EV188" s="106"/>
      <c r="FD188"/>
      <c r="FL188"/>
      <c r="FT188"/>
      <c r="GB188"/>
      <c r="GJ188"/>
      <c r="GR188"/>
      <c r="GZ188"/>
      <c r="HH188"/>
    </row>
    <row r="189" spans="8:216" ht="15" x14ac:dyDescent="0.25">
      <c r="H189"/>
      <c r="P189"/>
      <c r="X189"/>
      <c r="AF189"/>
      <c r="AN189"/>
      <c r="AV189"/>
      <c r="BD189"/>
      <c r="BL189"/>
      <c r="BT189"/>
      <c r="CB189"/>
      <c r="CJ189"/>
      <c r="CR189"/>
      <c r="CZ189"/>
      <c r="DH189"/>
      <c r="DP189"/>
      <c r="DX189"/>
      <c r="EF189"/>
      <c r="EN189"/>
      <c r="EV189" s="106"/>
      <c r="FD189"/>
      <c r="FL189"/>
      <c r="FT189"/>
      <c r="GB189"/>
      <c r="GJ189"/>
      <c r="GR189"/>
      <c r="GZ189"/>
      <c r="HH189"/>
    </row>
    <row r="190" spans="8:216" ht="15" x14ac:dyDescent="0.25">
      <c r="H190"/>
      <c r="P190"/>
      <c r="X190"/>
      <c r="AF190"/>
      <c r="AN190"/>
      <c r="AV190"/>
      <c r="BD190"/>
      <c r="BL190"/>
      <c r="BT190"/>
      <c r="CB190"/>
      <c r="CJ190"/>
      <c r="CR190"/>
      <c r="CZ190"/>
      <c r="DH190"/>
      <c r="DP190"/>
      <c r="DX190"/>
      <c r="EF190"/>
      <c r="EN190"/>
      <c r="EV190" s="106"/>
      <c r="FD190"/>
      <c r="FL190"/>
      <c r="FT190"/>
      <c r="GB190"/>
      <c r="GJ190"/>
      <c r="GR190"/>
      <c r="GZ190"/>
      <c r="HH190"/>
    </row>
    <row r="191" spans="8:216" ht="15" x14ac:dyDescent="0.25">
      <c r="H191"/>
      <c r="P191"/>
      <c r="X191"/>
      <c r="AF191"/>
      <c r="AN191"/>
      <c r="AV191"/>
      <c r="BD191"/>
      <c r="BL191"/>
      <c r="BT191"/>
      <c r="CB191"/>
      <c r="CJ191"/>
      <c r="CR191"/>
      <c r="CZ191"/>
      <c r="DH191"/>
      <c r="DP191"/>
      <c r="DX191"/>
      <c r="EF191"/>
      <c r="EN191"/>
      <c r="EV191" s="106"/>
      <c r="FD191"/>
      <c r="FL191"/>
      <c r="FT191"/>
      <c r="GB191"/>
      <c r="GJ191"/>
      <c r="GR191"/>
      <c r="GZ191"/>
      <c r="HH191"/>
    </row>
    <row r="192" spans="8:216" ht="15" x14ac:dyDescent="0.25">
      <c r="H192"/>
      <c r="P192"/>
      <c r="X192"/>
      <c r="AF192"/>
      <c r="AN192"/>
      <c r="AV192"/>
      <c r="BD192"/>
      <c r="BL192"/>
      <c r="BT192"/>
      <c r="CB192"/>
      <c r="CJ192"/>
      <c r="CR192"/>
      <c r="CZ192"/>
      <c r="DH192"/>
      <c r="DP192"/>
      <c r="DX192"/>
      <c r="EF192"/>
      <c r="EN192"/>
      <c r="EV192" s="106"/>
      <c r="FD192"/>
      <c r="FL192"/>
      <c r="FT192"/>
      <c r="GB192"/>
      <c r="GJ192"/>
      <c r="GR192"/>
      <c r="GZ192"/>
      <c r="HH192"/>
    </row>
    <row r="193" spans="8:216" ht="15" x14ac:dyDescent="0.25">
      <c r="H193"/>
      <c r="P193"/>
      <c r="X193"/>
      <c r="AF193"/>
      <c r="AN193"/>
      <c r="AV193"/>
      <c r="BD193"/>
      <c r="BL193"/>
      <c r="BT193"/>
      <c r="CB193"/>
      <c r="CJ193"/>
      <c r="CR193"/>
      <c r="CZ193"/>
      <c r="DH193"/>
      <c r="DP193"/>
      <c r="DX193"/>
      <c r="EF193"/>
      <c r="EN193"/>
      <c r="EV193" s="106"/>
      <c r="FD193"/>
      <c r="FL193"/>
      <c r="FT193"/>
      <c r="GB193"/>
      <c r="GJ193"/>
      <c r="GR193"/>
      <c r="GZ193"/>
      <c r="HH193"/>
    </row>
    <row r="194" spans="8:216" ht="15" x14ac:dyDescent="0.25">
      <c r="H194"/>
      <c r="P194"/>
      <c r="X194"/>
      <c r="AF194"/>
      <c r="AN194"/>
      <c r="AV194"/>
      <c r="BD194"/>
      <c r="BL194"/>
      <c r="BT194"/>
      <c r="CB194"/>
      <c r="CJ194"/>
      <c r="CR194"/>
      <c r="CZ194"/>
      <c r="DH194"/>
      <c r="DP194"/>
      <c r="DX194"/>
      <c r="EF194"/>
      <c r="EN194"/>
      <c r="EV194" s="106"/>
      <c r="FD194"/>
      <c r="FL194"/>
      <c r="FT194"/>
      <c r="GB194"/>
      <c r="GJ194"/>
      <c r="GR194"/>
      <c r="GZ194"/>
      <c r="HH194"/>
    </row>
    <row r="195" spans="8:216" ht="15" x14ac:dyDescent="0.25">
      <c r="H195"/>
      <c r="P195"/>
      <c r="X195"/>
      <c r="AF195"/>
      <c r="AN195"/>
      <c r="AV195"/>
      <c r="BD195"/>
      <c r="BL195"/>
      <c r="BT195"/>
      <c r="CB195"/>
      <c r="CJ195"/>
      <c r="CR195"/>
      <c r="CZ195"/>
      <c r="DH195"/>
      <c r="DP195"/>
      <c r="DX195"/>
      <c r="EF195"/>
      <c r="EN195"/>
      <c r="EV195" s="106"/>
      <c r="FD195"/>
      <c r="FL195"/>
      <c r="FT195"/>
      <c r="GB195"/>
      <c r="GJ195"/>
      <c r="GR195"/>
      <c r="GZ195"/>
      <c r="HH195"/>
    </row>
    <row r="196" spans="8:216" ht="15" x14ac:dyDescent="0.25">
      <c r="H196"/>
      <c r="P196"/>
      <c r="X196"/>
      <c r="AF196"/>
      <c r="AN196"/>
      <c r="AV196"/>
      <c r="BD196"/>
      <c r="BL196"/>
      <c r="BT196"/>
      <c r="CB196"/>
      <c r="CJ196"/>
      <c r="CR196"/>
      <c r="CZ196"/>
      <c r="DH196"/>
      <c r="DP196"/>
      <c r="DX196"/>
      <c r="EF196"/>
      <c r="EN196"/>
      <c r="EV196" s="106"/>
      <c r="FD196"/>
      <c r="FL196"/>
      <c r="FT196"/>
      <c r="GB196"/>
      <c r="GJ196"/>
      <c r="GR196"/>
      <c r="GZ196"/>
      <c r="HH196"/>
    </row>
    <row r="197" spans="8:216" ht="15" x14ac:dyDescent="0.25">
      <c r="H197"/>
      <c r="P197"/>
      <c r="X197"/>
      <c r="AF197"/>
      <c r="AN197"/>
      <c r="AV197"/>
      <c r="BD197"/>
      <c r="BL197"/>
      <c r="BT197"/>
      <c r="CB197"/>
      <c r="CJ197"/>
      <c r="CR197"/>
      <c r="CZ197"/>
      <c r="DH197"/>
      <c r="DP197"/>
      <c r="DX197"/>
      <c r="EF197"/>
      <c r="EN197"/>
      <c r="EV197" s="106"/>
      <c r="FD197"/>
      <c r="FL197"/>
      <c r="FT197"/>
      <c r="GB197"/>
      <c r="GJ197"/>
      <c r="GR197"/>
      <c r="GZ197"/>
      <c r="HH197"/>
    </row>
    <row r="198" spans="8:216" ht="15" x14ac:dyDescent="0.25">
      <c r="H198"/>
      <c r="P198"/>
      <c r="X198"/>
      <c r="AF198"/>
      <c r="AN198"/>
      <c r="AV198"/>
      <c r="BD198"/>
      <c r="BL198"/>
      <c r="BT198"/>
      <c r="CB198"/>
      <c r="CJ198"/>
      <c r="CR198"/>
      <c r="CZ198"/>
      <c r="DH198"/>
      <c r="DP198"/>
      <c r="DX198"/>
      <c r="EF198"/>
      <c r="EN198"/>
      <c r="EV198" s="106"/>
      <c r="FD198"/>
      <c r="FL198"/>
      <c r="FT198"/>
      <c r="GB198"/>
      <c r="GJ198"/>
      <c r="GR198"/>
      <c r="GZ198"/>
      <c r="HH198"/>
    </row>
    <row r="199" spans="8:216" ht="15" x14ac:dyDescent="0.25">
      <c r="H199"/>
      <c r="P199"/>
      <c r="X199"/>
      <c r="AF199"/>
      <c r="AN199"/>
      <c r="AV199"/>
      <c r="BD199"/>
      <c r="BL199"/>
      <c r="BT199"/>
      <c r="CB199"/>
      <c r="CJ199"/>
      <c r="CR199"/>
      <c r="CZ199"/>
      <c r="DH199"/>
      <c r="DP199"/>
      <c r="DX199"/>
      <c r="EF199"/>
      <c r="EN199"/>
      <c r="EV199" s="106"/>
      <c r="FD199"/>
      <c r="FL199"/>
      <c r="FT199"/>
      <c r="GB199"/>
      <c r="GJ199"/>
      <c r="GR199"/>
      <c r="GZ199"/>
      <c r="HH199"/>
    </row>
    <row r="200" spans="8:216" ht="15" x14ac:dyDescent="0.25">
      <c r="H200"/>
      <c r="P200"/>
      <c r="X200"/>
      <c r="AF200"/>
      <c r="AN200"/>
      <c r="AV200"/>
      <c r="BD200"/>
      <c r="BL200"/>
      <c r="BT200"/>
      <c r="CB200"/>
      <c r="CJ200"/>
      <c r="CR200"/>
      <c r="CZ200"/>
      <c r="DH200"/>
      <c r="DP200"/>
      <c r="DX200"/>
      <c r="EF200"/>
      <c r="EN200"/>
      <c r="EV200" s="106"/>
      <c r="FD200"/>
      <c r="FL200"/>
      <c r="FT200"/>
      <c r="GB200"/>
      <c r="GJ200"/>
      <c r="GR200"/>
      <c r="GZ200"/>
      <c r="HH200"/>
    </row>
    <row r="201" spans="8:216" ht="15" x14ac:dyDescent="0.25">
      <c r="H201"/>
      <c r="P201"/>
      <c r="X201"/>
      <c r="AF201"/>
      <c r="AN201"/>
      <c r="AV201"/>
      <c r="BD201"/>
      <c r="BL201"/>
      <c r="BT201"/>
      <c r="CB201"/>
      <c r="CJ201"/>
      <c r="CR201"/>
      <c r="CZ201"/>
      <c r="DH201"/>
      <c r="DP201"/>
      <c r="DX201"/>
      <c r="EF201"/>
      <c r="EN201"/>
      <c r="EV201" s="106"/>
      <c r="FD201"/>
      <c r="FL201"/>
      <c r="FT201"/>
      <c r="GB201"/>
      <c r="GJ201"/>
      <c r="GR201"/>
      <c r="GZ201"/>
      <c r="HH201"/>
    </row>
    <row r="202" spans="8:216" ht="15" x14ac:dyDescent="0.25">
      <c r="H202"/>
      <c r="P202"/>
      <c r="X202"/>
      <c r="AF202"/>
      <c r="AN202"/>
      <c r="AV202"/>
      <c r="BD202"/>
      <c r="BL202"/>
      <c r="BT202"/>
      <c r="CB202"/>
      <c r="CJ202"/>
      <c r="CR202"/>
      <c r="CZ202"/>
      <c r="DH202"/>
      <c r="DP202"/>
      <c r="DX202"/>
      <c r="EF202"/>
      <c r="EN202"/>
      <c r="EV202" s="106"/>
      <c r="FD202"/>
      <c r="FL202"/>
      <c r="FT202"/>
      <c r="GB202"/>
      <c r="GJ202"/>
      <c r="GR202"/>
      <c r="GZ202"/>
      <c r="HH202"/>
    </row>
    <row r="203" spans="8:216" ht="15" x14ac:dyDescent="0.25">
      <c r="H203"/>
      <c r="P203"/>
      <c r="X203"/>
      <c r="AF203"/>
      <c r="AN203"/>
      <c r="AV203"/>
      <c r="BD203"/>
      <c r="BL203"/>
      <c r="BT203"/>
      <c r="CB203"/>
      <c r="CJ203"/>
      <c r="CR203"/>
      <c r="CZ203"/>
      <c r="DH203"/>
      <c r="DP203"/>
      <c r="DX203"/>
      <c r="EF203"/>
      <c r="EN203"/>
      <c r="EV203" s="106"/>
      <c r="FD203"/>
      <c r="FL203"/>
      <c r="FT203"/>
      <c r="GB203"/>
      <c r="GJ203"/>
      <c r="GR203"/>
      <c r="GZ203"/>
      <c r="HH203"/>
    </row>
    <row r="204" spans="8:216" ht="15" x14ac:dyDescent="0.25">
      <c r="H204"/>
      <c r="P204"/>
      <c r="X204"/>
      <c r="AF204"/>
      <c r="AN204"/>
      <c r="AV204"/>
      <c r="BD204"/>
      <c r="BL204"/>
      <c r="BT204"/>
      <c r="CB204"/>
      <c r="CJ204"/>
      <c r="CR204"/>
      <c r="CZ204"/>
      <c r="DH204"/>
      <c r="DP204"/>
      <c r="DX204"/>
      <c r="EF204"/>
      <c r="EN204"/>
      <c r="EV204" s="106"/>
      <c r="FD204"/>
      <c r="FL204"/>
      <c r="FT204"/>
      <c r="GB204"/>
      <c r="GJ204"/>
      <c r="GR204"/>
      <c r="GZ204"/>
      <c r="HH204"/>
    </row>
    <row r="205" spans="8:216" ht="15" x14ac:dyDescent="0.25">
      <c r="H205"/>
      <c r="P205"/>
      <c r="X205"/>
      <c r="AF205"/>
      <c r="AN205"/>
      <c r="AV205"/>
      <c r="BD205"/>
      <c r="BL205"/>
      <c r="BT205"/>
      <c r="CB205"/>
      <c r="CJ205"/>
      <c r="CR205"/>
      <c r="CZ205"/>
      <c r="DH205"/>
      <c r="DP205"/>
      <c r="DX205"/>
      <c r="EF205"/>
      <c r="EN205"/>
      <c r="EV205" s="106"/>
      <c r="FD205"/>
      <c r="FL205"/>
      <c r="FT205"/>
      <c r="GB205"/>
      <c r="GJ205"/>
      <c r="GR205"/>
      <c r="GZ205"/>
      <c r="HH205"/>
    </row>
    <row r="206" spans="8:216" ht="15" x14ac:dyDescent="0.25">
      <c r="H206"/>
      <c r="P206"/>
      <c r="X206"/>
      <c r="AF206"/>
      <c r="AN206"/>
      <c r="AV206"/>
      <c r="BD206"/>
      <c r="BL206"/>
      <c r="BT206"/>
      <c r="CB206"/>
      <c r="CJ206"/>
      <c r="CR206"/>
      <c r="CZ206"/>
      <c r="DH206"/>
      <c r="DP206"/>
      <c r="DX206"/>
      <c r="EF206"/>
      <c r="EN206"/>
      <c r="EV206" s="106"/>
      <c r="FD206"/>
      <c r="FL206"/>
      <c r="FT206"/>
      <c r="GB206"/>
      <c r="GJ206"/>
      <c r="GR206"/>
      <c r="GZ206"/>
      <c r="HH206"/>
    </row>
    <row r="207" spans="8:216" ht="15" x14ac:dyDescent="0.25">
      <c r="H207"/>
      <c r="P207"/>
      <c r="X207"/>
      <c r="AF207"/>
      <c r="AN207"/>
      <c r="AV207"/>
      <c r="BD207"/>
      <c r="BL207"/>
      <c r="BT207"/>
      <c r="CB207"/>
      <c r="CJ207"/>
      <c r="CR207"/>
      <c r="CZ207"/>
      <c r="DH207"/>
      <c r="DP207"/>
      <c r="DX207"/>
      <c r="EF207"/>
      <c r="EN207"/>
      <c r="EV207" s="106"/>
      <c r="FD207"/>
      <c r="FL207"/>
      <c r="FT207"/>
      <c r="GB207"/>
      <c r="GJ207"/>
      <c r="GR207"/>
      <c r="GZ207"/>
      <c r="HH207"/>
    </row>
    <row r="208" spans="8:216" ht="15" x14ac:dyDescent="0.25">
      <c r="H208"/>
      <c r="P208"/>
      <c r="X208"/>
      <c r="AF208"/>
      <c r="AN208"/>
      <c r="AV208"/>
      <c r="BD208"/>
      <c r="BL208"/>
      <c r="BT208"/>
      <c r="CB208"/>
      <c r="CJ208"/>
      <c r="CR208"/>
      <c r="CZ208"/>
      <c r="DH208"/>
      <c r="DP208"/>
      <c r="DX208"/>
      <c r="EF208"/>
      <c r="EN208"/>
      <c r="EV208" s="106"/>
      <c r="FD208"/>
      <c r="FL208"/>
      <c r="FT208"/>
      <c r="GB208"/>
      <c r="GJ208"/>
      <c r="GR208"/>
      <c r="GZ208"/>
      <c r="HH208"/>
    </row>
    <row r="209" spans="8:216" ht="15" x14ac:dyDescent="0.25">
      <c r="H209"/>
      <c r="P209"/>
      <c r="X209"/>
      <c r="AF209"/>
      <c r="AN209"/>
      <c r="AV209"/>
      <c r="BD209"/>
      <c r="BL209"/>
      <c r="BT209"/>
      <c r="CB209"/>
      <c r="CJ209"/>
      <c r="CR209"/>
      <c r="CZ209"/>
      <c r="DH209"/>
      <c r="DP209"/>
      <c r="DX209"/>
      <c r="EF209"/>
      <c r="EN209"/>
      <c r="EV209" s="106"/>
      <c r="FD209"/>
      <c r="FL209"/>
      <c r="FT209"/>
      <c r="GB209"/>
      <c r="GJ209"/>
      <c r="GR209"/>
      <c r="GZ209"/>
      <c r="HH209"/>
    </row>
    <row r="210" spans="8:216" ht="15" x14ac:dyDescent="0.25">
      <c r="H210"/>
      <c r="P210"/>
      <c r="X210"/>
      <c r="AF210"/>
      <c r="AN210"/>
      <c r="AV210"/>
      <c r="BD210"/>
      <c r="BL210"/>
      <c r="BT210"/>
      <c r="CB210"/>
      <c r="CJ210"/>
      <c r="CR210"/>
      <c r="CZ210"/>
      <c r="DH210"/>
      <c r="DP210"/>
      <c r="DX210"/>
      <c r="EF210"/>
      <c r="EN210"/>
      <c r="EV210" s="106"/>
      <c r="FD210"/>
      <c r="FL210"/>
      <c r="FT210"/>
      <c r="GB210"/>
      <c r="GJ210"/>
      <c r="GR210"/>
      <c r="GZ210"/>
      <c r="HH210"/>
    </row>
    <row r="211" spans="8:216" ht="15" x14ac:dyDescent="0.25">
      <c r="H211"/>
      <c r="P211"/>
      <c r="X211"/>
      <c r="AF211"/>
      <c r="AN211"/>
      <c r="AV211"/>
      <c r="BD211"/>
      <c r="BL211"/>
      <c r="BT211"/>
      <c r="CB211"/>
      <c r="CJ211"/>
      <c r="CR211"/>
      <c r="CZ211"/>
      <c r="DH211"/>
      <c r="DP211"/>
      <c r="DX211"/>
      <c r="EF211"/>
      <c r="EN211"/>
      <c r="EV211" s="106"/>
      <c r="FD211"/>
      <c r="FL211"/>
      <c r="FT211"/>
      <c r="GB211"/>
      <c r="GJ211"/>
      <c r="GR211"/>
      <c r="GZ211"/>
      <c r="HH211"/>
    </row>
    <row r="212" spans="8:216" ht="15" x14ac:dyDescent="0.25">
      <c r="H212"/>
      <c r="P212"/>
      <c r="X212"/>
      <c r="AF212"/>
      <c r="AN212"/>
      <c r="AV212"/>
      <c r="BD212"/>
      <c r="BL212"/>
      <c r="BT212"/>
      <c r="CB212"/>
      <c r="CJ212"/>
      <c r="CR212"/>
      <c r="CZ212"/>
      <c r="DH212"/>
      <c r="DP212"/>
      <c r="DX212"/>
      <c r="EF212"/>
      <c r="EN212"/>
      <c r="EV212" s="106"/>
      <c r="FD212"/>
      <c r="FL212"/>
      <c r="FT212"/>
      <c r="GB212"/>
      <c r="GJ212"/>
      <c r="GR212"/>
      <c r="GZ212"/>
      <c r="HH212"/>
    </row>
    <row r="213" spans="8:216" ht="15" x14ac:dyDescent="0.25">
      <c r="H213"/>
      <c r="P213"/>
      <c r="X213"/>
      <c r="AF213"/>
      <c r="AN213"/>
      <c r="AV213"/>
      <c r="BD213"/>
      <c r="BL213"/>
      <c r="BT213"/>
      <c r="CB213"/>
      <c r="CJ213"/>
      <c r="CR213"/>
      <c r="CZ213"/>
      <c r="DH213"/>
      <c r="DP213"/>
      <c r="DX213"/>
      <c r="EF213"/>
      <c r="EN213"/>
      <c r="EV213" s="106"/>
      <c r="FD213"/>
      <c r="FL213"/>
      <c r="FT213"/>
      <c r="GB213"/>
      <c r="GJ213"/>
      <c r="GR213"/>
      <c r="GZ213"/>
      <c r="HH213"/>
    </row>
    <row r="214" spans="8:216" ht="15" x14ac:dyDescent="0.25">
      <c r="H214"/>
      <c r="P214"/>
      <c r="X214"/>
      <c r="AF214"/>
      <c r="AN214"/>
      <c r="AV214"/>
      <c r="BD214"/>
      <c r="BL214"/>
      <c r="BT214"/>
      <c r="CB214"/>
      <c r="CJ214"/>
      <c r="CR214"/>
      <c r="CZ214"/>
      <c r="DH214"/>
      <c r="DP214"/>
      <c r="DX214"/>
      <c r="EF214"/>
      <c r="EN214"/>
      <c r="EV214" s="106"/>
      <c r="FD214"/>
      <c r="FL214"/>
      <c r="FT214"/>
      <c r="GB214"/>
      <c r="GJ214"/>
      <c r="GR214"/>
      <c r="GZ214"/>
      <c r="HH214"/>
    </row>
    <row r="215" spans="8:216" ht="15" x14ac:dyDescent="0.25">
      <c r="H215"/>
      <c r="P215"/>
      <c r="X215"/>
      <c r="AF215"/>
      <c r="AN215"/>
      <c r="AV215"/>
      <c r="BD215"/>
      <c r="BL215"/>
      <c r="BT215"/>
      <c r="CB215"/>
      <c r="CJ215"/>
      <c r="CR215"/>
      <c r="CZ215"/>
      <c r="DH215"/>
      <c r="DP215"/>
      <c r="DX215"/>
      <c r="EF215"/>
      <c r="EN215"/>
      <c r="EV215" s="106"/>
      <c r="FD215"/>
      <c r="FL215"/>
      <c r="FT215"/>
      <c r="GB215"/>
      <c r="GJ215"/>
      <c r="GR215"/>
      <c r="GZ215"/>
      <c r="HH215"/>
    </row>
    <row r="216" spans="8:216" ht="15" x14ac:dyDescent="0.25">
      <c r="H216"/>
      <c r="P216"/>
      <c r="X216"/>
      <c r="AF216"/>
      <c r="AN216"/>
      <c r="AV216"/>
      <c r="BD216"/>
      <c r="BL216"/>
      <c r="BT216"/>
      <c r="CB216"/>
      <c r="CJ216"/>
      <c r="CR216"/>
      <c r="CZ216"/>
      <c r="DH216"/>
      <c r="DP216"/>
      <c r="DX216"/>
      <c r="EF216"/>
      <c r="EN216"/>
      <c r="EV216" s="106"/>
      <c r="FD216"/>
      <c r="FL216"/>
      <c r="FT216"/>
      <c r="GB216"/>
      <c r="GJ216"/>
      <c r="GR216"/>
      <c r="GZ216"/>
      <c r="HH216"/>
    </row>
    <row r="217" spans="8:216" ht="15" x14ac:dyDescent="0.25">
      <c r="H217"/>
      <c r="P217"/>
      <c r="X217"/>
      <c r="AF217"/>
      <c r="AN217"/>
      <c r="AV217"/>
      <c r="BD217"/>
      <c r="BL217"/>
      <c r="BT217"/>
      <c r="CB217"/>
      <c r="CJ217"/>
      <c r="CR217"/>
      <c r="CZ217"/>
      <c r="DH217"/>
      <c r="DP217"/>
      <c r="DX217"/>
      <c r="EF217"/>
      <c r="EN217"/>
      <c r="EV217" s="106"/>
      <c r="FD217"/>
      <c r="FL217"/>
      <c r="FT217"/>
      <c r="GB217"/>
      <c r="GJ217"/>
      <c r="GR217"/>
      <c r="GZ217"/>
      <c r="HH217"/>
    </row>
    <row r="218" spans="8:216" ht="15" x14ac:dyDescent="0.25">
      <c r="H218"/>
      <c r="P218"/>
      <c r="X218"/>
      <c r="AF218"/>
      <c r="AN218"/>
      <c r="AV218"/>
      <c r="BD218"/>
      <c r="BL218"/>
      <c r="BT218"/>
      <c r="CB218"/>
      <c r="CJ218"/>
      <c r="CR218"/>
      <c r="CZ218"/>
      <c r="DH218"/>
      <c r="DP218"/>
      <c r="DX218"/>
      <c r="EF218"/>
      <c r="EN218"/>
      <c r="EV218" s="106"/>
      <c r="FD218"/>
      <c r="FL218"/>
      <c r="FT218"/>
      <c r="GB218"/>
      <c r="GJ218"/>
      <c r="GR218"/>
      <c r="GZ218"/>
      <c r="HH218"/>
    </row>
    <row r="219" spans="8:216" ht="15" x14ac:dyDescent="0.25">
      <c r="H219"/>
      <c r="P219"/>
      <c r="X219"/>
      <c r="AF219"/>
      <c r="AN219"/>
      <c r="AV219"/>
      <c r="BD219"/>
      <c r="BL219"/>
      <c r="BT219"/>
      <c r="CB219"/>
      <c r="CJ219"/>
      <c r="CR219"/>
      <c r="CZ219"/>
      <c r="DH219"/>
      <c r="DP219"/>
      <c r="DX219"/>
      <c r="EF219"/>
      <c r="EN219"/>
      <c r="EV219" s="106"/>
      <c r="FD219"/>
      <c r="FL219"/>
      <c r="FT219"/>
      <c r="GB219"/>
      <c r="GJ219"/>
      <c r="GR219"/>
      <c r="GZ219"/>
      <c r="HH219"/>
    </row>
    <row r="220" spans="8:216" ht="15" x14ac:dyDescent="0.25">
      <c r="H220"/>
      <c r="P220"/>
      <c r="X220"/>
      <c r="AF220"/>
      <c r="AN220"/>
      <c r="AV220"/>
      <c r="BD220"/>
      <c r="BL220"/>
      <c r="BT220"/>
      <c r="CB220"/>
      <c r="CJ220"/>
      <c r="CR220"/>
      <c r="CZ220"/>
      <c r="DH220"/>
      <c r="DP220"/>
      <c r="DX220"/>
      <c r="EF220"/>
      <c r="EN220"/>
      <c r="EV220" s="106"/>
      <c r="FD220"/>
      <c r="FL220"/>
      <c r="FT220"/>
      <c r="GB220"/>
      <c r="GJ220"/>
      <c r="GR220"/>
      <c r="GZ220"/>
      <c r="HH220"/>
    </row>
    <row r="221" spans="8:216" ht="15" x14ac:dyDescent="0.25">
      <c r="H221"/>
      <c r="P221"/>
      <c r="X221"/>
      <c r="AF221"/>
      <c r="AN221"/>
      <c r="AV221"/>
      <c r="BD221"/>
      <c r="BL221"/>
      <c r="BT221"/>
      <c r="CB221"/>
      <c r="CJ221"/>
      <c r="CR221"/>
      <c r="CZ221"/>
      <c r="DH221"/>
      <c r="DP221"/>
      <c r="DX221"/>
      <c r="EF221"/>
      <c r="EN221"/>
      <c r="EV221" s="106"/>
      <c r="FD221"/>
      <c r="FL221"/>
      <c r="FT221"/>
      <c r="GB221"/>
      <c r="GJ221"/>
      <c r="GR221"/>
      <c r="GZ221"/>
      <c r="HH221"/>
    </row>
    <row r="222" spans="8:216" ht="15" x14ac:dyDescent="0.25">
      <c r="H222"/>
      <c r="P222"/>
      <c r="X222"/>
      <c r="AF222"/>
      <c r="AN222"/>
      <c r="AV222"/>
      <c r="BD222"/>
      <c r="BL222"/>
      <c r="BT222"/>
      <c r="CB222"/>
      <c r="CJ222"/>
      <c r="CR222"/>
      <c r="CZ222"/>
      <c r="DH222"/>
      <c r="DP222"/>
      <c r="DX222"/>
      <c r="EF222"/>
      <c r="EN222"/>
      <c r="EV222" s="106"/>
      <c r="FD222"/>
      <c r="FL222"/>
      <c r="FT222"/>
      <c r="GB222"/>
      <c r="GJ222"/>
      <c r="GR222"/>
      <c r="GZ222"/>
      <c r="HH222"/>
    </row>
    <row r="223" spans="8:216" ht="15" x14ac:dyDescent="0.25">
      <c r="H223"/>
      <c r="P223"/>
      <c r="X223"/>
      <c r="AF223"/>
      <c r="AN223"/>
      <c r="AV223"/>
      <c r="BD223"/>
      <c r="BL223"/>
      <c r="BT223"/>
      <c r="CB223"/>
      <c r="CJ223"/>
      <c r="CR223"/>
      <c r="CZ223"/>
      <c r="DH223"/>
      <c r="DP223"/>
      <c r="DX223"/>
      <c r="EF223"/>
      <c r="EN223"/>
      <c r="EV223" s="106"/>
      <c r="FD223"/>
      <c r="FL223"/>
      <c r="FT223"/>
      <c r="GB223"/>
      <c r="GJ223"/>
      <c r="GR223"/>
      <c r="GZ223"/>
      <c r="HH223"/>
    </row>
    <row r="224" spans="8:216" ht="15" x14ac:dyDescent="0.25">
      <c r="H224"/>
      <c r="P224"/>
      <c r="X224"/>
      <c r="AF224"/>
      <c r="AN224"/>
      <c r="AV224"/>
      <c r="BD224"/>
      <c r="BL224"/>
      <c r="BT224"/>
      <c r="CB224"/>
      <c r="CJ224"/>
      <c r="CR224"/>
      <c r="CZ224"/>
      <c r="DH224"/>
      <c r="DP224"/>
      <c r="DX224"/>
      <c r="EF224"/>
      <c r="EN224"/>
      <c r="EV224" s="106"/>
      <c r="FD224"/>
      <c r="FL224"/>
      <c r="FT224"/>
      <c r="GB224"/>
      <c r="GJ224"/>
      <c r="GR224"/>
      <c r="GZ224"/>
      <c r="HH224"/>
    </row>
    <row r="225" spans="8:216" ht="15" x14ac:dyDescent="0.25">
      <c r="H225"/>
      <c r="P225"/>
      <c r="X225"/>
      <c r="AF225"/>
      <c r="AN225"/>
      <c r="AV225"/>
      <c r="BD225"/>
      <c r="BL225"/>
      <c r="BT225"/>
      <c r="CB225"/>
      <c r="CJ225"/>
      <c r="CR225"/>
      <c r="CZ225"/>
      <c r="DH225"/>
      <c r="DP225"/>
      <c r="DX225"/>
      <c r="EF225"/>
      <c r="EN225"/>
      <c r="EV225" s="106"/>
      <c r="FD225"/>
      <c r="FL225"/>
      <c r="FT225"/>
      <c r="GB225"/>
      <c r="GJ225"/>
      <c r="GR225"/>
      <c r="GZ225"/>
      <c r="HH225"/>
    </row>
    <row r="226" spans="8:216" ht="15" x14ac:dyDescent="0.25">
      <c r="H226"/>
      <c r="P226"/>
      <c r="X226"/>
      <c r="AF226"/>
      <c r="AN226"/>
      <c r="AV226"/>
      <c r="BD226"/>
      <c r="BL226"/>
      <c r="BT226"/>
      <c r="CB226"/>
      <c r="CJ226"/>
      <c r="CR226"/>
      <c r="CZ226"/>
      <c r="DH226"/>
      <c r="DP226"/>
      <c r="DX226"/>
      <c r="EF226"/>
      <c r="EN226"/>
      <c r="EV226" s="106"/>
      <c r="FD226"/>
      <c r="FL226"/>
      <c r="FT226"/>
      <c r="GB226"/>
      <c r="GJ226"/>
      <c r="GR226"/>
      <c r="GZ226"/>
      <c r="HH226"/>
    </row>
    <row r="227" spans="8:216" ht="15" x14ac:dyDescent="0.25">
      <c r="H227"/>
      <c r="P227"/>
      <c r="X227"/>
      <c r="AF227"/>
      <c r="AN227"/>
      <c r="AV227"/>
      <c r="BD227"/>
      <c r="BL227"/>
      <c r="BT227"/>
      <c r="CB227"/>
      <c r="CJ227"/>
      <c r="CR227"/>
      <c r="CZ227"/>
      <c r="DH227"/>
      <c r="DP227"/>
      <c r="DX227"/>
      <c r="EF227"/>
      <c r="EN227"/>
      <c r="EV227" s="106"/>
      <c r="FD227"/>
      <c r="FL227"/>
      <c r="FT227"/>
      <c r="GB227"/>
      <c r="GJ227"/>
      <c r="GR227"/>
      <c r="GZ227"/>
      <c r="HH227"/>
    </row>
    <row r="228" spans="8:216" ht="15" x14ac:dyDescent="0.25">
      <c r="H228"/>
      <c r="P228"/>
      <c r="X228"/>
      <c r="AF228"/>
      <c r="AN228"/>
      <c r="AV228"/>
      <c r="BD228"/>
      <c r="BL228"/>
      <c r="BT228"/>
      <c r="CB228"/>
      <c r="CJ228"/>
      <c r="CR228"/>
      <c r="CZ228"/>
      <c r="DH228"/>
      <c r="DP228"/>
      <c r="DX228"/>
      <c r="EF228"/>
      <c r="EN228"/>
      <c r="EV228" s="106"/>
      <c r="FD228"/>
      <c r="FL228"/>
      <c r="FT228"/>
      <c r="GB228"/>
      <c r="GJ228"/>
      <c r="GR228"/>
      <c r="GZ228"/>
      <c r="HH228"/>
    </row>
    <row r="229" spans="8:216" ht="15" x14ac:dyDescent="0.25">
      <c r="H229"/>
      <c r="P229"/>
      <c r="X229"/>
      <c r="AF229"/>
      <c r="AN229"/>
      <c r="AV229"/>
      <c r="BD229"/>
      <c r="BL229"/>
      <c r="BT229"/>
      <c r="CB229"/>
      <c r="CJ229"/>
      <c r="CR229"/>
      <c r="CZ229"/>
      <c r="DH229"/>
      <c r="DP229"/>
      <c r="DX229"/>
      <c r="EF229"/>
      <c r="EN229"/>
      <c r="EV229" s="106"/>
      <c r="FD229"/>
      <c r="FL229"/>
      <c r="FT229"/>
      <c r="GB229"/>
      <c r="GJ229"/>
      <c r="GR229"/>
      <c r="GZ229"/>
      <c r="HH229"/>
    </row>
    <row r="230" spans="8:216" ht="15" x14ac:dyDescent="0.25">
      <c r="H230"/>
      <c r="P230"/>
      <c r="X230"/>
      <c r="AF230"/>
      <c r="AN230"/>
      <c r="AV230"/>
      <c r="BD230"/>
      <c r="BL230"/>
      <c r="BT230"/>
      <c r="CB230"/>
      <c r="CJ230"/>
      <c r="CR230"/>
      <c r="CZ230"/>
      <c r="DH230"/>
      <c r="DP230"/>
      <c r="DX230"/>
      <c r="EF230"/>
      <c r="EN230"/>
      <c r="EV230" s="106"/>
      <c r="FD230"/>
      <c r="FL230"/>
      <c r="FT230"/>
      <c r="GB230"/>
      <c r="GJ230"/>
      <c r="GR230"/>
      <c r="GZ230"/>
      <c r="HH230"/>
    </row>
    <row r="231" spans="8:216" ht="15" x14ac:dyDescent="0.25">
      <c r="H231"/>
      <c r="P231"/>
      <c r="X231"/>
      <c r="AF231"/>
      <c r="AN231"/>
      <c r="AV231"/>
      <c r="BD231"/>
      <c r="BL231"/>
      <c r="BT231"/>
      <c r="CB231"/>
      <c r="CJ231"/>
      <c r="CR231"/>
      <c r="CZ231"/>
      <c r="DH231"/>
      <c r="DP231"/>
      <c r="DX231"/>
      <c r="EF231"/>
      <c r="EN231"/>
      <c r="EV231" s="106"/>
      <c r="FD231"/>
      <c r="FL231"/>
      <c r="FT231"/>
      <c r="GB231"/>
      <c r="GJ231"/>
      <c r="GR231"/>
      <c r="GZ231"/>
      <c r="HH231"/>
    </row>
    <row r="232" spans="8:216" ht="15" x14ac:dyDescent="0.25">
      <c r="H232"/>
      <c r="P232"/>
      <c r="X232"/>
      <c r="AF232"/>
      <c r="AN232"/>
      <c r="AV232"/>
      <c r="BD232"/>
      <c r="BL232"/>
      <c r="BT232"/>
      <c r="CB232"/>
      <c r="CJ232"/>
      <c r="CR232"/>
      <c r="CZ232"/>
      <c r="DH232"/>
      <c r="DP232"/>
      <c r="DX232"/>
      <c r="EF232"/>
      <c r="EN232"/>
      <c r="EV232" s="106"/>
      <c r="FD232"/>
      <c r="FL232"/>
      <c r="FT232"/>
      <c r="GB232"/>
      <c r="GJ232"/>
      <c r="GR232"/>
      <c r="GZ232"/>
      <c r="HH232"/>
    </row>
    <row r="233" spans="8:216" ht="15" x14ac:dyDescent="0.25">
      <c r="H233"/>
      <c r="P233"/>
      <c r="X233"/>
      <c r="AF233"/>
      <c r="AN233"/>
      <c r="AV233"/>
      <c r="BD233"/>
      <c r="BL233"/>
      <c r="BT233"/>
      <c r="CB233"/>
      <c r="CJ233"/>
      <c r="CR233"/>
      <c r="CZ233"/>
      <c r="DH233"/>
      <c r="DP233"/>
      <c r="DX233"/>
      <c r="EF233"/>
      <c r="EN233"/>
      <c r="EV233" s="106"/>
      <c r="FD233"/>
      <c r="FL233"/>
      <c r="FT233"/>
      <c r="GB233"/>
      <c r="GJ233"/>
      <c r="GR233"/>
      <c r="GZ233"/>
      <c r="HH233"/>
    </row>
    <row r="234" spans="8:216" ht="15" x14ac:dyDescent="0.25">
      <c r="H234"/>
      <c r="P234"/>
      <c r="X234"/>
      <c r="AF234"/>
      <c r="AN234"/>
      <c r="AV234"/>
      <c r="BD234"/>
      <c r="BL234"/>
      <c r="BT234"/>
      <c r="CB234"/>
      <c r="CJ234"/>
      <c r="CR234"/>
      <c r="CZ234"/>
      <c r="DH234"/>
      <c r="DP234"/>
      <c r="DX234"/>
      <c r="EF234"/>
      <c r="EN234"/>
      <c r="EV234" s="106"/>
      <c r="FD234"/>
      <c r="FL234"/>
      <c r="FT234"/>
      <c r="GB234"/>
      <c r="GJ234"/>
      <c r="GR234"/>
      <c r="GZ234"/>
      <c r="HH234"/>
    </row>
    <row r="235" spans="8:216" ht="15" x14ac:dyDescent="0.25">
      <c r="H235"/>
      <c r="P235"/>
      <c r="X235"/>
      <c r="AF235"/>
      <c r="AN235"/>
      <c r="AV235"/>
      <c r="BD235"/>
      <c r="BL235"/>
      <c r="BT235"/>
      <c r="CB235"/>
      <c r="CJ235"/>
      <c r="CR235"/>
      <c r="CZ235"/>
      <c r="DH235"/>
      <c r="DP235"/>
      <c r="DX235"/>
      <c r="EF235"/>
      <c r="EN235"/>
      <c r="EV235" s="106"/>
      <c r="FD235"/>
      <c r="FL235"/>
      <c r="FT235"/>
      <c r="GB235"/>
      <c r="GJ235"/>
      <c r="GR235"/>
      <c r="GZ235"/>
      <c r="HH235"/>
    </row>
    <row r="236" spans="8:216" ht="15" x14ac:dyDescent="0.25">
      <c r="H236"/>
      <c r="P236"/>
      <c r="X236"/>
      <c r="AF236"/>
      <c r="AN236"/>
      <c r="AV236"/>
      <c r="BD236"/>
      <c r="BL236"/>
      <c r="BT236"/>
      <c r="CB236"/>
      <c r="CJ236"/>
      <c r="CR236"/>
      <c r="CZ236"/>
      <c r="DH236"/>
      <c r="DP236"/>
      <c r="DX236"/>
      <c r="EF236"/>
      <c r="EN236"/>
      <c r="EV236" s="106"/>
      <c r="FD236"/>
      <c r="FL236"/>
      <c r="FT236"/>
      <c r="GB236"/>
      <c r="GJ236"/>
      <c r="GR236"/>
      <c r="GZ236"/>
      <c r="HH236"/>
    </row>
    <row r="237" spans="8:216" ht="15" x14ac:dyDescent="0.25">
      <c r="H237"/>
      <c r="P237"/>
      <c r="X237"/>
      <c r="AF237"/>
      <c r="AN237"/>
      <c r="AV237"/>
      <c r="BD237"/>
      <c r="BL237"/>
      <c r="BT237"/>
      <c r="CB237"/>
      <c r="CJ237"/>
      <c r="CR237"/>
      <c r="CZ237"/>
      <c r="DH237"/>
      <c r="DP237"/>
      <c r="DX237"/>
      <c r="EF237"/>
      <c r="EN237"/>
      <c r="EV237" s="106"/>
      <c r="FD237"/>
      <c r="FL237"/>
      <c r="FT237"/>
      <c r="GB237"/>
      <c r="GJ237"/>
      <c r="GR237"/>
      <c r="GZ237"/>
      <c r="HH237"/>
    </row>
    <row r="238" spans="8:216" ht="15" x14ac:dyDescent="0.25">
      <c r="H238"/>
      <c r="P238"/>
      <c r="X238"/>
      <c r="AF238"/>
      <c r="AN238"/>
      <c r="AV238"/>
      <c r="BD238"/>
      <c r="BL238"/>
      <c r="BT238"/>
      <c r="CB238"/>
      <c r="CJ238"/>
      <c r="CR238"/>
      <c r="CZ238"/>
      <c r="DH238"/>
      <c r="DP238"/>
      <c r="DX238"/>
      <c r="EF238"/>
      <c r="EN238"/>
      <c r="EV238" s="106"/>
      <c r="FD238"/>
      <c r="FL238"/>
      <c r="FT238"/>
      <c r="GB238"/>
      <c r="GJ238"/>
      <c r="GR238"/>
      <c r="GZ238"/>
      <c r="HH238"/>
    </row>
    <row r="239" spans="8:216" ht="15" x14ac:dyDescent="0.25">
      <c r="H239"/>
      <c r="P239"/>
      <c r="X239"/>
      <c r="AF239"/>
      <c r="AN239"/>
      <c r="AV239"/>
      <c r="BD239"/>
      <c r="BL239"/>
      <c r="BT239"/>
      <c r="CB239"/>
      <c r="CJ239"/>
      <c r="CR239"/>
      <c r="CZ239"/>
      <c r="DH239"/>
      <c r="DP239"/>
      <c r="DX239"/>
      <c r="EF239"/>
      <c r="EN239"/>
      <c r="EV239" s="106"/>
      <c r="FD239"/>
      <c r="FL239"/>
      <c r="FT239"/>
      <c r="GB239"/>
      <c r="GJ239"/>
      <c r="GR239"/>
      <c r="GZ239"/>
      <c r="HH239"/>
    </row>
    <row r="240" spans="8:216" ht="15" x14ac:dyDescent="0.25">
      <c r="H240"/>
      <c r="P240"/>
      <c r="X240"/>
      <c r="AF240"/>
      <c r="AN240"/>
      <c r="AV240"/>
      <c r="BD240"/>
      <c r="BL240"/>
      <c r="BT240"/>
      <c r="CB240"/>
      <c r="CJ240"/>
      <c r="CR240"/>
      <c r="CZ240"/>
      <c r="DH240"/>
      <c r="DP240"/>
      <c r="DX240"/>
      <c r="EF240"/>
      <c r="EN240"/>
      <c r="EV240" s="106"/>
      <c r="FD240"/>
      <c r="FL240"/>
      <c r="FT240"/>
      <c r="GB240"/>
      <c r="GJ240"/>
      <c r="GR240"/>
      <c r="GZ240"/>
      <c r="HH240"/>
    </row>
    <row r="241" spans="8:216" ht="15" x14ac:dyDescent="0.25">
      <c r="H241"/>
      <c r="P241"/>
      <c r="X241"/>
      <c r="AF241"/>
      <c r="AN241"/>
      <c r="AV241"/>
      <c r="BD241"/>
      <c r="BL241"/>
      <c r="BT241"/>
      <c r="CB241"/>
      <c r="CJ241"/>
      <c r="CR241"/>
      <c r="CZ241"/>
      <c r="DH241"/>
      <c r="DP241"/>
      <c r="DX241"/>
      <c r="EF241"/>
      <c r="EN241"/>
      <c r="EV241" s="106"/>
      <c r="FD241"/>
      <c r="FL241"/>
      <c r="FT241"/>
      <c r="GB241"/>
      <c r="GJ241"/>
      <c r="GR241"/>
      <c r="GZ241"/>
      <c r="HH241"/>
    </row>
    <row r="242" spans="8:216" ht="15" x14ac:dyDescent="0.25">
      <c r="H242"/>
      <c r="P242"/>
      <c r="X242"/>
      <c r="AF242"/>
      <c r="AN242"/>
      <c r="AV242"/>
      <c r="BD242"/>
      <c r="BL242"/>
      <c r="BT242"/>
      <c r="CB242"/>
      <c r="CJ242"/>
      <c r="CR242"/>
      <c r="CZ242"/>
      <c r="DH242"/>
      <c r="DP242"/>
      <c r="DX242"/>
      <c r="EF242"/>
      <c r="EN242"/>
      <c r="EV242" s="106"/>
      <c r="FD242"/>
      <c r="FL242"/>
      <c r="FT242"/>
      <c r="GB242"/>
      <c r="GJ242"/>
      <c r="GR242"/>
      <c r="GZ242"/>
      <c r="HH242"/>
    </row>
    <row r="243" spans="8:216" ht="15" x14ac:dyDescent="0.25">
      <c r="H243"/>
      <c r="P243"/>
      <c r="X243"/>
      <c r="AF243"/>
      <c r="AN243"/>
      <c r="AV243"/>
      <c r="BD243"/>
      <c r="BL243"/>
      <c r="BT243"/>
      <c r="CB243"/>
      <c r="CJ243"/>
      <c r="CR243"/>
      <c r="CZ243"/>
      <c r="DH243"/>
      <c r="DP243"/>
      <c r="DX243"/>
      <c r="EF243"/>
      <c r="EN243"/>
      <c r="EV243" s="106"/>
      <c r="FD243"/>
      <c r="FL243"/>
      <c r="FT243"/>
      <c r="GB243"/>
      <c r="GJ243"/>
      <c r="GR243"/>
      <c r="GZ243"/>
      <c r="HH243"/>
    </row>
    <row r="244" spans="8:216" ht="15" x14ac:dyDescent="0.25">
      <c r="H244"/>
      <c r="P244"/>
      <c r="X244"/>
      <c r="AF244"/>
      <c r="AN244"/>
      <c r="AV244"/>
      <c r="BD244"/>
      <c r="BL244"/>
      <c r="BT244"/>
      <c r="CB244"/>
      <c r="CJ244"/>
      <c r="CR244"/>
      <c r="CZ244"/>
      <c r="DH244"/>
      <c r="DP244"/>
      <c r="DX244"/>
      <c r="EF244"/>
      <c r="EN244"/>
      <c r="EV244" s="106"/>
      <c r="FD244"/>
      <c r="FL244"/>
      <c r="FT244"/>
      <c r="GB244"/>
      <c r="GJ244"/>
      <c r="GR244"/>
      <c r="GZ244"/>
      <c r="HH244"/>
    </row>
    <row r="245" spans="8:216" ht="15" x14ac:dyDescent="0.25">
      <c r="H245"/>
      <c r="P245"/>
      <c r="X245"/>
      <c r="AF245"/>
      <c r="AN245"/>
      <c r="AV245"/>
      <c r="BD245"/>
      <c r="BL245"/>
      <c r="BT245"/>
      <c r="CB245"/>
      <c r="CJ245"/>
      <c r="CR245"/>
      <c r="CZ245"/>
      <c r="DH245"/>
      <c r="DP245"/>
      <c r="DX245"/>
      <c r="EF245"/>
      <c r="EN245"/>
      <c r="EV245" s="106"/>
      <c r="FD245"/>
      <c r="FL245"/>
      <c r="FT245"/>
      <c r="GB245"/>
      <c r="GJ245"/>
      <c r="GR245"/>
      <c r="GZ245"/>
      <c r="HH245"/>
    </row>
    <row r="246" spans="8:216" ht="15" x14ac:dyDescent="0.25">
      <c r="H246"/>
      <c r="P246"/>
      <c r="X246"/>
      <c r="AF246"/>
      <c r="AN246"/>
      <c r="AV246"/>
      <c r="BD246"/>
      <c r="BL246"/>
      <c r="BT246"/>
      <c r="CB246"/>
      <c r="CJ246"/>
      <c r="CR246"/>
      <c r="CZ246"/>
      <c r="DH246"/>
      <c r="DP246"/>
      <c r="DX246"/>
      <c r="EF246"/>
      <c r="EN246"/>
      <c r="EV246" s="106"/>
      <c r="FD246"/>
      <c r="FL246"/>
      <c r="FT246"/>
      <c r="GB246"/>
      <c r="GJ246"/>
      <c r="GR246"/>
      <c r="GZ246"/>
      <c r="HH246"/>
    </row>
    <row r="247" spans="8:216" ht="15" x14ac:dyDescent="0.25">
      <c r="H247"/>
      <c r="P247"/>
      <c r="X247"/>
      <c r="AF247"/>
      <c r="AN247"/>
      <c r="AV247"/>
      <c r="BD247"/>
      <c r="BL247"/>
      <c r="BT247"/>
      <c r="CB247"/>
      <c r="CJ247"/>
      <c r="CR247"/>
      <c r="CZ247"/>
      <c r="DH247"/>
      <c r="DP247"/>
      <c r="DX247"/>
      <c r="EF247"/>
      <c r="EN247"/>
      <c r="EV247" s="106"/>
      <c r="FD247"/>
      <c r="FL247"/>
      <c r="FT247"/>
      <c r="GB247"/>
      <c r="GJ247"/>
      <c r="GR247"/>
      <c r="GZ247"/>
      <c r="HH247"/>
    </row>
    <row r="248" spans="8:216" ht="15" x14ac:dyDescent="0.25">
      <c r="H248"/>
      <c r="P248"/>
      <c r="X248"/>
      <c r="AF248"/>
      <c r="AN248"/>
      <c r="AV248"/>
      <c r="BD248"/>
      <c r="BL248"/>
      <c r="BT248"/>
      <c r="CB248"/>
      <c r="CJ248"/>
      <c r="CR248"/>
      <c r="CZ248"/>
      <c r="DH248"/>
      <c r="DP248"/>
      <c r="DX248"/>
      <c r="EF248"/>
      <c r="EN248"/>
      <c r="EV248" s="106"/>
      <c r="FD248"/>
      <c r="FL248"/>
      <c r="FT248"/>
      <c r="GB248"/>
      <c r="GJ248"/>
      <c r="GR248"/>
      <c r="GZ248"/>
      <c r="HH248"/>
    </row>
    <row r="249" spans="8:216" ht="15" x14ac:dyDescent="0.25">
      <c r="H249"/>
      <c r="P249"/>
      <c r="X249"/>
      <c r="AF249"/>
      <c r="AN249"/>
      <c r="AV249"/>
      <c r="BD249"/>
      <c r="BL249"/>
      <c r="BT249"/>
      <c r="CB249"/>
      <c r="CJ249"/>
      <c r="CR249"/>
      <c r="CZ249"/>
      <c r="DH249"/>
      <c r="DP249"/>
      <c r="DX249"/>
      <c r="EF249"/>
      <c r="EN249"/>
      <c r="EV249" s="106"/>
      <c r="FD249"/>
      <c r="FL249"/>
      <c r="FT249"/>
      <c r="GB249"/>
      <c r="GJ249"/>
      <c r="GR249"/>
      <c r="GZ249"/>
      <c r="HH249"/>
    </row>
    <row r="250" spans="8:216" ht="15" x14ac:dyDescent="0.25">
      <c r="H250"/>
      <c r="P250"/>
      <c r="X250"/>
      <c r="AF250"/>
      <c r="AN250"/>
      <c r="AV250"/>
      <c r="BD250"/>
      <c r="BL250"/>
      <c r="BT250"/>
      <c r="CB250"/>
      <c r="CJ250"/>
      <c r="CR250"/>
      <c r="CZ250"/>
      <c r="DH250"/>
      <c r="DP250"/>
      <c r="DX250"/>
      <c r="EF250"/>
      <c r="EN250"/>
      <c r="EV250" s="106"/>
      <c r="FD250"/>
      <c r="FL250"/>
      <c r="FT250"/>
      <c r="GB250"/>
      <c r="GJ250"/>
      <c r="GR250"/>
      <c r="GZ250"/>
      <c r="HH250"/>
    </row>
    <row r="251" spans="8:216" ht="15" x14ac:dyDescent="0.25">
      <c r="H251"/>
      <c r="P251"/>
      <c r="X251"/>
      <c r="AF251"/>
      <c r="AN251"/>
      <c r="AV251"/>
      <c r="BD251"/>
      <c r="BL251"/>
      <c r="BT251"/>
      <c r="CB251"/>
      <c r="CJ251"/>
      <c r="CR251"/>
      <c r="CZ251"/>
      <c r="DH251"/>
      <c r="DP251"/>
      <c r="DX251"/>
      <c r="EF251"/>
      <c r="EN251"/>
      <c r="EV251" s="106"/>
      <c r="FD251"/>
      <c r="FL251"/>
      <c r="FT251"/>
      <c r="GB251"/>
      <c r="GJ251"/>
      <c r="GR251"/>
      <c r="GZ251"/>
      <c r="HH251"/>
    </row>
    <row r="252" spans="8:216" ht="15" x14ac:dyDescent="0.25">
      <c r="H252"/>
      <c r="P252"/>
      <c r="X252"/>
      <c r="AF252"/>
      <c r="AN252"/>
      <c r="AV252"/>
      <c r="BD252"/>
      <c r="BL252"/>
      <c r="BT252"/>
      <c r="CB252"/>
      <c r="CJ252"/>
      <c r="CR252"/>
      <c r="CZ252"/>
      <c r="DH252"/>
      <c r="DP252"/>
      <c r="DX252"/>
      <c r="EF252"/>
      <c r="EN252"/>
      <c r="EV252" s="106"/>
      <c r="FD252"/>
      <c r="FL252"/>
      <c r="FT252"/>
      <c r="GB252"/>
      <c r="GJ252"/>
      <c r="GR252"/>
      <c r="GZ252"/>
      <c r="HH252"/>
    </row>
    <row r="253" spans="8:216" ht="15" x14ac:dyDescent="0.25">
      <c r="H253"/>
      <c r="P253"/>
      <c r="X253"/>
      <c r="AF253"/>
      <c r="AN253"/>
      <c r="AV253"/>
      <c r="BD253"/>
      <c r="BL253"/>
      <c r="BT253"/>
      <c r="CB253"/>
      <c r="CJ253"/>
      <c r="CR253"/>
      <c r="CZ253"/>
      <c r="DH253"/>
      <c r="DP253"/>
      <c r="DX253"/>
      <c r="EF253"/>
      <c r="EN253"/>
      <c r="EV253" s="106"/>
      <c r="FD253"/>
      <c r="FL253"/>
      <c r="FT253"/>
      <c r="GB253"/>
      <c r="GJ253"/>
      <c r="GR253"/>
      <c r="GZ253"/>
      <c r="HH253"/>
    </row>
    <row r="254" spans="8:216" ht="15" x14ac:dyDescent="0.25">
      <c r="H254"/>
      <c r="P254"/>
      <c r="X254"/>
      <c r="AF254"/>
      <c r="AN254"/>
      <c r="AV254"/>
      <c r="BD254"/>
      <c r="BL254"/>
      <c r="BT254"/>
      <c r="CB254"/>
      <c r="CJ254"/>
      <c r="CR254"/>
      <c r="CZ254"/>
      <c r="DH254"/>
      <c r="DP254"/>
      <c r="DX254"/>
      <c r="EF254"/>
      <c r="EN254"/>
      <c r="EV254" s="106"/>
      <c r="FD254"/>
      <c r="FL254"/>
      <c r="FT254"/>
      <c r="GB254"/>
      <c r="GJ254"/>
      <c r="GR254"/>
      <c r="GZ254"/>
      <c r="HH254"/>
    </row>
    <row r="255" spans="8:216" ht="15" x14ac:dyDescent="0.25">
      <c r="H255"/>
      <c r="P255"/>
      <c r="X255"/>
      <c r="AF255"/>
      <c r="AN255"/>
      <c r="AV255"/>
      <c r="BD255"/>
      <c r="BL255"/>
      <c r="BT255"/>
      <c r="CB255"/>
      <c r="CJ255"/>
      <c r="CR255"/>
      <c r="CZ255"/>
      <c r="DH255"/>
      <c r="DP255"/>
      <c r="DX255"/>
      <c r="EF255"/>
      <c r="EN255"/>
      <c r="EV255" s="106"/>
      <c r="FD255"/>
      <c r="FL255"/>
      <c r="FT255"/>
      <c r="GB255"/>
      <c r="GJ255"/>
      <c r="GR255"/>
      <c r="GZ255"/>
      <c r="HH255"/>
    </row>
    <row r="256" spans="8:216" ht="15" x14ac:dyDescent="0.25">
      <c r="H256"/>
      <c r="P256"/>
      <c r="X256"/>
      <c r="AF256"/>
      <c r="AN256"/>
      <c r="AV256"/>
      <c r="BD256"/>
      <c r="BL256"/>
      <c r="BT256"/>
      <c r="CB256"/>
      <c r="CJ256"/>
      <c r="CR256"/>
      <c r="CZ256"/>
      <c r="DH256"/>
      <c r="DP256"/>
      <c r="DX256"/>
      <c r="EF256"/>
      <c r="EN256"/>
      <c r="EV256" s="106"/>
      <c r="FD256"/>
      <c r="FL256"/>
      <c r="FT256"/>
      <c r="GB256"/>
      <c r="GJ256"/>
      <c r="GR256"/>
      <c r="GZ256"/>
      <c r="HH256"/>
    </row>
    <row r="257" spans="16:16" ht="15" x14ac:dyDescent="0.25">
      <c r="P257"/>
    </row>
    <row r="258" spans="16:16" ht="15" x14ac:dyDescent="0.25">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EU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6" customFormat="1" ht="15.75" thickBot="1" x14ac:dyDescent="0.3"/>
    <row r="2" spans="3:3" s="106" customFormat="1" ht="18" thickBot="1" x14ac:dyDescent="0.35">
      <c r="C2" s="205" t="s">
        <v>1004</v>
      </c>
    </row>
    <row r="3" spans="3:3" s="106" customFormat="1" x14ac:dyDescent="0.25">
      <c r="C3" s="106" t="s">
        <v>1007</v>
      </c>
    </row>
    <row r="4" spans="3:3" s="106" customFormat="1" x14ac:dyDescent="0.25">
      <c r="C4" s="106" t="s">
        <v>1005</v>
      </c>
    </row>
    <row r="5" spans="3:3" s="106" customFormat="1" x14ac:dyDescent="0.25">
      <c r="C5" s="106" t="s">
        <v>1006</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6"/>
    </row>
    <row r="5" spans="2:4" x14ac:dyDescent="0.25">
      <c r="D5" s="106"/>
    </row>
    <row r="6" spans="2:4" x14ac:dyDescent="0.25">
      <c r="D6" s="106"/>
    </row>
    <row r="7" spans="2:4" x14ac:dyDescent="0.25">
      <c r="D7" s="106"/>
    </row>
    <row r="8" spans="2:4" x14ac:dyDescent="0.25">
      <c r="D8" s="106"/>
    </row>
    <row r="9" spans="2:4" x14ac:dyDescent="0.25">
      <c r="D9" s="106"/>
    </row>
    <row r="10" spans="2:4" x14ac:dyDescent="0.25">
      <c r="B10" s="106"/>
      <c r="C10" s="106"/>
    </row>
    <row r="11" spans="2:4" s="106" customFormat="1" x14ac:dyDescent="0.25"/>
    <row r="111" s="106" customFormat="1" x14ac:dyDescent="0.25"/>
    <row r="112" s="106" customFormat="1" x14ac:dyDescent="0.25"/>
    <row r="113" s="106" customFormat="1" x14ac:dyDescent="0.25"/>
    <row r="134" s="106" customFormat="1" x14ac:dyDescent="0.25"/>
    <row r="135" s="106" customFormat="1" x14ac:dyDescent="0.25"/>
    <row r="136" s="106" customFormat="1" x14ac:dyDescent="0.25"/>
    <row r="178" s="106"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Zero_One</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2017-05-11T15:52:22Z</cp:lastPrinted>
  <dcterms:created xsi:type="dcterms:W3CDTF">2005-07-11T17:26:05Z</dcterms:created>
  <dcterms:modified xsi:type="dcterms:W3CDTF">2017-05-31T15:48:46Z</dcterms:modified>
</cp:coreProperties>
</file>