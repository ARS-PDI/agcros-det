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4.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5.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6.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7.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8.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comments2.xml" ContentType="application/vnd.openxmlformats-officedocument.spreadsheetml.comments+xml"/>
  <Override PartName="/xl/drawings/drawing10.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11.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
    </mc:Choice>
  </mc:AlternateContent>
  <bookViews>
    <workbookView xWindow="0" yWindow="0" windowWidth="15696" windowHeight="6828"/>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nCalcNutrientEfficiency" sheetId="113" r:id="rId14"/>
    <sheet name="nMgtPreAmend" sheetId="127" r:id="rId15"/>
    <sheet name="nMgtAmendments" sheetId="114" r:id="rId16"/>
    <sheet name="MgtPlanting" sheetId="77" r:id="rId17"/>
    <sheet name="MgtTillage" sheetId="72" r:id="rId18"/>
    <sheet name="MgtGrowthStages" sheetId="63" r:id="rId19"/>
    <sheet name="MgtResidue" sheetId="84" r:id="rId20"/>
    <sheet name="MgtGrazing" sheetId="50" r:id="rId21"/>
    <sheet name="aMgtAnimal" sheetId="110" r:id="rId22"/>
    <sheet name="MeasSoilPhys" sheetId="96" r:id="rId23"/>
    <sheet name="nMeasSoilChem" sheetId="115" r:id="rId24"/>
    <sheet name="MeasSoilBiol" sheetId="95" r:id="rId25"/>
    <sheet name="aMeasAgARSample" sheetId="111" r:id="rId26"/>
    <sheet name="aMeasARGenes" sheetId="126" r:id="rId27"/>
    <sheet name="bMeasSoilSOMpools" sheetId="109" r:id="rId28"/>
    <sheet name="bMeasSoilEnzymes" sheetId="104" r:id="rId29"/>
    <sheet name="bMeasSoilFAME" sheetId="105" r:id="rId30"/>
    <sheet name="bMeasSoilDNASeq" sheetId="106" r:id="rId31"/>
    <sheet name="bMeasSoilDNAqPCR" sheetId="107" r:id="rId32"/>
    <sheet name="MeasSoilCover" sheetId="90" r:id="rId33"/>
    <sheet name="nMeasPlantMonitoring" sheetId="116" r:id="rId34"/>
    <sheet name="nMeasYieldNutrientUptake" sheetId="117" r:id="rId35"/>
    <sheet name="nMeasBiomassMinAn" sheetId="118" r:id="rId36"/>
    <sheet name="nMeasCropForageQuality" sheetId="119" r:id="rId37"/>
    <sheet name="MeasGHGFlux" sheetId="41" r:id="rId38"/>
    <sheet name="nMeasNutrientCycling" sheetId="120" r:id="rId39"/>
    <sheet name="nMeasGasLeachingNutrientLoss" sheetId="121" r:id="rId40"/>
    <sheet name="nMeasWaterErosion" sheetId="122" r:id="rId41"/>
    <sheet name="nMeasWindErosion" sheetId="123" r:id="rId42"/>
    <sheet name="MeasBiomassCHO" sheetId="85" r:id="rId43"/>
    <sheet name="MeasBiomassEnergy" sheetId="86" r:id="rId44"/>
    <sheet name="nMeasGrazingPlants" sheetId="124" r:id="rId45"/>
    <sheet name="MeasSuppRes" sheetId="97" r:id="rId46"/>
    <sheet name="AllCellComments" sheetId="76" r:id="rId47"/>
    <sheet name="DropDownLists" sheetId="81" r:id="rId48"/>
    <sheet name="ValueDomains" sheetId="82" r:id="rId49"/>
    <sheet name="ValidationData" sheetId="99" r:id="rId50"/>
    <sheet name="DET_Import" sheetId="100" r:id="rId51"/>
    <sheet name="AutoCorrect" sheetId="102" state="hidden" r:id="rId52"/>
  </sheets>
  <functionGroups builtInGroupCount="18"/>
  <externalReferences>
    <externalReference r:id="rId53"/>
  </externalReferences>
  <definedNames>
    <definedName name="_xlnm._FilterDatabase" localSheetId="47"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CropMonitoring">DropDownLists!$AG$8:$AG$15</definedName>
    <definedName name="CropQuality">DropDownLists!$AH$8:$AH$56</definedName>
    <definedName name="DropDownHeaders">DropDownLists!$B$7:$AF$7</definedName>
    <definedName name="Env_Biome">DropDownLists!$AV$8:$AV$15</definedName>
    <definedName name="Env_Feature">DropDownLists!$AW$8:$AW$33</definedName>
    <definedName name="Env_Material">DropDownLists!$AX$8:$AX$32</definedName>
    <definedName name="Exp_UnitID">ExperUnits!$K$9:$K$253</definedName>
    <definedName name="FAME">DropDownLists!$AL$8:$AL$182</definedName>
    <definedName name="Fertilizer_Amendment_Class">DropDownLists!$M$8:$M$11</definedName>
    <definedName name="FieldID">FieldSites!$D$9:$D$29</definedName>
    <definedName name="ForwardPrimer">DropDownLists!$AT$8:$AT$15</definedName>
    <definedName name="Gene_Region">DropDownLists!$AR$8:$AR$18</definedName>
    <definedName name="Gene_Sequenced">DropDownLists!$AQ$8:$AQ$12</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ValueDomains!$F$223:$G$223</definedName>
    <definedName name="Irrigation_Type">DropDownLists!$Q$8:$Q$21</definedName>
    <definedName name="Landscape_Position">DropDownLists!$R$8:$R$11</definedName>
    <definedName name="Organism">DropDownLists!$AP$8:$AP$117</definedName>
    <definedName name="Pest_Placement">DropDownLists!$S$8:$S$13</definedName>
    <definedName name="Plant_Fraction">DropDownLists!$T$8:$T$37</definedName>
    <definedName name="Planting_Method">DropDownLists!$U$8:$U$12</definedName>
    <definedName name="Project_Name">DropDownLists!$V$8:$V$14</definedName>
    <definedName name="Project_Scenario">DropDownLists!$W$8:$W$18</definedName>
    <definedName name="Project_Type">DropDownLists!$AM$8:$AM$13</definedName>
    <definedName name="Reference_Type">DropDownLists!$X$8:$X$14</definedName>
    <definedName name="Research_Unit">DropDownLists!$Y$8:$Y$56</definedName>
    <definedName name="Residue_Removal">DropDownLists!$Z$8:$Z$10</definedName>
    <definedName name="ReversePrimer">DropDownLists!$AU$8:$AU$15</definedName>
    <definedName name="Sample_Type">DropDownLists!$AI$8:$AI$17</definedName>
    <definedName name="Sequencing_Method">DropDownLists!$AN$8:$AN$13</definedName>
    <definedName name="Sequencing_Platform">DropDownLists!$AO$8:$AO$14</definedName>
    <definedName name="SiteID">Overview!$A$9</definedName>
    <definedName name="Slope">DropDownLists!$AA$8:$AA$18</definedName>
    <definedName name="Species_Mix">DropDownLists!$AB$8:$AB$24</definedName>
    <definedName name="Target">DropDownLists!$AK$8:$AK$28</definedName>
    <definedName name="Tillage_Descriptor">DropDownLists!$AC$8:$AC$15</definedName>
    <definedName name="Tillage_Event">DropDownLists!$AD$8:$AD$26</definedName>
    <definedName name="Timing_Descriptor">DropDownLists!$AE$8:$AE$16</definedName>
    <definedName name="TreatmentID">Treatments!$A$9:$A$255</definedName>
    <definedName name="Units">DropDownLists!$AJ$8:$AJ$11</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HarvestRemoval">ValidationData!$EZ$3:$FD$46</definedName>
    <definedName name="Vad_MeasPlantFraction">ValidationData!$FH$3:$FL$18</definedName>
    <definedName name="Vad_MeasResidueMgnt">ValidationData!$EZ$3:$FD$46</definedName>
    <definedName name="Vad_MeasResidueMg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 name="ZeroOne">DropDownLists!$AY$8:$AY$9</definedName>
  </definedNames>
  <calcPr calcId="152511"/>
</workbook>
</file>

<file path=xl/calcChain.xml><?xml version="1.0" encoding="utf-8"?>
<calcChain xmlns="http://schemas.openxmlformats.org/spreadsheetml/2006/main">
  <c r="K7" i="126" l="1"/>
  <c r="H7" i="126"/>
  <c r="D7" i="126"/>
  <c r="E7" i="124" l="1"/>
  <c r="D7" i="124"/>
  <c r="F6" i="123"/>
  <c r="E6" i="123"/>
  <c r="D6" i="123"/>
  <c r="F6" i="122"/>
  <c r="E6" i="122"/>
  <c r="D6" i="122"/>
  <c r="F6" i="121"/>
  <c r="E6" i="121"/>
  <c r="D6" i="121"/>
  <c r="F6" i="120" l="1"/>
  <c r="E6" i="120"/>
  <c r="D6" i="120"/>
  <c r="F6" i="119"/>
  <c r="E6" i="119"/>
  <c r="D6" i="119"/>
  <c r="F7" i="118"/>
  <c r="E7" i="118"/>
  <c r="D7" i="118"/>
  <c r="F6" i="117"/>
  <c r="E6" i="117"/>
  <c r="D6" i="117"/>
  <c r="E6" i="116"/>
  <c r="D6" i="116"/>
  <c r="AA7" i="114"/>
  <c r="W7" i="114"/>
  <c r="H7" i="114"/>
  <c r="F7" i="114"/>
  <c r="E7" i="114"/>
  <c r="E6" i="113"/>
  <c r="D6" i="113"/>
  <c r="F434" i="82" l="1"/>
  <c r="E10" i="99" l="1"/>
  <c r="AS17" i="99"/>
  <c r="AS16" i="99"/>
  <c r="E9"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E60" i="103" l="1"/>
  <c r="E52" i="103"/>
  <c r="E44" i="103"/>
  <c r="E36" i="103"/>
  <c r="E59" i="103"/>
  <c r="E51" i="103"/>
  <c r="E43" i="103"/>
  <c r="E35" i="103"/>
  <c r="E57" i="103"/>
  <c r="E49" i="103"/>
  <c r="E41" i="103"/>
  <c r="E56" i="103"/>
  <c r="E48" i="103"/>
  <c r="E40" i="103"/>
  <c r="E55" i="103"/>
  <c r="E47" i="103"/>
  <c r="E39" i="103"/>
  <c r="E54" i="103"/>
  <c r="E46" i="103"/>
  <c r="E38" i="103"/>
  <c r="E53" i="103"/>
  <c r="E45" i="103"/>
  <c r="E37" i="103"/>
  <c r="E58" i="103"/>
  <c r="E50" i="103"/>
  <c r="E42" i="103"/>
  <c r="F8" i="82"/>
  <c r="F13" i="82" l="1"/>
  <c r="F9" i="82"/>
  <c r="K464" i="78" l="1"/>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F7" i="86"/>
  <c r="E7" i="86"/>
  <c r="D7" i="86"/>
  <c r="F7" i="85"/>
  <c r="E7" i="85"/>
  <c r="D7" i="85"/>
  <c r="F7" i="41"/>
  <c r="E7" i="41"/>
  <c r="E7" i="90"/>
  <c r="D7" i="90"/>
  <c r="K7" i="50"/>
  <c r="H7" i="50"/>
  <c r="G7" i="50"/>
  <c r="J7" i="84"/>
  <c r="E7" i="84"/>
  <c r="F7" i="63"/>
  <c r="E7" i="63"/>
  <c r="F7" i="72"/>
  <c r="E7" i="72"/>
  <c r="I7" i="77"/>
  <c r="E7" i="77"/>
  <c r="V7" i="78"/>
  <c r="S7" i="78"/>
  <c r="M7" i="57"/>
  <c r="J7" i="57"/>
  <c r="I7" i="57"/>
  <c r="H7" i="57"/>
  <c r="E7" i="57"/>
  <c r="D7" i="57"/>
  <c r="C7" i="74"/>
  <c r="D7" i="47"/>
  <c r="C7" i="47"/>
  <c r="F515" i="82" l="1"/>
  <c r="F508" i="82"/>
  <c r="F471" i="82"/>
  <c r="F421" i="82"/>
  <c r="F388" i="82"/>
  <c r="F371" i="82"/>
  <c r="F326" i="82"/>
  <c r="F303" i="82"/>
  <c r="F296" i="82"/>
  <c r="F267" i="82"/>
  <c r="F219" i="82"/>
  <c r="F193" i="82"/>
  <c r="F183" i="82"/>
  <c r="F182" i="82"/>
  <c r="F172" i="82"/>
  <c r="F166" i="82"/>
  <c r="F158" i="82"/>
  <c r="F147" i="82"/>
  <c r="F128" i="82"/>
  <c r="F107" i="82"/>
  <c r="F96" i="82"/>
  <c r="F84" i="82"/>
  <c r="F83" i="82"/>
  <c r="F57" i="82"/>
  <c r="F38" i="82"/>
</calcChain>
</file>

<file path=xl/comments1.xml><?xml version="1.0" encoding="utf-8"?>
<comments xmlns="http://schemas.openxmlformats.org/spreadsheetml/2006/main">
  <authors>
    <author>Barbour, Nancy</author>
  </authors>
  <commentList>
    <comment ref="K3" authorId="0" shapeId="0">
      <text>
        <r>
          <rPr>
            <b/>
            <sz val="9"/>
            <color indexed="81"/>
            <rFont val="Tahoma"/>
            <family val="2"/>
          </rPr>
          <t>Barbour, Nancy:</t>
        </r>
        <r>
          <rPr>
            <sz val="9"/>
            <color indexed="81"/>
            <rFont val="Tahoma"/>
            <family val="2"/>
          </rPr>
          <t xml:space="preserve">
This also contains crop IDs. Perhaps could be used in other tabs.</t>
        </r>
      </text>
    </comment>
  </commentList>
</comments>
</file>

<file path=xl/comments2.xml><?xml version="1.0" encoding="utf-8"?>
<comments xmlns="http://schemas.openxmlformats.org/spreadsheetml/2006/main">
  <authors>
    <author>Barbour, Nancy</author>
  </authors>
  <commentList>
    <comment ref="AS8" authorId="0" shapeId="0">
      <text>
        <r>
          <rPr>
            <b/>
            <sz val="9"/>
            <color indexed="81"/>
            <rFont val="Tahoma"/>
            <family val="2"/>
          </rPr>
          <t>Barbour, Nancy:</t>
        </r>
        <r>
          <rPr>
            <sz val="9"/>
            <color indexed="81"/>
            <rFont val="Tahoma"/>
            <family val="2"/>
          </rPr>
          <t xml:space="preserve">
mg/kg instead of ppm</t>
        </r>
      </text>
    </comment>
  </commentList>
</comments>
</file>

<file path=xl/sharedStrings.xml><?xml version="1.0" encoding="utf-8"?>
<sst xmlns="http://schemas.openxmlformats.org/spreadsheetml/2006/main" count="19811" uniqueCount="3884">
  <si>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</si>
  <si>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</si>
  <si>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</si>
  <si>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</si>
  <si>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</si>
  <si>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</si>
  <si>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</si>
  <si>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</si>
  <si>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</si>
  <si>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</si>
  <si>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</si>
  <si>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</si>
  <si>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</si>
  <si>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</si>
  <si>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</si>
  <si>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</si>
  <si>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</si>
  <si>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</si>
  <si>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</si>
  <si>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</si>
  <si>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</si>
  <si>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</si>
  <si>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</si>
  <si>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</si>
  <si>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</si>
  <si>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</si>
  <si>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</si>
  <si>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</si>
  <si>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</si>
  <si>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</si>
  <si>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</si>
  <si>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</si>
  <si>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</si>
  <si>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</si>
  <si>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</si>
  <si>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</si>
  <si>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</si>
  <si>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</si>
  <si>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</si>
  <si>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</si>
  <si>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</si>
  <si>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</si>
  <si>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</si>
  <si>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</si>
  <si>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</si>
  <si>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</si>
  <si>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</si>
  <si>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</si>
  <si>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</si>
  <si>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</si>
  <si>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</si>
  <si>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</si>
  <si>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</si>
  <si>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</si>
  <si>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</si>
  <si>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</si>
  <si>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</si>
  <si>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</si>
  <si>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</si>
  <si>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</si>
  <si>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</si>
  <si>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</si>
  <si>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</si>
  <si>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</si>
  <si>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</si>
  <si>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</si>
  <si>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</si>
  <si>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</si>
  <si>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</si>
  <si>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</si>
  <si>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</si>
  <si>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</si>
  <si>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</si>
  <si>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</si>
  <si>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</si>
  <si>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</si>
  <si>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</si>
  <si>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</si>
  <si>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</si>
  <si>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</si>
  <si>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</si>
  <si>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</si>
  <si>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</si>
  <si>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</si>
  <si>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</si>
  <si>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</si>
  <si>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</si>
  <si>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</si>
  <si>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</si>
  <si>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</si>
  <si>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</si>
  <si>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</si>
  <si>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</si>
  <si>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</si>
  <si>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</si>
  <si>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</si>
  <si>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</si>
  <si>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</si>
  <si>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</si>
  <si>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</si>
  <si>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</si>
  <si>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</si>
  <si>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</si>
  <si>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</si>
  <si>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</si>
  <si>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</si>
  <si>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</si>
  <si>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</si>
  <si>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</si>
  <si>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</si>
  <si>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</si>
  <si>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</si>
  <si>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</si>
  <si>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</si>
  <si>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</si>
  <si>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</si>
  <si>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</si>
  <si>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</si>
  <si>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</si>
  <si>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</si>
  <si>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</si>
  <si>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</si>
  <si>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</si>
  <si>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</si>
  <si>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surface area leaves/surface area land</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</si>
  <si>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</si>
  <si>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</si>
  <si>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</si>
  <si>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</si>
  <si>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</si>
  <si>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</si>
  <si>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</si>
  <si>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</si>
  <si>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</si>
  <si>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</si>
  <si>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</si>
  <si>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</si>
  <si>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kg/ha (dry weight)</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</si>
  <si>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</si>
  <si>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</si>
  <si>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</si>
  <si>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</si>
  <si>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</si>
  <si>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</si>
  <si>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</si>
  <si>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</si>
  <si>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</si>
  <si>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</si>
  <si>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</si>
  <si>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</si>
  <si>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</si>
  <si>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</si>
  <si>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</si>
  <si>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</si>
  <si>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</si>
  <si>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</si>
  <si>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</si>
  <si>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</si>
  <si>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</si>
  <si>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</si>
  <si>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</si>
  <si>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</si>
  <si>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</si>
  <si>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</si>
  <si>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</si>
  <si>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</si>
  <si>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</si>
  <si>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</si>
  <si>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</si>
  <si>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</si>
  <si>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</si>
  <si>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</si>
  <si>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</si>
  <si>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</si>
  <si>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</si>
  <si>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</si>
  <si>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</si>
  <si>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</si>
  <si>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</si>
  <si>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</si>
  <si>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</si>
  <si>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</si>
  <si>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</si>
  <si>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</si>
  <si>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</si>
  <si>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</si>
  <si>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</si>
  <si>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</si>
  <si>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</si>
  <si>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</si>
  <si>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</si>
  <si>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</si>
  <si>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</si>
  <si>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</si>
  <si>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</si>
  <si>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</si>
  <si>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</si>
  <si>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</si>
  <si>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</si>
  <si>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</si>
  <si>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</si>
  <si>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</si>
  <si>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</si>
  <si>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</si>
  <si>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</si>
  <si>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</si>
  <si>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</si>
  <si>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</si>
  <si>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</si>
  <si>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</si>
  <si>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</si>
  <si>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</si>
  <si>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</si>
  <si>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</si>
  <si>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</si>
  <si>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</si>
  <si>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</si>
  <si>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</si>
  <si>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</si>
  <si>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</si>
  <si>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</si>
  <si>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</si>
  <si>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</si>
  <si>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</si>
  <si>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</si>
  <si>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</si>
  <si>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</si>
  <si>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</si>
  <si>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</si>
  <si>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</si>
  <si>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</si>
  <si>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</si>
  <si>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</si>
  <si>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</si>
  <si>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</si>
  <si>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</si>
  <si>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</si>
  <si>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</si>
  <si>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</si>
  <si>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</si>
  <si>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</si>
  <si>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</si>
  <si>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</si>
  <si>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</si>
  <si>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</si>
  <si>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</si>
  <si>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</si>
  <si>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</si>
  <si>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</si>
  <si>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</si>
  <si>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</si>
  <si>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</si>
  <si>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</si>
  <si>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</si>
  <si>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</si>
  <si>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</si>
  <si>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</si>
  <si>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</si>
  <si>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</si>
  <si>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</si>
  <si>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</si>
  <si>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</si>
  <si>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</si>
  <si>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</si>
  <si>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</si>
  <si>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</si>
  <si>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</si>
  <si>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</si>
  <si>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</si>
  <si>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</si>
  <si>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</si>
  <si>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</si>
  <si>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</si>
  <si>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</si>
  <si>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</si>
  <si>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</si>
  <si>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</si>
  <si>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</si>
  <si>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</si>
  <si>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</si>
  <si>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</si>
  <si>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</si>
  <si>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</si>
  <si>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</si>
  <si>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</si>
  <si>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</si>
  <si>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</si>
  <si>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</si>
  <si>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</si>
  <si>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</si>
  <si>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</si>
  <si>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</si>
  <si>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</si>
  <si>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</si>
  <si>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</si>
  <si>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</si>
  <si>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</si>
  <si>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</si>
  <si>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</si>
  <si>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</si>
  <si>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</si>
  <si>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</si>
  <si>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</si>
  <si>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</si>
  <si>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</si>
  <si>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</si>
  <si>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</si>
  <si>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</si>
  <si>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</si>
  <si>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</si>
  <si>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</si>
  <si>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</si>
  <si>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</si>
  <si>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</si>
  <si>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</si>
  <si>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</si>
  <si>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</si>
  <si>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</si>
  <si>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</si>
  <si>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</si>
  <si>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</si>
  <si>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</si>
  <si>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</si>
  <si>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</si>
  <si>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</si>
  <si>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</si>
  <si>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</si>
  <si>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</si>
  <si>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</si>
  <si>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</si>
  <si>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</si>
  <si>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</si>
  <si>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</si>
  <si>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</si>
  <si>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</si>
  <si>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</si>
  <si>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</si>
  <si>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</si>
  <si>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</si>
  <si>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</si>
  <si>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</si>
  <si>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</si>
  <si>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</si>
  <si>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</si>
  <si>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</si>
  <si>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</si>
  <si>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</si>
  <si>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</si>
  <si>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</si>
  <si>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</si>
  <si>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</si>
  <si>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</si>
  <si>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</si>
  <si>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</si>
  <si>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</si>
  <si>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</si>
  <si>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</si>
  <si>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</si>
  <si>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</si>
  <si>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</si>
  <si>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</si>
  <si>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</si>
  <si>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</si>
  <si>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</si>
  <si>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</si>
  <si>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</si>
  <si>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</si>
  <si>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</si>
  <si>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</si>
  <si>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</si>
  <si>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</si>
  <si>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</si>
  <si>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</si>
  <si>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</si>
  <si>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</si>
  <si>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</si>
  <si>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</si>
  <si>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</si>
  <si>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</si>
  <si>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</si>
  <si>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</si>
  <si>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</si>
  <si>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</si>
  <si>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</si>
  <si>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</si>
  <si>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</si>
  <si>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</si>
  <si>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</si>
  <si>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</si>
  <si>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</si>
  <si>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</si>
  <si>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</si>
  <si>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Report biomass left on the field, if measured.</t>
  </si>
  <si>
    <t xml:space="preserve">Please use one line for each growth stage, Exp_UnitID combination. </t>
  </si>
  <si>
    <t>Information about sample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</si>
  <si>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</si>
  <si>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</si>
  <si>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</si>
  <si>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</si>
  <si>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</si>
  <si>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</si>
  <si>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</si>
  <si>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</si>
  <si>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</si>
  <si>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</si>
  <si>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</si>
  <si>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</si>
  <si>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</si>
  <si>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</si>
  <si>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</si>
  <si>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</si>
  <si>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</si>
  <si>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</si>
  <si>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</si>
  <si>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</si>
  <si>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</si>
  <si>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</si>
  <si>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</si>
  <si>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</si>
  <si>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</si>
  <si>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</si>
  <si>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</si>
  <si>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</si>
  <si>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</si>
  <si>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</si>
  <si>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</si>
  <si>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</si>
  <si>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</si>
  <si>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</si>
  <si>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</si>
  <si>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</si>
  <si>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</si>
  <si>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</si>
  <si>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</si>
  <si>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</si>
  <si>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</si>
  <si>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</si>
  <si>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</si>
  <si>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</si>
  <si>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</si>
  <si>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</si>
  <si>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</si>
  <si>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</si>
  <si>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</si>
  <si>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</si>
  <si>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</si>
  <si>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</si>
  <si>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</si>
  <si>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</si>
  <si>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</si>
  <si>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</si>
  <si>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</si>
  <si>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</si>
  <si>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</si>
  <si>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</si>
  <si>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</si>
  <si>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</si>
  <si>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</si>
  <si>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</si>
  <si>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</si>
  <si>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</si>
  <si>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</si>
  <si>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</si>
  <si>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</si>
  <si>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</si>
  <si>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</si>
  <si>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</si>
  <si>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</si>
  <si>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</si>
  <si>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</si>
  <si>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</si>
  <si>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</si>
  <si>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</si>
  <si>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</si>
  <si>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</si>
  <si>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</si>
  <si>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</si>
  <si>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</si>
  <si>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</si>
  <si>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</si>
  <si>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</si>
  <si>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</si>
  <si>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</si>
  <si>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</si>
  <si>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</si>
  <si>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</si>
  <si>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</si>
  <si>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</si>
  <si>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</si>
  <si>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</si>
  <si>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</si>
  <si>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</si>
  <si>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</si>
  <si>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</si>
  <si>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</si>
  <si>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</si>
  <si>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</si>
  <si>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</si>
  <si>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</si>
  <si>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</si>
  <si>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</si>
  <si>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</si>
  <si>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</si>
  <si>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</si>
  <si>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</si>
  <si>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</si>
  <si>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</si>
  <si>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</si>
  <si>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</si>
  <si>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</si>
  <si>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</si>
  <si>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</si>
  <si>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</si>
  <si>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</si>
  <si>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</si>
  <si>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</si>
  <si>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</si>
  <si>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</si>
  <si>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</si>
  <si>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</si>
  <si>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</si>
  <si>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</si>
  <si>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</si>
  <si>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</si>
  <si>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</si>
  <si>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</si>
  <si>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</si>
  <si>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</si>
  <si>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</si>
  <si>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</si>
  <si>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</si>
  <si>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</si>
  <si>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</si>
  <si>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</si>
  <si>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</si>
  <si>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</si>
  <si>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</si>
  <si>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</si>
  <si>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</si>
  <si>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</si>
  <si>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</si>
  <si>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</si>
  <si>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</si>
  <si>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</si>
  <si>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</si>
  <si>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</si>
  <si>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</si>
  <si>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</si>
  <si>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</si>
  <si>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</si>
  <si>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</si>
  <si>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</si>
  <si>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</si>
  <si>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</si>
  <si>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</si>
  <si>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</si>
  <si>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</si>
  <si>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</si>
  <si>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</si>
  <si>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</si>
  <si>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</si>
  <si>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</si>
  <si>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</si>
  <si>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</si>
  <si>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</si>
  <si>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</si>
  <si>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</si>
  <si>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</si>
  <si>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</si>
  <si>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</si>
  <si>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</si>
  <si>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</si>
  <si>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</si>
  <si>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</si>
  <si>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</si>
  <si>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</si>
  <si>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</si>
  <si>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</si>
  <si>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</si>
  <si>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</si>
  <si>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</si>
  <si>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</si>
  <si>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</si>
  <si>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</si>
  <si>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</si>
  <si>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</si>
  <si>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</si>
  <si>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</si>
  <si>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</si>
  <si>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</si>
  <si>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</si>
  <si>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</si>
  <si>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</si>
  <si>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</si>
  <si>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</si>
  <si>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</si>
  <si>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</si>
  <si>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</si>
  <si>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</si>
  <si>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</si>
  <si>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</si>
  <si>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</si>
  <si>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</si>
  <si>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</si>
  <si>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</si>
  <si>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</si>
  <si>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</si>
  <si>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</si>
  <si>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</si>
  <si>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</si>
  <si>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</si>
  <si>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</si>
  <si>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</si>
  <si>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</si>
  <si>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</si>
  <si>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</si>
  <si>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</si>
  <si>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</si>
  <si>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</si>
  <si>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</si>
  <si>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</si>
  <si>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</si>
  <si>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</si>
  <si>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</si>
  <si>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</si>
  <si>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</si>
  <si>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</si>
  <si>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</si>
  <si>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</si>
  <si>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</si>
  <si>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</si>
  <si>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</si>
  <si>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</si>
  <si>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</si>
  <si>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</si>
  <si>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</si>
  <si>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</si>
  <si>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</si>
  <si>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</si>
  <si>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</si>
  <si>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</si>
  <si>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</si>
  <si>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</si>
  <si>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</si>
  <si>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</si>
  <si>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</si>
  <si>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</si>
  <si>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</si>
  <si>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</si>
  <si>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</si>
  <si>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</si>
  <si>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</si>
  <si>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</si>
  <si>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</si>
  <si>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</si>
  <si>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</si>
  <si>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</si>
  <si>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</si>
  <si>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</si>
  <si>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</si>
  <si>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</si>
  <si>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</si>
  <si>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</si>
  <si>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</si>
  <si>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</si>
  <si>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</si>
  <si>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</si>
  <si>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</si>
  <si>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</si>
  <si>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</si>
  <si>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</si>
  <si>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</si>
  <si>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</si>
  <si>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</si>
  <si>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</si>
  <si>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</si>
  <si>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</si>
  <si>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</si>
  <si>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</si>
  <si>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</si>
  <si>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</si>
  <si>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</si>
  <si>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</si>
  <si>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</si>
  <si>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</si>
  <si>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</si>
  <si>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</si>
  <si>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</si>
  <si>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</si>
  <si>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</si>
  <si>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</si>
  <si>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</si>
  <si>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</si>
  <si>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</si>
  <si>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</si>
  <si>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</si>
  <si>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</si>
  <si>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</si>
  <si>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</si>
  <si>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</si>
  <si>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</si>
  <si>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</si>
  <si>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</si>
  <si>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</si>
  <si>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</si>
  <si>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</si>
  <si>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</si>
  <si>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</si>
  <si>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</si>
  <si>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</si>
  <si>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</si>
  <si>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</si>
  <si>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</si>
  <si>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</si>
  <si>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</si>
  <si>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</si>
  <si>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</si>
  <si>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</si>
  <si>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</si>
  <si>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</si>
  <si>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</si>
  <si>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</si>
  <si>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</si>
  <si>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</si>
  <si>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</si>
  <si>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</si>
  <si>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</si>
  <si>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</si>
  <si>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</si>
  <si>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</si>
  <si>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</si>
  <si>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</si>
  <si>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</si>
  <si>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</si>
  <si>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</si>
  <si>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</si>
  <si>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</si>
  <si>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</si>
  <si>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</si>
  <si>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</si>
  <si>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</si>
  <si>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</si>
  <si>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</si>
  <si>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</si>
  <si>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</si>
  <si>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</si>
  <si>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</si>
  <si>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</si>
  <si>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</si>
  <si>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</si>
  <si>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</si>
  <si>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</si>
  <si>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</si>
  <si>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</si>
  <si>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</si>
  <si>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</si>
  <si>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</si>
  <si>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</si>
  <si>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</si>
  <si>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</si>
  <si>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</si>
  <si>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</si>
  <si>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</si>
  <si>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</si>
  <si>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</si>
  <si>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</si>
  <si>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</si>
  <si>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</si>
  <si>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</si>
  <si>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</si>
  <si>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</si>
  <si>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</si>
  <si>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</si>
  <si>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</si>
  <si>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</si>
  <si>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</si>
  <si>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</si>
  <si>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</si>
  <si>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</si>
  <si>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</si>
  <si>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</si>
  <si>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</si>
  <si>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</si>
  <si>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</si>
  <si>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</si>
  <si>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</si>
  <si>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</si>
  <si>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Validation</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</si>
  <si>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</si>
  <si>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</si>
  <si>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</si>
  <si>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</si>
  <si>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</si>
  <si>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</si>
  <si>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</si>
  <si>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</si>
  <si>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</si>
  <si>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</si>
  <si>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</si>
  <si>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</si>
  <si>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</si>
  <si>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</si>
  <si>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</si>
  <si>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</si>
  <si>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</si>
  <si>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</si>
  <si>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</si>
  <si>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</si>
  <si>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</si>
  <si>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</si>
  <si>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</si>
  <si>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</si>
  <si>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</si>
  <si>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</si>
  <si>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</si>
  <si>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</si>
  <si>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</si>
  <si>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</si>
  <si>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</si>
  <si>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</si>
  <si>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</si>
  <si>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</si>
  <si>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</si>
  <si>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</si>
  <si>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</si>
  <si>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</si>
  <si>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</si>
  <si>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</si>
  <si>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</si>
  <si>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</si>
  <si>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</si>
  <si>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</si>
  <si>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</si>
  <si>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</si>
  <si>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</si>
  <si>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</si>
  <si>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</si>
  <si>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</si>
  <si>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</si>
  <si>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</si>
  <si>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</si>
  <si>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</si>
  <si>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</si>
  <si>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</si>
  <si>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</si>
  <si>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</si>
  <si>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</si>
  <si>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</si>
  <si>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</si>
  <si>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</si>
  <si>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</si>
  <si>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</si>
  <si>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</si>
  <si>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</si>
  <si>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</si>
  <si>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</si>
  <si>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</si>
  <si>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</si>
  <si>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</si>
  <si>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</si>
  <si>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</si>
  <si>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</si>
  <si>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</si>
  <si>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</si>
  <si>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</si>
  <si>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</si>
  <si>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</si>
  <si>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</si>
  <si>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</si>
  <si>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</si>
  <si>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</si>
  <si>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</si>
  <si>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</si>
  <si>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</si>
  <si>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</si>
  <si>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</si>
  <si>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</si>
  <si>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</si>
  <si>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</si>
  <si>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</si>
  <si>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</si>
  <si>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</si>
  <si>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</si>
  <si>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</si>
  <si>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</si>
  <si>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</si>
  <si>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</si>
  <si>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</si>
  <si>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</si>
  <si>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</si>
  <si>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</si>
  <si>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</si>
  <si>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</si>
  <si>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</si>
  <si>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</si>
  <si>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</si>
  <si>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</si>
  <si>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</si>
  <si>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</si>
  <si>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</si>
  <si>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</si>
  <si>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</si>
  <si>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</si>
  <si>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</si>
  <si>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</si>
  <si>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</si>
  <si>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</si>
  <si>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</si>
  <si>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</si>
  <si>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</si>
  <si>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</si>
  <si>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</si>
  <si>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</si>
  <si>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</si>
  <si>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</si>
  <si>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</si>
  <si>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</si>
  <si>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</si>
  <si>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</si>
  <si>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</si>
  <si>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</si>
  <si>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</si>
  <si>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</si>
  <si>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</si>
  <si>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</si>
  <si>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</si>
  <si>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</si>
  <si>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</si>
  <si>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</si>
  <si>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</si>
  <si>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</si>
  <si>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</si>
  <si>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</si>
  <si>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</si>
  <si>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</si>
  <si>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</si>
  <si>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</si>
  <si>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</si>
  <si>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</si>
  <si>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</si>
  <si>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</si>
  <si>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</si>
  <si>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</si>
  <si>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</si>
  <si>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</si>
  <si>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</si>
  <si>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</si>
  <si>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</si>
  <si>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</si>
  <si>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</si>
  <si>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</si>
  <si>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</si>
  <si>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</si>
  <si>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</si>
  <si>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</si>
  <si>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</si>
  <si>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</si>
  <si>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</si>
  <si>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</si>
  <si>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</si>
  <si>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</si>
  <si>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</si>
  <si>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</si>
  <si>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</si>
  <si>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</si>
  <si>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</si>
  <si>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</si>
  <si>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</si>
  <si>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</si>
  <si>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</si>
  <si>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</si>
  <si>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</si>
  <si>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</si>
  <si>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</si>
  <si>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</si>
  <si>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</si>
  <si>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</si>
  <si>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</si>
  <si>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</si>
  <si>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</si>
  <si>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</si>
  <si>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</si>
  <si>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</si>
  <si>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</si>
  <si>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</si>
  <si>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</si>
  <si>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</si>
  <si>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</si>
  <si>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</si>
  <si>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</si>
  <si>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</si>
  <si>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</si>
  <si>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</si>
  <si>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</si>
  <si>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</si>
  <si>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</si>
  <si>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</si>
  <si>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</si>
  <si>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</si>
  <si>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</si>
  <si>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</si>
  <si>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</si>
  <si>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</si>
  <si>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</si>
  <si>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</si>
  <si>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</si>
  <si>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</si>
  <si>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</si>
  <si>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</si>
  <si>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</si>
  <si>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</si>
  <si>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</si>
  <si>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</si>
  <si>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</si>
  <si>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</si>
  <si>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</si>
  <si>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</si>
  <si>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</si>
  <si>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</si>
  <si>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</si>
  <si>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</si>
  <si>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</si>
  <si>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</si>
  <si>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</si>
  <si>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</si>
  <si>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</si>
  <si>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</si>
  <si>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</si>
  <si>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</si>
  <si>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</si>
  <si>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</si>
  <si>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</si>
  <si>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</si>
  <si>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</si>
  <si>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</si>
  <si>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</si>
  <si>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</si>
  <si>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</si>
  <si>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</si>
  <si>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</si>
  <si>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</si>
  <si>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</si>
  <si>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</si>
  <si>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</si>
  <si>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</si>
  <si>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</si>
  <si>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</si>
  <si>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</si>
  <si>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</si>
  <si>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</si>
  <si>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</si>
  <si>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</si>
  <si>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</si>
  <si>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</si>
  <si>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</si>
  <si>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</si>
  <si>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</si>
  <si>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</si>
  <si>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</si>
  <si>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</si>
  <si>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</si>
  <si>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</si>
  <si>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</si>
  <si>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</si>
  <si>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</si>
  <si>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</si>
  <si>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</si>
  <si>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</si>
  <si>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</si>
  <si>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</si>
  <si>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</si>
  <si>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</si>
  <si>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</si>
  <si>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</si>
  <si>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</si>
  <si>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</si>
  <si>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</si>
  <si>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</si>
  <si>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</si>
  <si>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</si>
  <si>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</si>
  <si>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</si>
  <si>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</si>
  <si>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</si>
  <si>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</si>
  <si>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</si>
  <si>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</si>
  <si>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</si>
  <si>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</si>
  <si>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</si>
  <si>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</si>
  <si>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</si>
  <si>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</si>
  <si>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</si>
  <si>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</si>
  <si>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</si>
  <si>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</si>
  <si>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</si>
  <si>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</si>
  <si>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</si>
  <si>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</si>
  <si>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</si>
  <si>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</si>
  <si>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</si>
  <si>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</si>
  <si>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</si>
  <si>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</si>
  <si>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</si>
  <si>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</si>
  <si>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</si>
  <si>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</si>
  <si>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</si>
  <si>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</si>
  <si>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</si>
  <si>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</si>
  <si>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</si>
  <si>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</si>
  <si>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</si>
  <si>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</si>
  <si>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</si>
  <si>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</si>
  <si>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</si>
  <si>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</si>
  <si>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</si>
  <si>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</si>
  <si>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</si>
  <si>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</si>
  <si>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</si>
  <si>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</si>
  <si>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</si>
  <si>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</si>
  <si>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</si>
  <si>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</si>
  <si>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</si>
  <si>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</si>
  <si>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</si>
  <si>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</si>
  <si>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</si>
  <si>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</si>
  <si>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</si>
  <si>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</si>
  <si>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</si>
  <si>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</si>
  <si>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</si>
  <si>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</si>
  <si>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</si>
  <si>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</si>
  <si>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</si>
  <si>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</si>
  <si>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</si>
  <si>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</si>
  <si>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</si>
  <si>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</si>
  <si>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</si>
  <si>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</si>
  <si>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</si>
  <si>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</si>
  <si>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</si>
  <si>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</si>
  <si>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</si>
  <si>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</si>
  <si>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</si>
  <si>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</si>
  <si>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</si>
  <si>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</si>
  <si>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</si>
  <si>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</si>
  <si>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</si>
  <si>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</si>
  <si>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</si>
  <si>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</si>
  <si>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</si>
  <si>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</si>
  <si>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</si>
  <si>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</si>
  <si>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</si>
  <si>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</si>
  <si>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</si>
  <si>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</si>
  <si>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</si>
  <si>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</si>
  <si>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</si>
  <si>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</si>
  <si>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</si>
  <si>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</si>
  <si>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</si>
  <si>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</si>
  <si>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</si>
  <si>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</si>
  <si>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</si>
  <si>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</si>
  <si>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</si>
  <si>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</si>
  <si>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</si>
  <si>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</si>
  <si>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</si>
  <si>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</si>
  <si>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</si>
  <si>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</si>
  <si>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</si>
  <si>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</si>
  <si>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</si>
  <si>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</si>
  <si>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</si>
  <si>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</si>
  <si>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</si>
  <si>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</si>
  <si>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</si>
  <si>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</si>
  <si>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</si>
  <si>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</si>
  <si>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</si>
  <si>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</si>
  <si>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</si>
  <si>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</si>
  <si>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</si>
  <si>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</si>
  <si>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</si>
  <si>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</si>
  <si>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</si>
  <si>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</si>
  <si>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</si>
  <si>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</si>
  <si>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</si>
  <si>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</si>
  <si>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</si>
  <si>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</si>
  <si>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</si>
  <si>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</si>
  <si>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</si>
  <si>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</si>
  <si>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</si>
  <si>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</si>
  <si>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</si>
  <si>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</si>
  <si>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</si>
  <si>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</si>
  <si>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</si>
  <si>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</si>
  <si>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</si>
  <si>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</si>
  <si>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</si>
  <si>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</si>
  <si>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</si>
  <si>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</si>
  <si>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</si>
  <si>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</si>
  <si>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</si>
  <si>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</si>
  <si>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</si>
  <si>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</si>
  <si>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</si>
  <si>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</si>
  <si>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</si>
  <si>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</si>
  <si>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</si>
  <si>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</si>
  <si>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</si>
  <si>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</si>
  <si>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</si>
  <si>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</si>
  <si>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</si>
  <si>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</si>
  <si>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</si>
  <si>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</si>
  <si>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</si>
  <si>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</si>
  <si>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</si>
  <si>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</si>
  <si>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</si>
  <si>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</si>
  <si>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</si>
  <si>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</si>
  <si>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</si>
  <si>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</si>
  <si>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</si>
  <si>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</si>
  <si>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</si>
  <si>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</si>
  <si>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</si>
  <si>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</si>
  <si>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</si>
  <si>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</si>
  <si>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</si>
  <si>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</si>
  <si>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</si>
  <si>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</si>
  <si>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</si>
  <si>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</si>
  <si>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</si>
  <si>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</si>
  <si>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</si>
  <si>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</si>
  <si>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</si>
  <si>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</si>
  <si>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</si>
  <si>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</si>
  <si>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</si>
  <si>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</si>
  <si>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</si>
  <si>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</si>
  <si>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</si>
  <si>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</si>
  <si>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</si>
  <si>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</si>
  <si>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</si>
  <si>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</si>
  <si>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</si>
  <si>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</si>
  <si>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</si>
  <si>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</si>
  <si>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</si>
  <si>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</si>
  <si>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</si>
  <si>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</si>
  <si>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</si>
  <si>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</si>
  <si>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</si>
  <si>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</si>
  <si>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</si>
  <si>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</si>
  <si>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</si>
  <si>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</si>
  <si>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</si>
  <si>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</si>
  <si>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</si>
  <si>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</si>
  <si>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</si>
  <si>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</si>
  <si>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</si>
  <si>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</si>
  <si>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</si>
  <si>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</si>
  <si>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</si>
  <si>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</si>
  <si>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</si>
  <si>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</si>
  <si>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</si>
  <si>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</si>
  <si>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</si>
  <si>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</si>
  <si>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</si>
  <si>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</si>
  <si>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</si>
  <si>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</si>
  <si>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</si>
  <si>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</si>
  <si>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</si>
  <si>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</si>
  <si>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</si>
  <si>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</si>
  <si>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</si>
  <si>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</si>
  <si>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</si>
  <si>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</si>
  <si>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</si>
  <si>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</si>
  <si>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</si>
  <si>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</si>
  <si>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</si>
  <si>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</si>
  <si>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</si>
  <si>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</si>
  <si>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</si>
  <si>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</si>
  <si>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</si>
  <si>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</si>
  <si>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</si>
  <si>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</si>
  <si>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</si>
  <si>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</si>
  <si>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</si>
  <si>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</si>
  <si>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</si>
  <si>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</si>
  <si>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</si>
  <si>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</si>
  <si>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</si>
  <si>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</si>
  <si>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</si>
  <si>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</si>
  <si>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</si>
  <si>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</si>
  <si>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</si>
  <si>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</si>
  <si>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</si>
  <si>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</si>
  <si>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</si>
  <si>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</si>
  <si>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</si>
  <si>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</si>
  <si>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</si>
  <si>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</si>
  <si>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</si>
  <si>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</si>
  <si>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</si>
  <si>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</si>
  <si>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</si>
  <si>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</si>
  <si>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</si>
  <si>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</si>
  <si>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</si>
  <si>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</si>
  <si>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</si>
  <si>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</si>
  <si>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</si>
  <si>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</si>
  <si>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</si>
  <si>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</si>
  <si>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</si>
  <si>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</si>
  <si>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</si>
  <si>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</si>
  <si>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</si>
  <si>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</si>
  <si>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</si>
  <si>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</si>
  <si>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</si>
  <si>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</si>
  <si>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</si>
  <si>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</si>
  <si>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</si>
  <si>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</si>
  <si>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</si>
  <si>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</si>
  <si>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</si>
  <si>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</si>
  <si>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</si>
  <si>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</si>
  <si>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</si>
  <si>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</si>
  <si>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</si>
  <si>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</si>
  <si>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</si>
  <si>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</si>
  <si>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</si>
  <si>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</si>
  <si>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</si>
  <si>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</si>
  <si>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</si>
  <si>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</si>
  <si>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</si>
  <si>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</si>
  <si>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</si>
  <si>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</si>
  <si>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</si>
  <si>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</si>
  <si>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</si>
  <si>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</si>
  <si>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</si>
  <si>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</si>
  <si>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</si>
  <si>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</si>
  <si>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</si>
  <si>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</si>
  <si>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</si>
  <si>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</si>
  <si>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</si>
  <si>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</si>
  <si>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</si>
  <si>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</si>
  <si>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</si>
  <si>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</si>
  <si>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</si>
  <si>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</si>
  <si>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</si>
  <si>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</si>
  <si>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</si>
  <si>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</si>
  <si>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</si>
  <si>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</si>
  <si>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</si>
  <si>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</si>
  <si>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</si>
  <si>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</si>
  <si>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</si>
  <si>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</si>
  <si>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</si>
  <si>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</si>
  <si>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</si>
  <si>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</si>
  <si>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</si>
  <si>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</si>
  <si>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</si>
  <si>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</si>
  <si>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</si>
  <si>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</si>
  <si>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</si>
  <si>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</si>
  <si>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</si>
  <si>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</si>
  <si>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</si>
  <si>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</si>
  <si>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</si>
  <si>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</si>
  <si>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</si>
  <si>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</si>
  <si>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</si>
  <si>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</si>
  <si>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</si>
  <si>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</si>
  <si>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</si>
  <si>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</si>
  <si>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</si>
  <si>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</si>
  <si>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</si>
  <si>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</si>
  <si>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</si>
  <si>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</si>
  <si>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</si>
  <si>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</si>
  <si>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</si>
  <si>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</si>
  <si>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</si>
  <si>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</si>
  <si>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</si>
  <si>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</si>
  <si>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</si>
  <si>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</si>
  <si>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</si>
  <si>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</si>
  <si>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</si>
  <si>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</si>
  <si>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</si>
  <si>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</si>
  <si>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</si>
  <si>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</si>
  <si>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</si>
  <si>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</si>
  <si>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</si>
  <si>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</si>
  <si>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</si>
  <si>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</si>
  <si>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</si>
  <si>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</si>
  <si>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</si>
  <si>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</si>
  <si>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</si>
  <si>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</si>
  <si>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</si>
  <si>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</si>
  <si>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</si>
  <si>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</si>
  <si>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</si>
  <si>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</si>
  <si>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</si>
  <si>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</si>
  <si>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</si>
  <si>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</si>
  <si>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</si>
  <si>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</si>
  <si>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</si>
  <si>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</si>
  <si>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</si>
  <si>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</si>
  <si>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</si>
  <si>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</si>
  <si>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</si>
  <si>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</si>
  <si>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</si>
  <si>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</si>
  <si>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</si>
  <si>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</si>
  <si>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</si>
  <si>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</si>
  <si>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</si>
  <si>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</si>
  <si>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</si>
  <si>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</si>
  <si>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</si>
  <si>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</si>
  <si>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</si>
  <si>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</si>
  <si>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</si>
  <si>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</si>
  <si>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</si>
  <si>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</si>
  <si>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</si>
  <si>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</si>
  <si>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</si>
  <si>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</si>
  <si>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</si>
  <si>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</si>
  <si>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</si>
  <si>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</si>
  <si>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</si>
  <si>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</si>
  <si>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</si>
  <si>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</si>
  <si>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</si>
  <si>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</si>
  <si>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</si>
  <si>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</si>
  <si>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</si>
  <si>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</si>
  <si>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</si>
  <si>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</si>
  <si>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</si>
  <si>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</si>
  <si>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</si>
  <si>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</si>
  <si>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</si>
  <si>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</si>
  <si>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</si>
  <si>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</si>
  <si>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</si>
  <si>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</si>
  <si>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</si>
  <si>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</si>
  <si>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</si>
  <si>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</si>
  <si>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</si>
  <si>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</si>
  <si>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</si>
  <si>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</si>
  <si>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</si>
  <si>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</si>
  <si>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</si>
  <si>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</si>
  <si>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</si>
  <si>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</si>
  <si>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</si>
  <si>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</si>
  <si>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</si>
  <si>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</si>
  <si>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</si>
  <si>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</si>
  <si>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</si>
  <si>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</si>
  <si>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</si>
  <si>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</si>
  <si>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</si>
  <si>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</si>
  <si>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</si>
  <si>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</si>
  <si>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</si>
  <si>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</si>
  <si>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</si>
  <si>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</si>
  <si>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</si>
  <si>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</si>
  <si>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</si>
  <si>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</si>
  <si>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</si>
  <si>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</si>
  <si>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</si>
  <si>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</si>
  <si>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</si>
  <si>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</si>
  <si>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</si>
  <si>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</si>
  <si>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</si>
  <si>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</si>
  <si>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</si>
  <si>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</si>
  <si>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</si>
  <si>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</si>
  <si>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</si>
  <si>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</si>
  <si>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</si>
  <si>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</si>
  <si>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</si>
  <si>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</si>
  <si>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</si>
  <si>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</si>
  <si>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</si>
  <si>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</si>
  <si>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</si>
  <si>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</si>
  <si>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</si>
  <si>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</si>
  <si>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</si>
  <si>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</si>
  <si>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</si>
  <si>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</si>
  <si>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</si>
  <si>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</si>
  <si>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</si>
  <si>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</si>
  <si>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</si>
  <si>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</si>
  <si>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</si>
  <si>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</si>
  <si>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</si>
  <si>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</si>
  <si>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</si>
  <si>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</si>
  <si>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</si>
  <si>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</si>
  <si>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</si>
  <si>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</si>
  <si>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</si>
  <si>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</si>
  <si>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</si>
  <si>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</si>
  <si>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</si>
  <si>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</si>
  <si>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</si>
  <si>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</si>
  <si>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</si>
  <si>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</si>
  <si>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</si>
  <si>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</si>
  <si>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</si>
  <si>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</si>
  <si>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</si>
  <si>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</si>
  <si>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</si>
  <si>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</si>
  <si>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</si>
  <si>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</si>
  <si>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</si>
  <si>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</si>
  <si>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</si>
  <si>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</si>
  <si>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</si>
  <si>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</si>
  <si>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</si>
  <si>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</si>
  <si>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</si>
  <si>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</si>
  <si>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</si>
  <si>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</si>
  <si>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</si>
  <si>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</si>
  <si>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</si>
  <si>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</si>
  <si>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</si>
  <si>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</si>
  <si>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</si>
  <si>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</si>
  <si>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</si>
  <si>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</si>
  <si>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</si>
  <si>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</si>
  <si>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</si>
  <si>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</si>
  <si>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</si>
  <si>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</si>
  <si>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</si>
  <si>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</si>
  <si>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</si>
  <si>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</si>
  <si>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</si>
  <si>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</si>
  <si>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</si>
  <si>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</si>
  <si>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</si>
  <si>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</si>
  <si>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</si>
  <si>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</si>
  <si>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</si>
  <si>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</si>
  <si>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</si>
  <si>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</si>
  <si>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</si>
  <si>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</si>
  <si>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</si>
  <si>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</si>
  <si>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</si>
  <si>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</si>
  <si>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</si>
  <si>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</si>
  <si>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</si>
  <si>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</si>
  <si>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</si>
  <si>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</si>
  <si>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</si>
  <si>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</si>
  <si>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</si>
  <si>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</si>
  <si>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</si>
  <si>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</si>
  <si>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</si>
  <si>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</si>
  <si>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</si>
  <si>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</si>
  <si>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</si>
  <si>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</si>
  <si>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</si>
  <si>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</si>
  <si>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</si>
  <si>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</si>
  <si>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</si>
  <si>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</si>
  <si>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</si>
  <si>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</si>
  <si>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</si>
  <si>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</si>
  <si>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</si>
  <si>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</si>
  <si>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</si>
  <si>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</si>
  <si>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</si>
  <si>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</si>
  <si>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</si>
  <si>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</si>
  <si>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</si>
  <si>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</si>
  <si>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</si>
  <si>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</si>
  <si>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</si>
  <si>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</si>
  <si>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</si>
  <si>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</si>
  <si>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</si>
  <si>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</si>
  <si>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</si>
  <si>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</si>
  <si>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</si>
  <si>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</si>
  <si>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</si>
  <si>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</si>
  <si>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</si>
  <si>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</si>
  <si>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</si>
  <si>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</si>
  <si>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</si>
  <si>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</si>
  <si>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</si>
  <si>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</si>
  <si>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</si>
  <si>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</si>
  <si>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</si>
  <si>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</si>
  <si>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</si>
  <si>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</si>
  <si>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</si>
  <si>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</si>
  <si>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</si>
  <si>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</si>
  <si>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</si>
  <si>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</si>
  <si>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</si>
  <si>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</si>
  <si>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</si>
  <si>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</si>
  <si>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</si>
  <si>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</si>
  <si>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</si>
  <si>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</si>
  <si>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</si>
  <si>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</si>
  <si>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</si>
  <si>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</si>
  <si>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</si>
  <si>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</si>
  <si>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</si>
  <si>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</si>
  <si>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</si>
  <si>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</si>
  <si>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</si>
  <si>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</si>
  <si>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</si>
  <si>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</si>
  <si>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</si>
  <si>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</si>
  <si>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</si>
  <si>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</si>
  <si>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</si>
  <si>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</si>
  <si>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</si>
  <si>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</si>
  <si>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</si>
  <si>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</si>
  <si>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</si>
  <si>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</si>
  <si>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</si>
  <si>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</si>
  <si>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</si>
  <si>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</si>
  <si>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</si>
  <si>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</si>
  <si>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</si>
  <si>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</si>
  <si>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</si>
  <si>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</si>
  <si>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</si>
  <si>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</si>
  <si>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</si>
  <si>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</si>
  <si>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</si>
  <si>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</si>
  <si>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</si>
  <si>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</si>
  <si>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</si>
  <si>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</si>
  <si>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</si>
  <si>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</si>
  <si>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</si>
  <si>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</si>
  <si>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</si>
  <si>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</si>
  <si>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</si>
  <si>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</si>
  <si>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</si>
  <si>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</si>
  <si>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</si>
  <si>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</si>
  <si>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</si>
  <si>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</si>
  <si>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</si>
  <si>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</si>
  <si>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</si>
  <si>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</si>
  <si>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</si>
  <si>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</si>
  <si>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</si>
  <si>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</si>
  <si>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</si>
  <si>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</si>
  <si>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</si>
  <si>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</si>
  <si>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</si>
  <si>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</si>
  <si>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</si>
  <si>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</si>
  <si>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</si>
  <si>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</si>
  <si>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</si>
  <si>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</si>
  <si>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</si>
  <si>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</si>
  <si>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</si>
  <si>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</si>
  <si>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</si>
  <si>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</si>
  <si>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</si>
  <si>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</si>
  <si>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</si>
  <si>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</si>
  <si>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</si>
  <si>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</si>
  <si>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</si>
  <si>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</si>
  <si>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</si>
  <si>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</si>
  <si>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</si>
  <si>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</si>
  <si>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</si>
  <si>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</si>
  <si>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</si>
  <si>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</si>
  <si>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</si>
  <si>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</si>
  <si>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</si>
  <si>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</si>
  <si>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</si>
  <si>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</si>
  <si>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</si>
  <si>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</si>
  <si>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</si>
  <si>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</si>
  <si>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</si>
  <si>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</si>
  <si>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</si>
  <si>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</si>
  <si>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</si>
  <si>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</si>
  <si>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</si>
  <si>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</si>
  <si>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</si>
  <si>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</si>
  <si>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</si>
  <si>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</si>
  <si>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</si>
  <si>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</si>
  <si>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</si>
  <si>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</si>
  <si>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</si>
  <si>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</si>
  <si>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</si>
  <si>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</si>
  <si>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</si>
  <si>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</si>
  <si>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</si>
  <si>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</si>
  <si>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</si>
  <si>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</si>
  <si>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</si>
  <si>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</si>
  <si>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</si>
  <si>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</si>
  <si>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</si>
  <si>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</si>
  <si>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</si>
  <si>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</si>
  <si>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</si>
  <si>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</si>
  <si>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</si>
  <si>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</si>
  <si>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</si>
  <si>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</si>
  <si>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</si>
  <si>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</si>
  <si>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</si>
  <si>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</si>
  <si>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</si>
  <si>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</si>
  <si>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</si>
  <si>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</si>
  <si>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</si>
  <si>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</si>
  <si>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</si>
  <si>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t>
  </si>
  <si>
    <t>DET_Import</t>
  </si>
  <si>
    <t>macro</t>
  </si>
  <si>
    <t>Routine for bringing data from older versions of the Data Entry Template into the most recent version</t>
  </si>
  <si>
    <t>Comments that people looking at your data might want to read</t>
  </si>
  <si>
    <t>Aggregation, %</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</si>
  <si>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</si>
  <si>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</si>
  <si>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</si>
  <si>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</si>
  <si>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</si>
  <si>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</si>
  <si>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</si>
  <si>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</si>
  <si>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</si>
  <si>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</si>
  <si>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</si>
  <si>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</si>
  <si>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</si>
  <si>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</si>
  <si>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</si>
  <si>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</si>
  <si>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</si>
  <si>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</si>
  <si>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</si>
  <si>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</si>
  <si>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</si>
  <si>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</si>
  <si>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</si>
  <si>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</si>
  <si>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</si>
  <si>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</si>
  <si>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</si>
  <si>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</si>
  <si>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</si>
  <si>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</si>
  <si>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</si>
  <si>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</si>
  <si>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</si>
  <si>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</si>
  <si>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</si>
  <si>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</si>
  <si>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</si>
  <si>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</si>
  <si>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</si>
  <si>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</si>
  <si>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</si>
  <si>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</si>
  <si>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</si>
  <si>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</si>
  <si>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</si>
  <si>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</si>
  <si>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</si>
  <si>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</si>
  <si>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</si>
  <si>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</si>
  <si>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</si>
  <si>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</si>
  <si>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</si>
  <si>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</si>
  <si>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</si>
  <si>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</si>
  <si>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</si>
  <si>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</si>
  <si>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</si>
  <si>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</si>
  <si>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</si>
  <si>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</si>
  <si>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</si>
  <si>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</si>
  <si>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</si>
  <si>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</si>
  <si>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</si>
  <si>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</si>
  <si>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</si>
  <si>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</si>
  <si>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</si>
  <si>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</si>
  <si>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</si>
  <si>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</si>
  <si>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</si>
  <si>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</si>
  <si>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</si>
  <si>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</si>
  <si>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</si>
  <si>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</si>
  <si>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</si>
  <si>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</si>
  <si>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</si>
  <si>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</si>
  <si>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</si>
  <si>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</si>
  <si>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</si>
  <si>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</si>
  <si>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</si>
  <si>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</si>
  <si>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</si>
  <si>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</si>
  <si>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</si>
  <si>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</si>
  <si>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</si>
  <si>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</si>
  <si>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</si>
  <si>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</si>
  <si>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</si>
  <si>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</si>
  <si>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</si>
  <si>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</si>
  <si>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</si>
  <si>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</si>
  <si>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</si>
  <si>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</si>
  <si>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</si>
  <si>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</si>
  <si>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</si>
  <si>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</si>
  <si>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</si>
  <si>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</si>
  <si>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</si>
  <si>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</si>
  <si>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</si>
  <si>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</si>
  <si>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</si>
  <si>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</si>
  <si>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</si>
  <si>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</si>
  <si>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</si>
  <si>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</si>
  <si>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</si>
  <si>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</si>
  <si>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</si>
  <si>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</si>
  <si>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</si>
  <si>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</si>
  <si>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</si>
  <si>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</si>
  <si>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</si>
  <si>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</si>
  <si>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</si>
  <si>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</si>
  <si>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</si>
  <si>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</si>
  <si>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</si>
  <si>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</si>
  <si>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</si>
  <si>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</si>
  <si>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</si>
  <si>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</si>
  <si>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</si>
  <si>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</si>
  <si>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</si>
  <si>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</si>
  <si>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</si>
  <si>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</si>
  <si>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</si>
  <si>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</si>
  <si>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</si>
  <si>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</si>
  <si>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</si>
  <si>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</si>
  <si>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</si>
  <si>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</si>
  <si>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</si>
  <si>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</si>
  <si>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</si>
  <si>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</si>
  <si>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</si>
  <si>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</si>
  <si>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</si>
  <si>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</si>
  <si>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</si>
  <si>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</si>
  <si>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</si>
  <si>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</si>
  <si>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</si>
  <si>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</si>
  <si>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</si>
  <si>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</si>
  <si>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</si>
  <si>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</si>
  <si>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</si>
  <si>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</si>
  <si>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</si>
  <si>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</si>
  <si>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</si>
  <si>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</si>
  <si>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</si>
  <si>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</si>
  <si>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</si>
  <si>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</si>
  <si>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</si>
  <si>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</si>
  <si>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</si>
  <si>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</si>
  <si>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</si>
  <si>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</si>
  <si>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</si>
  <si>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</si>
  <si>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</si>
  <si>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</si>
  <si>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</si>
  <si>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</si>
  <si>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</si>
  <si>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</si>
  <si>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</si>
  <si>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</si>
  <si>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</si>
  <si>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</si>
  <si>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</si>
  <si>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</si>
  <si>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</si>
  <si>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</si>
  <si>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</si>
  <si>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</si>
  <si>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</si>
  <si>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</si>
  <si>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</si>
  <si>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</si>
  <si>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</si>
  <si>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</si>
  <si>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</si>
  <si>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</si>
  <si>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</si>
  <si>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</si>
  <si>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</si>
  <si>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</si>
  <si>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</si>
  <si>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</si>
  <si>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</si>
  <si>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</si>
  <si>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</si>
  <si>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</si>
  <si>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</si>
  <si>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</si>
  <si>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</si>
  <si>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</si>
  <si>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</si>
  <si>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</si>
  <si>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</si>
  <si>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</si>
  <si>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</si>
  <si>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</si>
  <si>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</si>
  <si>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</si>
  <si>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</si>
  <si>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</si>
  <si>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</si>
  <si>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</si>
  <si>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</si>
  <si>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</si>
  <si>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</si>
  <si>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</si>
  <si>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</si>
  <si>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</si>
  <si>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</si>
  <si>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</si>
  <si>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</si>
  <si>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</si>
  <si>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</si>
  <si>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</si>
  <si>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</si>
  <si>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</si>
  <si>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</si>
  <si>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</si>
  <si>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</si>
  <si>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</si>
  <si>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</si>
  <si>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</si>
  <si>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</si>
  <si>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</si>
  <si>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</si>
  <si>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</si>
  <si>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</si>
  <si>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</si>
  <si>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</si>
  <si>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</si>
  <si>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</si>
  <si>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</si>
  <si>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</si>
  <si>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</si>
  <si>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</si>
  <si>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</si>
  <si>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</si>
  <si>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</si>
  <si>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</si>
  <si>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</si>
  <si>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</si>
  <si>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</si>
  <si>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</si>
  <si>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</si>
  <si>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</si>
  <si>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</si>
  <si>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</si>
  <si>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</si>
  <si>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</si>
  <si>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</si>
  <si>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</si>
  <si>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</si>
  <si>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</si>
  <si>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</si>
  <si>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</si>
  <si>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</si>
  <si>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</si>
  <si>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</si>
  <si>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</si>
  <si>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</si>
  <si>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</si>
  <si>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</si>
  <si>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</si>
  <si>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</si>
  <si>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</si>
  <si>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</si>
  <si>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</si>
  <si>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</si>
  <si>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</si>
  <si>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</si>
  <si>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</si>
  <si>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</si>
  <si>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</si>
  <si>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</si>
  <si>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</si>
  <si>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</si>
  <si>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</si>
  <si>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</si>
  <si>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</si>
  <si>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</si>
  <si>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</si>
  <si>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</si>
  <si>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</si>
  <si>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</si>
  <si>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</si>
  <si>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</si>
  <si>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</si>
  <si>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</si>
  <si>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</si>
  <si>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</si>
  <si>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</si>
  <si>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</si>
  <si>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</si>
  <si>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</si>
  <si>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</si>
  <si>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</si>
  <si>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</si>
  <si>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</si>
  <si>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</si>
  <si>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</si>
  <si>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</si>
  <si>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</si>
  <si>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</si>
  <si>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</si>
  <si>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</si>
  <si>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</si>
  <si>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</si>
  <si>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</si>
  <si>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</si>
  <si>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</si>
  <si>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</si>
  <si>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</si>
  <si>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</si>
  <si>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</si>
  <si>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</si>
  <si>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</si>
  <si>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</si>
  <si>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</si>
  <si>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</si>
  <si>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This is an analysis of a sample identified in the table MeasHarvestFraction.</t>
  </si>
  <si>
    <t>N2O Interp=0 Obs=1</t>
  </si>
  <si>
    <t>Reporting Person Name</t>
  </si>
  <si>
    <t>Role in Study</t>
  </si>
  <si>
    <t>Fertilizer Amendment Class</t>
  </si>
  <si>
    <t>H2O Stable Aggregates STD, %</t>
  </si>
  <si>
    <t>Acid_Insoluble_Lignin _STD</t>
  </si>
  <si>
    <t>Measurements Table: Soil SOM pools</t>
  </si>
  <si>
    <t>g kg-1 soil</t>
  </si>
  <si>
    <t>g kg-1</t>
  </si>
  <si>
    <t>mg kg-1 soil</t>
  </si>
  <si>
    <t>101</t>
  </si>
  <si>
    <t>N9cbC</t>
  </si>
  <si>
    <t>102</t>
  </si>
  <si>
    <t>N905S</t>
  </si>
  <si>
    <t>103</t>
  </si>
  <si>
    <t>N900C</t>
  </si>
  <si>
    <t>104</t>
  </si>
  <si>
    <t>N910S</t>
  </si>
  <si>
    <t>105</t>
  </si>
  <si>
    <t>N9cbS</t>
  </si>
  <si>
    <t>106</t>
  </si>
  <si>
    <t>N905C</t>
  </si>
  <si>
    <t>107</t>
  </si>
  <si>
    <t>N900S</t>
  </si>
  <si>
    <t>108</t>
  </si>
  <si>
    <t>N910C</t>
  </si>
  <si>
    <t>109</t>
  </si>
  <si>
    <t>Ch05S</t>
  </si>
  <si>
    <t>110</t>
  </si>
  <si>
    <t>Ch10C</t>
  </si>
  <si>
    <t>111</t>
  </si>
  <si>
    <t>Ch00C</t>
  </si>
  <si>
    <t>112</t>
  </si>
  <si>
    <t>Ch00S</t>
  </si>
  <si>
    <t>113</t>
  </si>
  <si>
    <t>ChcbC</t>
  </si>
  <si>
    <t>114</t>
  </si>
  <si>
    <t>Ch10S</t>
  </si>
  <si>
    <t>115</t>
  </si>
  <si>
    <t>ChcbS</t>
  </si>
  <si>
    <t>116</t>
  </si>
  <si>
    <t>Ch05C</t>
  </si>
  <si>
    <t>201</t>
  </si>
  <si>
    <t>202</t>
  </si>
  <si>
    <t>203</t>
  </si>
  <si>
    <t>204</t>
  </si>
  <si>
    <t>205</t>
  </si>
  <si>
    <t>206</t>
  </si>
  <si>
    <t>207</t>
  </si>
  <si>
    <t>208</t>
  </si>
  <si>
    <t>209</t>
  </si>
  <si>
    <t>210</t>
  </si>
  <si>
    <t>211</t>
  </si>
  <si>
    <t>212</t>
  </si>
  <si>
    <t>213</t>
  </si>
  <si>
    <t>214</t>
  </si>
  <si>
    <t>215</t>
  </si>
  <si>
    <t>216</t>
  </si>
  <si>
    <t>301</t>
  </si>
  <si>
    <t>302</t>
  </si>
  <si>
    <t>303</t>
  </si>
  <si>
    <t>304</t>
  </si>
  <si>
    <t>305</t>
  </si>
  <si>
    <t>306</t>
  </si>
  <si>
    <t>307</t>
  </si>
  <si>
    <t>308</t>
  </si>
  <si>
    <t>309</t>
  </si>
  <si>
    <t>310</t>
  </si>
  <si>
    <t>311</t>
  </si>
  <si>
    <t>312</t>
  </si>
  <si>
    <t>313</t>
  </si>
  <si>
    <t>314</t>
  </si>
  <si>
    <t>315</t>
  </si>
  <si>
    <t>316</t>
  </si>
  <si>
    <t>401</t>
  </si>
  <si>
    <t>402</t>
  </si>
  <si>
    <t>403</t>
  </si>
  <si>
    <t>404</t>
  </si>
  <si>
    <t>405</t>
  </si>
  <si>
    <t>406</t>
  </si>
  <si>
    <t>407</t>
  </si>
  <si>
    <t>408</t>
  </si>
  <si>
    <t>409</t>
  </si>
  <si>
    <t>410</t>
  </si>
  <si>
    <t>411</t>
  </si>
  <si>
    <t>412</t>
  </si>
  <si>
    <t>413</t>
  </si>
  <si>
    <t>414</t>
  </si>
  <si>
    <t>415</t>
  </si>
  <si>
    <t>416</t>
  </si>
  <si>
    <t>501</t>
  </si>
  <si>
    <t>N005C</t>
  </si>
  <si>
    <t>502</t>
  </si>
  <si>
    <t>N0cbS</t>
  </si>
  <si>
    <t>503</t>
  </si>
  <si>
    <t>N000S</t>
  </si>
  <si>
    <t>504</t>
  </si>
  <si>
    <t>N010S</t>
  </si>
  <si>
    <t>505</t>
  </si>
  <si>
    <t>N010C</t>
  </si>
  <si>
    <t>506</t>
  </si>
  <si>
    <t>N000C</t>
  </si>
  <si>
    <t>507</t>
  </si>
  <si>
    <t>N0cbC</t>
  </si>
  <si>
    <t>508</t>
  </si>
  <si>
    <t>N005S</t>
  </si>
  <si>
    <t>509</t>
  </si>
  <si>
    <t>510</t>
  </si>
  <si>
    <t>511</t>
  </si>
  <si>
    <t>512</t>
  </si>
  <si>
    <t>513</t>
  </si>
  <si>
    <t>514</t>
  </si>
  <si>
    <t>515</t>
  </si>
  <si>
    <t>516</t>
  </si>
  <si>
    <t>601</t>
  </si>
  <si>
    <t>602</t>
  </si>
  <si>
    <t>603</t>
  </si>
  <si>
    <t>604</t>
  </si>
  <si>
    <t>605</t>
  </si>
  <si>
    <t>606</t>
  </si>
  <si>
    <t>607</t>
  </si>
  <si>
    <t>608</t>
  </si>
  <si>
    <t>609</t>
  </si>
  <si>
    <t>610</t>
  </si>
  <si>
    <t>611</t>
  </si>
  <si>
    <t>612</t>
  </si>
  <si>
    <t>613</t>
  </si>
  <si>
    <t>614</t>
  </si>
  <si>
    <t>615</t>
  </si>
  <si>
    <t>616</t>
  </si>
  <si>
    <t>Measurements Table: Soil Enzymes</t>
  </si>
  <si>
    <t>C cycling</t>
  </si>
  <si>
    <t>C &amp; N cycling</t>
  </si>
  <si>
    <t>P cycling</t>
  </si>
  <si>
    <t>S cycling</t>
  </si>
  <si>
    <t>N cycling</t>
  </si>
  <si>
    <t>general activity</t>
  </si>
  <si>
    <r>
      <t>NH</t>
    </r>
    <r>
      <rPr>
        <i/>
        <vertAlign val="subscript"/>
        <sz val="11"/>
        <color theme="1"/>
        <rFont val="Calibri"/>
        <family val="2"/>
        <scheme val="minor"/>
      </rPr>
      <t>4</t>
    </r>
    <r>
      <rPr>
        <i/>
        <vertAlign val="superscript"/>
        <sz val="11"/>
        <color theme="1"/>
        <rFont val="Calibri"/>
        <family val="2"/>
        <scheme val="minor"/>
      </rPr>
      <t>+</t>
    </r>
    <r>
      <rPr>
        <i/>
        <sz val="11"/>
        <color theme="1"/>
        <rFont val="Calibri"/>
        <family val="2"/>
        <scheme val="minor"/>
      </rPr>
      <t>–N released g</t>
    </r>
    <r>
      <rPr>
        <i/>
        <vertAlign val="superscript"/>
        <sz val="11"/>
        <color theme="1"/>
        <rFont val="Calibri"/>
        <family val="2"/>
        <scheme val="minor"/>
      </rPr>
      <t>−1</t>
    </r>
    <r>
      <rPr>
        <i/>
        <sz val="11"/>
        <color theme="1"/>
        <rFont val="Calibri"/>
        <family val="2"/>
        <scheme val="minor"/>
      </rPr>
      <t xml:space="preserve"> soil 2h</t>
    </r>
    <r>
      <rPr>
        <i/>
        <vertAlign val="superscript"/>
        <sz val="11"/>
        <color theme="1"/>
        <rFont val="Calibri"/>
        <family val="2"/>
        <scheme val="minor"/>
      </rPr>
      <t>−1</t>
    </r>
  </si>
  <si>
    <t>are units correct?</t>
  </si>
  <si>
    <r>
      <t xml:space="preserve">Beta </t>
    </r>
    <r>
      <rPr>
        <b/>
        <sz val="10"/>
        <color theme="1"/>
        <rFont val="Times New Roman"/>
        <family val="1"/>
      </rPr>
      <t>Glucosidase</t>
    </r>
  </si>
  <si>
    <t>Phenol Oxidase</t>
  </si>
  <si>
    <t>Beta Glucosaminidase NAG</t>
  </si>
  <si>
    <t>Acid Phosphatase</t>
  </si>
  <si>
    <t>Alkaline Phosphatase</t>
  </si>
  <si>
    <t>Phosphodiesterase</t>
  </si>
  <si>
    <t>Arylsulfatase</t>
  </si>
  <si>
    <t>Urease</t>
  </si>
  <si>
    <t>L-asparaginase</t>
  </si>
  <si>
    <t>L-glutaminase</t>
  </si>
  <si>
    <t>Fluorescein Diacetate Hydrolysis</t>
  </si>
  <si>
    <t>talk to Kristin Veum, Columbia MO</t>
  </si>
  <si>
    <t>shorten to fewer columns and have some sort of link to raw data if an expert wants to see entire dataset</t>
  </si>
  <si>
    <t>mol%</t>
  </si>
  <si>
    <t>10:0</t>
  </si>
  <si>
    <t>11:0 iso</t>
  </si>
  <si>
    <t>11:0 anteiso</t>
  </si>
  <si>
    <t>11:0</t>
  </si>
  <si>
    <t>10:0 2OH</t>
  </si>
  <si>
    <t>10:0 3OH</t>
  </si>
  <si>
    <t>12:0 iso</t>
  </si>
  <si>
    <t>12:0 anteiso</t>
  </si>
  <si>
    <t>12:1 w8c</t>
  </si>
  <si>
    <t>12:1 w5c</t>
  </si>
  <si>
    <t>12:0</t>
  </si>
  <si>
    <t>12:0 DMA</t>
  </si>
  <si>
    <t>13:0 iso</t>
  </si>
  <si>
    <t>13:0 anteiso</t>
  </si>
  <si>
    <t>13:1 w5c</t>
  </si>
  <si>
    <t>13:1 w4c</t>
  </si>
  <si>
    <t>13:1 w3c</t>
  </si>
  <si>
    <t>13:0</t>
  </si>
  <si>
    <t>14:1 iso w7c</t>
  </si>
  <si>
    <t>13:0 DMA</t>
  </si>
  <si>
    <t>14:0 iso</t>
  </si>
  <si>
    <t>14:0 anteiso</t>
  </si>
  <si>
    <t>14:1 w9c</t>
  </si>
  <si>
    <t>14:1 w8c</t>
  </si>
  <si>
    <t>14:1 w7c</t>
  </si>
  <si>
    <t>14:1 w5c</t>
  </si>
  <si>
    <t>15:0 aldehyde</t>
  </si>
  <si>
    <t>14:0</t>
  </si>
  <si>
    <t>14:1 w7c DMA</t>
  </si>
  <si>
    <t>15:1 iso w9c</t>
  </si>
  <si>
    <t>15:1 iso w6c</t>
  </si>
  <si>
    <t>14:0 DMA</t>
  </si>
  <si>
    <t>15:4 w3c</t>
  </si>
  <si>
    <t>15:1 anteiso w9c</t>
  </si>
  <si>
    <t>15:0 iso</t>
  </si>
  <si>
    <t>15:3 w3c</t>
  </si>
  <si>
    <t>15:0 anteiso</t>
  </si>
  <si>
    <t>15:1 w9c</t>
  </si>
  <si>
    <t>15:1 w8c</t>
  </si>
  <si>
    <t>15:1 w7c</t>
  </si>
  <si>
    <t>15:1 w6c</t>
  </si>
  <si>
    <t>15:1 w5c</t>
  </si>
  <si>
    <t>16:1 w9c aldehyde</t>
  </si>
  <si>
    <t>16:0 aldehyde</t>
  </si>
  <si>
    <t>15:0</t>
  </si>
  <si>
    <t>15:0 iso DMA</t>
  </si>
  <si>
    <t>16:1 w7c alcohol</t>
  </si>
  <si>
    <t>15:0 DMA</t>
  </si>
  <si>
    <t>16:4 w3c</t>
  </si>
  <si>
    <t>16:0 N alcohol</t>
  </si>
  <si>
    <t>16:3 w6c</t>
  </si>
  <si>
    <t>16:0 iso</t>
  </si>
  <si>
    <t>16:0 anteiso</t>
  </si>
  <si>
    <t>16:1 w9c</t>
  </si>
  <si>
    <t>16:1 w8c</t>
  </si>
  <si>
    <t>16:1 w7c</t>
  </si>
  <si>
    <t>16:1 w6c</t>
  </si>
  <si>
    <t>16:1 w5c</t>
  </si>
  <si>
    <t>16:1 w4c</t>
  </si>
  <si>
    <t>16:1 w3c</t>
  </si>
  <si>
    <t>16:0</t>
  </si>
  <si>
    <t>16:2 DMA</t>
  </si>
  <si>
    <t>16:1 w9c DMA</t>
  </si>
  <si>
    <t>16:1 w7c DMA</t>
  </si>
  <si>
    <t>16:1 w5c DMA</t>
  </si>
  <si>
    <t>17:1 iso w10c</t>
  </si>
  <si>
    <t>16:0 10-methyl</t>
  </si>
  <si>
    <t>16:0 DMA</t>
  </si>
  <si>
    <t>17:1 iso w9c</t>
  </si>
  <si>
    <t>17:1 anteiso w9c</t>
  </si>
  <si>
    <t>17:1 anteiso w7c</t>
  </si>
  <si>
    <t>17:0 iso</t>
  </si>
  <si>
    <t>17:0 anteiso</t>
  </si>
  <si>
    <t>17:1 w9c</t>
  </si>
  <si>
    <t>17:1 w8c</t>
  </si>
  <si>
    <t>17:1 w7c</t>
  </si>
  <si>
    <t>17:1 w6c</t>
  </si>
  <si>
    <t>17:0 cyclo w7c</t>
  </si>
  <si>
    <t>17:1 w5c</t>
  </si>
  <si>
    <t>17:1 w4c</t>
  </si>
  <si>
    <t>17:1 w3c</t>
  </si>
  <si>
    <t>17:0</t>
  </si>
  <si>
    <t>17:1 w7c 10-methyl</t>
  </si>
  <si>
    <t>16:0 2OH</t>
  </si>
  <si>
    <t>17:0 10-methyl</t>
  </si>
  <si>
    <t>17:0 DMA</t>
  </si>
  <si>
    <t>18:3 w6c</t>
  </si>
  <si>
    <t>18:0 iso</t>
  </si>
  <si>
    <t>18:4 w3c</t>
  </si>
  <si>
    <t>18:2 w6c</t>
  </si>
  <si>
    <t>18:1 w9c</t>
  </si>
  <si>
    <t>18:1 w8c</t>
  </si>
  <si>
    <t>18:1 w7c</t>
  </si>
  <si>
    <t>18:1 w6c</t>
  </si>
  <si>
    <t>18:1 w5c</t>
  </si>
  <si>
    <t>18:1 w3c</t>
  </si>
  <si>
    <t>18:0 cyclo w6c</t>
  </si>
  <si>
    <t>18:0</t>
  </si>
  <si>
    <t>18:1 w7c 10-methyl</t>
  </si>
  <si>
    <t>17:0 iso 3OH</t>
  </si>
  <si>
    <t>18:2 DMA</t>
  </si>
  <si>
    <t>18:1 w9c DMA</t>
  </si>
  <si>
    <t>18:1 w7c DMA</t>
  </si>
  <si>
    <t>18:1 w5c DMA</t>
  </si>
  <si>
    <t>18:0 10-methyl</t>
  </si>
  <si>
    <t>18:0 DMA</t>
  </si>
  <si>
    <t>19:4 w6c</t>
  </si>
  <si>
    <t>19:3 w6c</t>
  </si>
  <si>
    <t>19:0 iso</t>
  </si>
  <si>
    <t>19:3 w3c</t>
  </si>
  <si>
    <t>19:0 anteiso</t>
  </si>
  <si>
    <t>19:1 w9c</t>
  </si>
  <si>
    <t>19:1 w8c</t>
  </si>
  <si>
    <t>19:1 w7c</t>
  </si>
  <si>
    <t>19:1 w6c</t>
  </si>
  <si>
    <t>19:0 cyclo w9c</t>
  </si>
  <si>
    <t>19:0 cyclo w7c</t>
  </si>
  <si>
    <t>19:0 cyclo w6c</t>
  </si>
  <si>
    <t>19:1 w7c 10-methyl</t>
  </si>
  <si>
    <t>19:0 cyclo 9,10 DMA</t>
  </si>
  <si>
    <t>20:4 w6c</t>
  </si>
  <si>
    <t>20:5 w3c</t>
  </si>
  <si>
    <t>20:3 w6c</t>
  </si>
  <si>
    <t>20:0 iso</t>
  </si>
  <si>
    <t>20:2 w6c</t>
  </si>
  <si>
    <t>20:1 w9c</t>
  </si>
  <si>
    <t>20:1 w8c</t>
  </si>
  <si>
    <t>20:1 w6c</t>
  </si>
  <si>
    <t>20:1 w4c</t>
  </si>
  <si>
    <t>20:0 cyclo w6c</t>
  </si>
  <si>
    <t>20:0</t>
  </si>
  <si>
    <t>20:0 10-methyl</t>
  </si>
  <si>
    <t>21:3 w6c</t>
  </si>
  <si>
    <t>21:3 w3c</t>
  </si>
  <si>
    <t>21:1 w9c</t>
  </si>
  <si>
    <t>21:1 w8c</t>
  </si>
  <si>
    <t>21:1 w6c</t>
  </si>
  <si>
    <t>21:1 w5c</t>
  </si>
  <si>
    <t>21:1 w4c</t>
  </si>
  <si>
    <t>21:1 w3c</t>
  </si>
  <si>
    <t>21:0</t>
  </si>
  <si>
    <t>22:5 w6c</t>
  </si>
  <si>
    <t>22:6 w3c</t>
  </si>
  <si>
    <t>22:4 w6c</t>
  </si>
  <si>
    <t>22:5 w3c</t>
  </si>
  <si>
    <t>22:0 iso</t>
  </si>
  <si>
    <t>22:2 w6c</t>
  </si>
  <si>
    <t>22:1 w9c</t>
  </si>
  <si>
    <t>22:1 w8c</t>
  </si>
  <si>
    <t>22:1 w6c</t>
  </si>
  <si>
    <t>22:1 w5c</t>
  </si>
  <si>
    <t>22:1 w3c</t>
  </si>
  <si>
    <t>22:0 cyclo w6c</t>
  </si>
  <si>
    <t>22:0</t>
  </si>
  <si>
    <t>22:0 10-methyl</t>
  </si>
  <si>
    <t>23:4 w6c</t>
  </si>
  <si>
    <t>23:3 w6c</t>
  </si>
  <si>
    <t>23:3 w3c</t>
  </si>
  <si>
    <t>23:1 w5c</t>
  </si>
  <si>
    <t>23:1 w4c</t>
  </si>
  <si>
    <t>23:0</t>
  </si>
  <si>
    <t>24:4 w6c</t>
  </si>
  <si>
    <t>24:3 w6c</t>
  </si>
  <si>
    <t>24:3 w3c</t>
  </si>
  <si>
    <t>24:1 w9c</t>
  </si>
  <si>
    <t>24:1 w7c</t>
  </si>
  <si>
    <t>24:1 w3c</t>
  </si>
  <si>
    <t>24:0</t>
  </si>
  <si>
    <t>&lt;dropdown&gt;</t>
  </si>
  <si>
    <t>Names</t>
  </si>
  <si>
    <t>must</t>
  </si>
  <si>
    <t>This could</t>
  </si>
  <si>
    <t xml:space="preserve">This is </t>
  </si>
  <si>
    <t>ID used</t>
  </si>
  <si>
    <t>be unique</t>
  </si>
  <si>
    <t>be either</t>
  </si>
  <si>
    <t xml:space="preserve">critical for </t>
  </si>
  <si>
    <t>to link</t>
  </si>
  <si>
    <t>for each</t>
  </si>
  <si>
    <t>free-form</t>
  </si>
  <si>
    <t>knowing how</t>
  </si>
  <si>
    <t xml:space="preserve">to </t>
  </si>
  <si>
    <t xml:space="preserve">sequencing </t>
  </si>
  <si>
    <t xml:space="preserve">text or </t>
  </si>
  <si>
    <t>to process</t>
  </si>
  <si>
    <t>copies/ g soil</t>
  </si>
  <si>
    <t>myPhyloDB</t>
  </si>
  <si>
    <t>file</t>
  </si>
  <si>
    <t>protocols</t>
  </si>
  <si>
    <t>the files</t>
  </si>
  <si>
    <t>Total Community</t>
  </si>
  <si>
    <t>Project Type</t>
  </si>
  <si>
    <t>ProjectID</t>
  </si>
  <si>
    <t>Sequencing Project Name</t>
  </si>
  <si>
    <t>Sequencing Description</t>
  </si>
  <si>
    <t>SampleID</t>
  </si>
  <si>
    <t>SampleName</t>
  </si>
  <si>
    <t>Sequencing Method</t>
  </si>
  <si>
    <t>Sequencing Platform</t>
  </si>
  <si>
    <t>Organism</t>
  </si>
  <si>
    <t>Gene Sequenced</t>
  </si>
  <si>
    <t>Gene Region</t>
  </si>
  <si>
    <t>Barcode</t>
  </si>
  <si>
    <t>Forward Primer</t>
  </si>
  <si>
    <t>Reverse Primer</t>
  </si>
  <si>
    <t>Environ Biome</t>
  </si>
  <si>
    <t>Environ Feature</t>
  </si>
  <si>
    <t>Environ Material</t>
  </si>
  <si>
    <t>Sequencing File Base Name</t>
  </si>
  <si>
    <t>Sequencing File Format</t>
  </si>
  <si>
    <t>number of sequence reads</t>
  </si>
  <si>
    <t>Abundance</t>
  </si>
  <si>
    <t>Richness</t>
  </si>
  <si>
    <t>soil</t>
  </si>
  <si>
    <t>&lt;auto generated UUID&gt;</t>
  </si>
  <si>
    <t>My Big Study</t>
  </si>
  <si>
    <t>Soil samples from Sevilleta LTER rainfall exclusion study</t>
  </si>
  <si>
    <t>Sample1</t>
  </si>
  <si>
    <t>Custom1</t>
  </si>
  <si>
    <t>soil metagenome</t>
  </si>
  <si>
    <t>16S rRNA</t>
  </si>
  <si>
    <t>AGTC…</t>
  </si>
  <si>
    <t>27F: AGTC…</t>
  </si>
  <si>
    <t>388R: AGTC</t>
  </si>
  <si>
    <t>anthropogenic</t>
  </si>
  <si>
    <t>soil-bulk</t>
  </si>
  <si>
    <t>AIDF027SD</t>
  </si>
  <si>
    <t>sff</t>
  </si>
  <si>
    <t>Sample2</t>
  </si>
  <si>
    <t>Sample3</t>
  </si>
  <si>
    <t>My Small Study</t>
  </si>
  <si>
    <t>Effect of root exudates on soil micriobial communities</t>
  </si>
  <si>
    <t>Earth Microbiome</t>
  </si>
  <si>
    <t>illumina</t>
  </si>
  <si>
    <t>V4F: AGTC…</t>
  </si>
  <si>
    <t>myFile</t>
  </si>
  <si>
    <t>fastq</t>
  </si>
  <si>
    <t>National Soil Health Assessment</t>
  </si>
  <si>
    <t>Samples from Soil Health Institute Soil Survey</t>
  </si>
  <si>
    <t>Custom2</t>
  </si>
  <si>
    <t>nameOfFile</t>
  </si>
  <si>
    <t>fna/qual</t>
  </si>
  <si>
    <t>&lt;drop down&gt;</t>
  </si>
  <si>
    <t>NCBI taxon id</t>
  </si>
  <si>
    <t>copies / g soil DW</t>
  </si>
  <si>
    <t>Standard</t>
  </si>
  <si>
    <t>DNA type</t>
  </si>
  <si>
    <t>Quantitation Type</t>
  </si>
  <si>
    <t>Gene Target</t>
  </si>
  <si>
    <t>Specificity</t>
  </si>
  <si>
    <t>Value</t>
  </si>
  <si>
    <t>P. putida KT2440</t>
  </si>
  <si>
    <t>genomic DNA</t>
  </si>
  <si>
    <t>Absolute</t>
  </si>
  <si>
    <t>16S</t>
  </si>
  <si>
    <t>Universal</t>
  </si>
  <si>
    <t>27F</t>
  </si>
  <si>
    <t>AGAGTTT…</t>
  </si>
  <si>
    <t>388R</t>
  </si>
  <si>
    <t>plasmid DNA</t>
  </si>
  <si>
    <t>Relative</t>
  </si>
  <si>
    <t>nifH</t>
  </si>
  <si>
    <t>Unknown</t>
  </si>
  <si>
    <t>nifH-f</t>
  </si>
  <si>
    <t>nifH-r</t>
  </si>
  <si>
    <t>mRNA</t>
  </si>
  <si>
    <t>nosZ</t>
  </si>
  <si>
    <t>A1F</t>
  </si>
  <si>
    <t>A2R</t>
  </si>
  <si>
    <t>tRNA</t>
  </si>
  <si>
    <t>this column may not be needed 5/3/2017</t>
  </si>
  <si>
    <t>Management data: Animals</t>
  </si>
  <si>
    <t>Measurements Table:AgAR Sample</t>
  </si>
  <si>
    <t>log 10 g/dw</t>
  </si>
  <si>
    <t>mg/(m2 h)</t>
  </si>
  <si>
    <t>g/(m2 h)</t>
  </si>
  <si>
    <t>log CFU/g</t>
  </si>
  <si>
    <t>Total N g/kg</t>
  </si>
  <si>
    <t>Total P g/kg</t>
  </si>
  <si>
    <t>Total K g/kg</t>
  </si>
  <si>
    <t>Total C g/kg</t>
  </si>
  <si>
    <t>Total Cu g/kg</t>
  </si>
  <si>
    <t>Total Fe g/kg</t>
  </si>
  <si>
    <t>Total Mn g/kg</t>
  </si>
  <si>
    <t>Total Zng/kg</t>
  </si>
  <si>
    <t>Total Ca g/kg</t>
  </si>
  <si>
    <t>Total Mg g/kg</t>
  </si>
  <si>
    <t>Total Na g/kg</t>
  </si>
  <si>
    <t>Gram +</t>
  </si>
  <si>
    <t>Gram -</t>
  </si>
  <si>
    <t>C. perfringes</t>
  </si>
  <si>
    <t>Salmonella</t>
  </si>
  <si>
    <t>Listeria</t>
  </si>
  <si>
    <t>Escherichia coli</t>
  </si>
  <si>
    <t>NH3</t>
  </si>
  <si>
    <t>N2O</t>
  </si>
  <si>
    <t>CO2</t>
  </si>
  <si>
    <t>CH4</t>
  </si>
  <si>
    <t>Total Coliforms</t>
  </si>
  <si>
    <t>Enterococcus</t>
  </si>
  <si>
    <t>R2A</t>
  </si>
  <si>
    <t>CR2A</t>
  </si>
  <si>
    <t>TR2A</t>
  </si>
  <si>
    <t>Measurements Table: Antibiotic Resistance Genes</t>
  </si>
  <si>
    <t>1=target present</t>
  </si>
  <si>
    <t>0=target absent</t>
  </si>
  <si>
    <t>Antibiotic Resistance Genes</t>
  </si>
  <si>
    <t>Sample Type</t>
  </si>
  <si>
    <t>Sample Details</t>
  </si>
  <si>
    <t>Target</t>
  </si>
  <si>
    <t>Presence or Absence of Target</t>
  </si>
  <si>
    <t>Calculation Table: Crop Efficiency</t>
  </si>
  <si>
    <t>Jorge--it would be helpful to define F and C. Also do I have the variable names right in row 8?</t>
  </si>
  <si>
    <t>Report total aboveground N uptake = (Harvested Grain N + Harvested Residue N )</t>
  </si>
  <si>
    <t>Nitrogen use efficiency  = (Nutrient uptake F, kg - Nutrient uptake C, kg)/ (Quantity of nutrient applied, kg) * 100</t>
  </si>
  <si>
    <r>
      <t>Agronomic efficiency</t>
    </r>
    <r>
      <rPr>
        <vertAlign val="subscript"/>
        <sz val="12"/>
        <color theme="1"/>
        <rFont val="Times New Roman"/>
        <family val="1"/>
      </rPr>
      <t xml:space="preserve">Nitrogen </t>
    </r>
    <r>
      <rPr>
        <sz val="12"/>
        <color theme="1"/>
        <rFont val="Times New Roman"/>
        <family val="1"/>
      </rPr>
      <t>= (Yield F, kg - Yield C, kg)/ (Quantity of nutrient applied, kg)</t>
    </r>
  </si>
  <si>
    <r>
      <t>Nutrient efficiency ratio</t>
    </r>
    <r>
      <rPr>
        <vertAlign val="subscript"/>
        <sz val="12"/>
        <color theme="1"/>
        <rFont val="Times New Roman"/>
        <family val="1"/>
      </rPr>
      <t>Nitrogen</t>
    </r>
    <r>
      <rPr>
        <sz val="12"/>
        <color theme="1"/>
        <rFont val="Times New Roman"/>
        <family val="1"/>
      </rPr>
      <t xml:space="preserve">  = (Units of Yield, kg )/ (Units of element in tissue (Nitrogen), kg)</t>
    </r>
  </si>
  <si>
    <t>15N Report total aboveground N uptake = For this example (Harvested Grain N + Harvested Residue N )</t>
  </si>
  <si>
    <t>kg/kg</t>
  </si>
  <si>
    <t>131W</t>
  </si>
  <si>
    <t>CCN2A</t>
  </si>
  <si>
    <t>213E</t>
  </si>
  <si>
    <t>333E</t>
  </si>
  <si>
    <t>131E</t>
  </si>
  <si>
    <t>CCN2N</t>
  </si>
  <si>
    <t>213W</t>
  </si>
  <si>
    <t>333W</t>
  </si>
  <si>
    <t>132W</t>
  </si>
  <si>
    <t>CCN3A</t>
  </si>
  <si>
    <t>212W</t>
  </si>
  <si>
    <t>332E</t>
  </si>
  <si>
    <t>132E</t>
  </si>
  <si>
    <t>CCN3N</t>
  </si>
  <si>
    <t>212E</t>
  </si>
  <si>
    <t>332W</t>
  </si>
  <si>
    <t>133W</t>
  </si>
  <si>
    <t>CCN4A</t>
  </si>
  <si>
    <t>211E</t>
  </si>
  <si>
    <t>331E</t>
  </si>
  <si>
    <t>Weight of amendment. This should be greater than the sum of H through J.</t>
  </si>
  <si>
    <t>Weight of S</t>
  </si>
  <si>
    <t>Weight of Ca</t>
  </si>
  <si>
    <t>Weight of Mg</t>
  </si>
  <si>
    <t>Weight of Cu</t>
  </si>
  <si>
    <t>Weight of Fe</t>
  </si>
  <si>
    <t>Weight of Mn</t>
  </si>
  <si>
    <t>Weight of Zn</t>
  </si>
  <si>
    <t>Weight of B</t>
  </si>
  <si>
    <t>Weight of Mo</t>
  </si>
  <si>
    <t>not as K2O</t>
  </si>
  <si>
    <t>kg S/ha</t>
  </si>
  <si>
    <t>kg Ca/ha</t>
  </si>
  <si>
    <t>kg Mg/ha</t>
  </si>
  <si>
    <t>g Cu/ha</t>
  </si>
  <si>
    <t>g Fe/ha</t>
  </si>
  <si>
    <t>g Mn/ha</t>
  </si>
  <si>
    <t>g Zn/ha</t>
  </si>
  <si>
    <t>g B/ha</t>
  </si>
  <si>
    <t>g Mo/ha</t>
  </si>
  <si>
    <t>mg NO3-N/L ?</t>
  </si>
  <si>
    <t>kg Cl/ha</t>
  </si>
  <si>
    <t>kg SO4-S/ha</t>
  </si>
  <si>
    <t>kg HCO3/ha</t>
  </si>
  <si>
    <t>kg Na/ha</t>
  </si>
  <si>
    <t>K=K2O*0.8302</t>
  </si>
  <si>
    <t>133E</t>
  </si>
  <si>
    <t>CCN4N</t>
  </si>
  <si>
    <t>211W</t>
  </si>
  <si>
    <t>Vetch cover crop</t>
  </si>
  <si>
    <t>331W</t>
  </si>
  <si>
    <t>Dairy manure stockpiles 1</t>
  </si>
  <si>
    <t>Dairy manure stockpiles 2</t>
  </si>
  <si>
    <t>Industry poultry houses ?</t>
  </si>
  <si>
    <t>mg Na/kg soil</t>
  </si>
  <si>
    <t>mg Se/kg soil</t>
  </si>
  <si>
    <t>mg Al/kg soil</t>
  </si>
  <si>
    <t>mg SO4-S/kg soil</t>
  </si>
  <si>
    <t>mg Mo/kg soil</t>
  </si>
  <si>
    <t>mg B/kg soil</t>
  </si>
  <si>
    <t>Fe mg/kg soil</t>
  </si>
  <si>
    <t>Mn mg/kg soil</t>
  </si>
  <si>
    <t>Zn mg/kg soil</t>
  </si>
  <si>
    <t>Measurements Table: Nutrient On-Site Monitoring</t>
  </si>
  <si>
    <t>This page is to describe the crop monitoring</t>
  </si>
  <si>
    <t>On-site Monitoring</t>
  </si>
  <si>
    <t>Crop Monitoring Test</t>
  </si>
  <si>
    <t xml:space="preserve">Leaf chlorophyll meter - LCM </t>
  </si>
  <si>
    <t>N Reflectance Index -NRI</t>
  </si>
  <si>
    <t>Normalized Difference Vegetation Index - NDVI</t>
  </si>
  <si>
    <t>N Sufficiency Index - NSI</t>
  </si>
  <si>
    <t>Leaf Area Index - LAI</t>
  </si>
  <si>
    <t>Modified Chlorophyll Absorptance Reflectance Index - MCARI</t>
  </si>
  <si>
    <t>Green Normalized Difference Vegetation Index - GNDVI</t>
  </si>
  <si>
    <t>Measurements Table: Yield Nutrient Uptake</t>
  </si>
  <si>
    <t>This page is to describe the nutrients in samples.</t>
  </si>
  <si>
    <t>observed or simulated</t>
  </si>
  <si>
    <t>method or model</t>
  </si>
  <si>
    <t>observed</t>
  </si>
  <si>
    <t>131W0</t>
  </si>
  <si>
    <t>CCN1A</t>
  </si>
  <si>
    <t>213E0</t>
  </si>
  <si>
    <t>333E0</t>
  </si>
  <si>
    <t>131E0</t>
  </si>
  <si>
    <t>CCN1N</t>
  </si>
  <si>
    <t>213W0</t>
  </si>
  <si>
    <t>333W0</t>
  </si>
  <si>
    <t>Measurement Table: Crop Forage Quality</t>
  </si>
  <si>
    <t>Crop Quality</t>
  </si>
  <si>
    <t>Unit</t>
  </si>
  <si>
    <t>chemical compound</t>
  </si>
  <si>
    <t>Glucose (dextrose)</t>
  </si>
  <si>
    <t>Fructose</t>
  </si>
  <si>
    <t>ppm</t>
  </si>
  <si>
    <t>Sodium</t>
  </si>
  <si>
    <t>Selenium</t>
  </si>
  <si>
    <t>Arsenic As</t>
  </si>
  <si>
    <t>Aluminum Al</t>
  </si>
  <si>
    <t>Vitamin A</t>
  </si>
  <si>
    <t>Vitamin C</t>
  </si>
  <si>
    <t xml:space="preserve">Acid_Insoluble_Lignin </t>
  </si>
  <si>
    <t>Protein</t>
  </si>
  <si>
    <t>Total lipid (fat)</t>
  </si>
  <si>
    <t>Carbohydrate, by difference</t>
  </si>
  <si>
    <t>Energy</t>
  </si>
  <si>
    <t>Starch</t>
  </si>
  <si>
    <t>Sucrose</t>
  </si>
  <si>
    <t>Carotene, beta</t>
  </si>
  <si>
    <t>Carotene, alpha</t>
  </si>
  <si>
    <t>Tocopherol, beta</t>
  </si>
  <si>
    <t>Tocopherol, gamma</t>
  </si>
  <si>
    <t>Tocopherol, delta</t>
  </si>
  <si>
    <t>Tocotrienol, alpha</t>
  </si>
  <si>
    <t>Tocotrienol, beta</t>
  </si>
  <si>
    <t>Tocotrienol, gamma</t>
  </si>
  <si>
    <t>Thiamine</t>
  </si>
  <si>
    <t>Riboflavin</t>
  </si>
  <si>
    <t>Niacin</t>
  </si>
  <si>
    <t>Tryptophan</t>
  </si>
  <si>
    <t>Folic acid</t>
  </si>
  <si>
    <t>ascorbic acid</t>
  </si>
  <si>
    <t>palmitic acid</t>
  </si>
  <si>
    <t>stearic</t>
  </si>
  <si>
    <t>palmitic</t>
  </si>
  <si>
    <t>oleic</t>
  </si>
  <si>
    <t>linoleic</t>
  </si>
  <si>
    <t>Isoleucine</t>
  </si>
  <si>
    <t>Leucine</t>
  </si>
  <si>
    <t>Threonine</t>
  </si>
  <si>
    <t>Measurement Table: Nutrient Cycling</t>
  </si>
  <si>
    <t>Report the mass of non grain biomass that was removed from the field</t>
  </si>
  <si>
    <t>Measurement Table: Gas Leaching, Nutrient Loss</t>
  </si>
  <si>
    <t>This page is to describe for each experimental offsite unit (Soil and nutrient losses/deposition).</t>
  </si>
  <si>
    <t>kg N2O-N/ha</t>
  </si>
  <si>
    <t>kg N2-N/ha</t>
  </si>
  <si>
    <t>kg NOx-N/ha</t>
  </si>
  <si>
    <t>kg NH3-N/ha</t>
  </si>
  <si>
    <t>Leaching</t>
  </si>
  <si>
    <t>Denitrification</t>
  </si>
  <si>
    <t>GHG</t>
  </si>
  <si>
    <t>Ammonia volatilization</t>
  </si>
  <si>
    <t>?????</t>
  </si>
  <si>
    <t>Depth</t>
  </si>
  <si>
    <t>soluble C kg/ha ?</t>
  </si>
  <si>
    <t>soluble N kg/ha ?</t>
  </si>
  <si>
    <t>kg NO3-N/ha</t>
  </si>
  <si>
    <t>water mm/d</t>
  </si>
  <si>
    <t>????</t>
  </si>
  <si>
    <t>surface</t>
  </si>
  <si>
    <t>incorporated</t>
  </si>
  <si>
    <t>no buffer</t>
  </si>
  <si>
    <t>buffer</t>
  </si>
  <si>
    <t>industry poultry houses ?</t>
  </si>
  <si>
    <t>Manure  stockpile ?</t>
  </si>
  <si>
    <t>Measurement Table:  Water Erosion Nutrient Transport</t>
  </si>
  <si>
    <t>losses or deposition</t>
  </si>
  <si>
    <t>Cesium-137</t>
  </si>
  <si>
    <t>lead-210</t>
  </si>
  <si>
    <t>beryllium-7</t>
  </si>
  <si>
    <t>erosion kg (sediment) /ha</t>
  </si>
  <si>
    <t>soil organic matter kg/ha</t>
  </si>
  <si>
    <t>soil organic carbon kg C/ha</t>
  </si>
  <si>
    <t>kg total N /ha</t>
  </si>
  <si>
    <t>kg NH4-N/ha</t>
  </si>
  <si>
    <t>kg DP/ha</t>
  </si>
  <si>
    <t>mBq/g</t>
  </si>
  <si>
    <t>Surface runoff</t>
  </si>
  <si>
    <t>SWAT</t>
  </si>
  <si>
    <t>RUSLE</t>
  </si>
  <si>
    <t>Measurement Table: Nutrient Transport by Wind Erosion</t>
  </si>
  <si>
    <t>Wind  erosion</t>
  </si>
  <si>
    <t>???</t>
  </si>
  <si>
    <t>erosion kg (sediment)/ha</t>
  </si>
  <si>
    <t>kg total N/ha</t>
  </si>
  <si>
    <t>Models ???</t>
  </si>
  <si>
    <t xml:space="preserve">  -----------------------------------------------Nutrient Cycling-------------------------------------------------------------</t>
  </si>
  <si>
    <t>If entry to left is a mean enter the standard deviations, if not, leave blank</t>
  </si>
  <si>
    <t>* follow same pattern if all values are entered as a mean value</t>
  </si>
  <si>
    <t>forage quality metrics</t>
  </si>
  <si>
    <t>kg K/ha/yr</t>
  </si>
  <si>
    <t>kg S/ha/yr</t>
  </si>
  <si>
    <t>kg P/ha/yr</t>
  </si>
  <si>
    <t>Stocking Rates</t>
  </si>
  <si>
    <t>CYCLE OR ROTATION LENGTH</t>
  </si>
  <si>
    <t>g/kh</t>
  </si>
  <si>
    <t>g/L</t>
  </si>
  <si>
    <t>Total N concentration dung</t>
  </si>
  <si>
    <t>Total N available in dung</t>
  </si>
  <si>
    <t>Total N concentration urine</t>
  </si>
  <si>
    <t>Total N available in urine</t>
  </si>
  <si>
    <t>Arsenic As (ppm)</t>
  </si>
  <si>
    <t>Selenium Se (ppm)</t>
  </si>
  <si>
    <t>Aluminum Al (ppm)</t>
  </si>
  <si>
    <t>Sodium Na (ppm)</t>
  </si>
  <si>
    <t>Crop Monitoring</t>
  </si>
  <si>
    <t>NUO</t>
  </si>
  <si>
    <t>Sample_Type</t>
  </si>
  <si>
    <t>Project_Type</t>
  </si>
  <si>
    <t>Sequencing_Method</t>
  </si>
  <si>
    <t>Sequencing_Platform</t>
  </si>
  <si>
    <t>Gene_Sequenced</t>
  </si>
  <si>
    <t>Gene_Region</t>
  </si>
  <si>
    <t>For_Primer</t>
  </si>
  <si>
    <t>Rev_Primer</t>
  </si>
  <si>
    <t>Env_Biome</t>
  </si>
  <si>
    <t>Env_Feature</t>
  </si>
  <si>
    <t>Env_Material</t>
  </si>
  <si>
    <t>Zero_One</t>
  </si>
  <si>
    <t>Soil</t>
  </si>
  <si>
    <t>copies/g dry wt.</t>
  </si>
  <si>
    <t>1 10:0</t>
  </si>
  <si>
    <t>air</t>
  </si>
  <si>
    <t>activated carbon metagenome</t>
  </si>
  <si>
    <t>27F: AGAGTTT…</t>
  </si>
  <si>
    <t>388R: XXXXX…</t>
  </si>
  <si>
    <t>badland</t>
  </si>
  <si>
    <t>Water</t>
  </si>
  <si>
    <t>gene copies/g wet wt.</t>
  </si>
  <si>
    <t>ctx-m 32</t>
  </si>
  <si>
    <t>2 11:0 iso</t>
  </si>
  <si>
    <t>human gut</t>
  </si>
  <si>
    <t>Illumina</t>
  </si>
  <si>
    <t>activated sludge metagenome</t>
  </si>
  <si>
    <t>18S rRNA</t>
  </si>
  <si>
    <t>desert</t>
  </si>
  <si>
    <t>beach</t>
  </si>
  <si>
    <t>Manure</t>
  </si>
  <si>
    <t>gene copies/mL</t>
  </si>
  <si>
    <t>erm B</t>
  </si>
  <si>
    <t>3 11:0 anteiso</t>
  </si>
  <si>
    <t>human associated</t>
  </si>
  <si>
    <t>sanger</t>
  </si>
  <si>
    <t>air metagenome</t>
  </si>
  <si>
    <t>forest</t>
  </si>
  <si>
    <t>boulder field</t>
  </si>
  <si>
    <t>clay</t>
  </si>
  <si>
    <t>Feces</t>
  </si>
  <si>
    <r>
      <t>gene copies/m</t>
    </r>
    <r>
      <rPr>
        <vertAlign val="superscript"/>
        <sz val="11"/>
        <color theme="1"/>
        <rFont val="Calibri"/>
        <family val="2"/>
        <scheme val="minor"/>
      </rPr>
      <t>3</t>
    </r>
    <r>
      <rPr>
        <sz val="11"/>
        <color theme="1"/>
        <rFont val="Calibri"/>
        <family val="2"/>
        <scheme val="minor"/>
      </rPr>
      <t xml:space="preserve"> air</t>
    </r>
  </si>
  <si>
    <t>ermB</t>
  </si>
  <si>
    <t>4 11:0</t>
  </si>
  <si>
    <t>microbial</t>
  </si>
  <si>
    <t>anaerobic digester metagenome</t>
  </si>
  <si>
    <t>grasland</t>
  </si>
  <si>
    <t>cave</t>
  </si>
  <si>
    <t>dust</t>
  </si>
  <si>
    <t>Urine</t>
  </si>
  <si>
    <t>intl 1</t>
  </si>
  <si>
    <t>5 10:0 2OH</t>
  </si>
  <si>
    <t>ant fungus garden metagenome</t>
  </si>
  <si>
    <t>mangrove</t>
  </si>
  <si>
    <t>clearing</t>
  </si>
  <si>
    <t>emulsion</t>
  </si>
  <si>
    <t>Wastewater</t>
  </si>
  <si>
    <t>Sul1</t>
  </si>
  <si>
    <t>6 10:0 3OH</t>
  </si>
  <si>
    <t>water</t>
  </si>
  <si>
    <t>aquatic metagenome</t>
  </si>
  <si>
    <t>shrubland</t>
  </si>
  <si>
    <t>depression</t>
  </si>
  <si>
    <t>foam</t>
  </si>
  <si>
    <t>Biosolids</t>
  </si>
  <si>
    <t>Sul2</t>
  </si>
  <si>
    <t>0 Phthalate 1</t>
  </si>
  <si>
    <t>tundra</t>
  </si>
  <si>
    <t>gravel</t>
  </si>
  <si>
    <t>Air</t>
  </si>
  <si>
    <t>TetA</t>
  </si>
  <si>
    <t>7 12:0 iso</t>
  </si>
  <si>
    <t>woodland</t>
  </si>
  <si>
    <t>elevation</t>
  </si>
  <si>
    <t>ice</t>
  </si>
  <si>
    <t>Sediment</t>
  </si>
  <si>
    <t>TetB</t>
  </si>
  <si>
    <t>8 12:0 anteiso</t>
  </si>
  <si>
    <t>beach sand metagenome</t>
  </si>
  <si>
    <t>laval</t>
  </si>
  <si>
    <t>Plant</t>
  </si>
  <si>
    <t>TetC</t>
  </si>
  <si>
    <t>9 12:1 w8c</t>
  </si>
  <si>
    <t>biofilm metagenome</t>
  </si>
  <si>
    <t>V1-3</t>
  </si>
  <si>
    <t>grassland</t>
  </si>
  <si>
    <t>mineral</t>
  </si>
  <si>
    <t>TetD</t>
  </si>
  <si>
    <t>10 12:1 w5c</t>
  </si>
  <si>
    <t>biofilter metagenome</t>
  </si>
  <si>
    <t>V5-6</t>
  </si>
  <si>
    <t>gravel field</t>
  </si>
  <si>
    <t>mud</t>
  </si>
  <si>
    <t>TetE</t>
  </si>
  <si>
    <t>11 12:0</t>
  </si>
  <si>
    <t>biogas fermenter metagenome</t>
  </si>
  <si>
    <t>heath</t>
  </si>
  <si>
    <t>oil</t>
  </si>
  <si>
    <t>TetG</t>
  </si>
  <si>
    <t>0 11:0 iso 3OH</t>
  </si>
  <si>
    <t>bioreactor metagenome</t>
  </si>
  <si>
    <t>outcrop</t>
  </si>
  <si>
    <t>organic</t>
  </si>
  <si>
    <t>TetK</t>
  </si>
  <si>
    <t>12 12:0 DMA</t>
  </si>
  <si>
    <t>bioreactor sludge metagenome</t>
  </si>
  <si>
    <t>rill</t>
  </si>
  <si>
    <t>plant-leaf</t>
  </si>
  <si>
    <t>TetL</t>
  </si>
  <si>
    <t>13 13:0 iso</t>
  </si>
  <si>
    <t>clinical metagenome</t>
  </si>
  <si>
    <t>peak</t>
  </si>
  <si>
    <t>plant-root</t>
  </si>
  <si>
    <t>TetM</t>
  </si>
  <si>
    <t>14 13:0 anteiso</t>
  </si>
  <si>
    <t>coal metagenome</t>
  </si>
  <si>
    <t>peninsula</t>
  </si>
  <si>
    <t>rock</t>
  </si>
  <si>
    <t>TetO</t>
  </si>
  <si>
    <t>15 13:1 w5c</t>
  </si>
  <si>
    <t>compost metagenome</t>
  </si>
  <si>
    <t>plain</t>
  </si>
  <si>
    <t>sand</t>
  </si>
  <si>
    <t>TetP</t>
  </si>
  <si>
    <t>16 13:1 w4c</t>
  </si>
  <si>
    <t>dust metagenome</t>
  </si>
  <si>
    <t>scrubland</t>
  </si>
  <si>
    <t>scree</t>
  </si>
  <si>
    <t>TetQ</t>
  </si>
  <si>
    <t>17 13:1 w3c</t>
  </si>
  <si>
    <t>fermentation metagenome</t>
  </si>
  <si>
    <t>slope</t>
  </si>
  <si>
    <t>scrum</t>
  </si>
  <si>
    <t>TetS</t>
  </si>
  <si>
    <t>18 13:0</t>
  </si>
  <si>
    <t>food fermentation metagenome</t>
  </si>
  <si>
    <t>terrace</t>
  </si>
  <si>
    <t>sediment</t>
  </si>
  <si>
    <t>TetX</t>
  </si>
  <si>
    <t>0 12:0 2OH</t>
  </si>
  <si>
    <t>food metagenome</t>
  </si>
  <si>
    <t>silt</t>
  </si>
  <si>
    <t>19 14:1 iso w7c</t>
  </si>
  <si>
    <t>freshwater metagenome</t>
  </si>
  <si>
    <t>tunnel</t>
  </si>
  <si>
    <t>20 13:0 DMA</t>
  </si>
  <si>
    <t>freshwater sediment metagenome</t>
  </si>
  <si>
    <t>volcanic</t>
  </si>
  <si>
    <t>soil-rhizosphere</t>
  </si>
  <si>
    <t>21 14:0 iso</t>
  </si>
  <si>
    <t>groundwater metagenome</t>
  </si>
  <si>
    <t>watershed</t>
  </si>
  <si>
    <t>vapour</t>
  </si>
  <si>
    <t>22 14:0 anteiso</t>
  </si>
  <si>
    <t>halite metagenome</t>
  </si>
  <si>
    <t>23 14:1 w9c</t>
  </si>
  <si>
    <t>hot springs metagenome</t>
  </si>
  <si>
    <t>24 14:1 w8c</t>
  </si>
  <si>
    <t>hydrocarbon metagenome</t>
  </si>
  <si>
    <t>25 14:1 w7c</t>
  </si>
  <si>
    <t>hydrothermal vent metagenome</t>
  </si>
  <si>
    <t>26 14:1 w5c</t>
  </si>
  <si>
    <t>hypersaline lake metagenome</t>
  </si>
  <si>
    <t>27 15:0 aldehyde</t>
  </si>
  <si>
    <t>ice metagenome</t>
  </si>
  <si>
    <t>28 14:0</t>
  </si>
  <si>
    <t>indoor metagenome</t>
  </si>
  <si>
    <t>0 14:0 iso 3OH</t>
  </si>
  <si>
    <t>industrial waste metagenome</t>
  </si>
  <si>
    <t>29 14:1 w7c DMA</t>
  </si>
  <si>
    <t>mangrove metagenome</t>
  </si>
  <si>
    <t>30 15:1 iso w9c</t>
  </si>
  <si>
    <t>marine metagenome</t>
  </si>
  <si>
    <t>31 15:1 iso w6c</t>
  </si>
  <si>
    <t>marine sediment metagenome</t>
  </si>
  <si>
    <t>32 14:0 DMA</t>
  </si>
  <si>
    <t>microbial mat metagenome</t>
  </si>
  <si>
    <t>33 15:4 w3c</t>
  </si>
  <si>
    <t>mine drainage metagenome</t>
  </si>
  <si>
    <t>34 15:1 anteiso w9c</t>
  </si>
  <si>
    <t>mixed culture metagenome</t>
  </si>
  <si>
    <t>35 15:0 iso</t>
  </si>
  <si>
    <t>oil production facility metagenome</t>
  </si>
  <si>
    <t>36 15:3 w3c</t>
  </si>
  <si>
    <t>paper pulp metagenome</t>
  </si>
  <si>
    <t>37 15:0 anteiso</t>
  </si>
  <si>
    <t>permafrost metagenome</t>
  </si>
  <si>
    <t>38 15:1 w9c</t>
  </si>
  <si>
    <t>plastisphere metagenome</t>
  </si>
  <si>
    <t>39 15:1 w8c</t>
  </si>
  <si>
    <t>power plant metagenome</t>
  </si>
  <si>
    <t>40 15:1 w7c</t>
  </si>
  <si>
    <t>retting rhizosphere metagenome</t>
  </si>
  <si>
    <t>41 15:1 w6c</t>
  </si>
  <si>
    <t>rock metagenome</t>
  </si>
  <si>
    <t>42 15:1 w5c</t>
  </si>
  <si>
    <t>salt lake metagenome</t>
  </si>
  <si>
    <t>43 16:1 w9c aldehyde</t>
  </si>
  <si>
    <t>saltern metagenome</t>
  </si>
  <si>
    <t>44 16:0 aldehyde</t>
  </si>
  <si>
    <t>sediment metagenome</t>
  </si>
  <si>
    <t>45 15:0</t>
  </si>
  <si>
    <t>snow metagenome</t>
  </si>
  <si>
    <t>46 15:0 iso DMA</t>
  </si>
  <si>
    <t>0 14:0 2OH</t>
  </si>
  <si>
    <t>stromatolite metagenome</t>
  </si>
  <si>
    <t>47 16:1 w7c alcohol</t>
  </si>
  <si>
    <t>terrestrial metagenome</t>
  </si>
  <si>
    <t>48 15:0 DMA</t>
  </si>
  <si>
    <t>tomb wall metagenome</t>
  </si>
  <si>
    <t>49 16:4 w3c</t>
  </si>
  <si>
    <t>wastewater metagenome</t>
  </si>
  <si>
    <t>50 16:0 N alcohol</t>
  </si>
  <si>
    <t>wetland metagenome</t>
  </si>
  <si>
    <t>51 16:3 w6c</t>
  </si>
  <si>
    <t>whale fall metagenome</t>
  </si>
  <si>
    <t>52 16:0 iso</t>
  </si>
  <si>
    <t>algae metagenome</t>
  </si>
  <si>
    <t>53 16:0 anteiso</t>
  </si>
  <si>
    <t>ant metagenome</t>
  </si>
  <si>
    <t>54 16:1 w9c</t>
  </si>
  <si>
    <t>bat metagenome</t>
  </si>
  <si>
    <t>55 16:1 w8c</t>
  </si>
  <si>
    <t>beetle metagenome</t>
  </si>
  <si>
    <t>56 16:1 w7c</t>
  </si>
  <si>
    <t>bovine gut metagenome</t>
  </si>
  <si>
    <t>57 16:1 w6c</t>
  </si>
  <si>
    <t>bovine metagenome</t>
  </si>
  <si>
    <t>58 16:1 w5c</t>
  </si>
  <si>
    <t>chicken gut metagenome</t>
  </si>
  <si>
    <t>59 16:1 w4c</t>
  </si>
  <si>
    <t>coral metagenome</t>
  </si>
  <si>
    <t>60 16:1 w3c</t>
  </si>
  <si>
    <t>echinoderm metagenome</t>
  </si>
  <si>
    <t>61 16:0</t>
  </si>
  <si>
    <t>endophyte metagenome</t>
  </si>
  <si>
    <t>62 16:2 DMA</t>
  </si>
  <si>
    <t>epibiont metagenome</t>
  </si>
  <si>
    <t>63 16:1 w9c DMA</t>
  </si>
  <si>
    <t>fish metagenome</t>
  </si>
  <si>
    <t>64 16:1 w7c DMA</t>
  </si>
  <si>
    <t>fossil metagenome</t>
  </si>
  <si>
    <t>65 16:1 w5c DMA</t>
  </si>
  <si>
    <t>gill metagenome</t>
  </si>
  <si>
    <t>66 17:1 iso w10c</t>
  </si>
  <si>
    <t>gut metagenome</t>
  </si>
  <si>
    <t>67 16:0 10-methyl</t>
  </si>
  <si>
    <t>honeybee metagenome</t>
  </si>
  <si>
    <t>68 16:0 DMA</t>
  </si>
  <si>
    <t>human gut metagenome</t>
  </si>
  <si>
    <t>69 17:1 iso w9c</t>
  </si>
  <si>
    <t>human lung metagenome</t>
  </si>
  <si>
    <t>70 17:1 anteiso w9c</t>
  </si>
  <si>
    <t>human metagenome</t>
  </si>
  <si>
    <t>71 17:1 anteiso w7c</t>
  </si>
  <si>
    <t>human nasal/pharyngeal metagenome</t>
  </si>
  <si>
    <t>72 17:0 iso</t>
  </si>
  <si>
    <t>human oral metagenome</t>
  </si>
  <si>
    <t>73 17:0 anteiso</t>
  </si>
  <si>
    <t>human skin metagenome</t>
  </si>
  <si>
    <t>74 17:1 w9c</t>
  </si>
  <si>
    <t>insect gut metagenome</t>
  </si>
  <si>
    <t>75 17:1 w8c</t>
  </si>
  <si>
    <t>insect metagenome</t>
  </si>
  <si>
    <t>76 17:1 w7c</t>
  </si>
  <si>
    <t>mollusc metagenome</t>
  </si>
  <si>
    <t>77 17:1 w6c</t>
  </si>
  <si>
    <t>mosquito metagenome</t>
  </si>
  <si>
    <t>78 17:0 cyclo w7c</t>
  </si>
  <si>
    <t>mouse gut metagenome</t>
  </si>
  <si>
    <t>79 17:1 w5c</t>
  </si>
  <si>
    <t>mouse metagenome</t>
  </si>
  <si>
    <t>80 17:1 w4c</t>
  </si>
  <si>
    <t>mouse skin metagenome</t>
  </si>
  <si>
    <t>81 17:1 w3c</t>
  </si>
  <si>
    <t>nematode metagenome</t>
  </si>
  <si>
    <t>82 17:0</t>
  </si>
  <si>
    <t>oral metagenome</t>
  </si>
  <si>
    <t>83 17:1 w7c 10-methyl</t>
  </si>
  <si>
    <t>phyllosphere metagenome</t>
  </si>
  <si>
    <t>84 16:0 2OH</t>
  </si>
  <si>
    <t>pig metagenome</t>
  </si>
  <si>
    <t>85 17:0 10-methyl</t>
  </si>
  <si>
    <t>plant metagenome</t>
  </si>
  <si>
    <t>86 17:0 DMA</t>
  </si>
  <si>
    <t>primate metagenome</t>
  </si>
  <si>
    <t>87 18:3 w6c</t>
  </si>
  <si>
    <t>rat metagenome</t>
  </si>
  <si>
    <t>88 18:0 iso</t>
  </si>
  <si>
    <t>root metagenome</t>
  </si>
  <si>
    <t>89 18:4 w3c</t>
  </si>
  <si>
    <t>sea squirt metagenome</t>
  </si>
  <si>
    <t>90 18:2 w6c</t>
  </si>
  <si>
    <t>seed metagenome</t>
  </si>
  <si>
    <t>91 18:1 w9c</t>
  </si>
  <si>
    <t>shoot metagenome</t>
  </si>
  <si>
    <t>92 18:1 w8c</t>
  </si>
  <si>
    <t>skin metagenome</t>
  </si>
  <si>
    <t>93 18:1 w7c</t>
  </si>
  <si>
    <t>snake metagenome</t>
  </si>
  <si>
    <t>94 18:1 w6c</t>
  </si>
  <si>
    <t>sponge metagenome</t>
  </si>
  <si>
    <t>95 18:1 w5c</t>
  </si>
  <si>
    <t>stomach metagenome</t>
  </si>
  <si>
    <t>96 18:1 w3c</t>
  </si>
  <si>
    <t>symbiont metagenome</t>
  </si>
  <si>
    <t>97 18:0 cyclo w6c</t>
  </si>
  <si>
    <t>termite gut metagenome</t>
  </si>
  <si>
    <t>98 18:0</t>
  </si>
  <si>
    <t>termite metagenome</t>
  </si>
  <si>
    <t>99 18:1 w7c 10-methyl</t>
  </si>
  <si>
    <t>upper respiratory tract metagenome</t>
  </si>
  <si>
    <t>100 17:0 iso 3OH</t>
  </si>
  <si>
    <t>urine metagenome</t>
  </si>
  <si>
    <t>101 18:2 DMA</t>
  </si>
  <si>
    <t>viral metagenome</t>
  </si>
  <si>
    <t>102 18:1 w9c DMA</t>
  </si>
  <si>
    <t>wallaby gut metagenome</t>
  </si>
  <si>
    <t>103 18:1 w7c DMA</t>
  </si>
  <si>
    <t>wasp metagenome</t>
  </si>
  <si>
    <t>104 18:1 w5c DMA</t>
  </si>
  <si>
    <t>synthetic metagenome</t>
  </si>
  <si>
    <t>105 18:0 10-methyl</t>
  </si>
  <si>
    <t>metagenome</t>
  </si>
  <si>
    <t>106 18:0 DMA</t>
  </si>
  <si>
    <t>107 19:4 w6c</t>
  </si>
  <si>
    <t>108 19:3 w6c</t>
  </si>
  <si>
    <t>109 19:0 iso</t>
  </si>
  <si>
    <t>110 19:3 w3c</t>
  </si>
  <si>
    <t>111 19:0 anteiso</t>
  </si>
  <si>
    <t>112 19:1 w9c</t>
  </si>
  <si>
    <t>113 19:1 w8c</t>
  </si>
  <si>
    <t>114 19:1 w7c</t>
  </si>
  <si>
    <t>115 19:1 w6c</t>
  </si>
  <si>
    <t>116 19:0 cyclo w9c</t>
  </si>
  <si>
    <t>117 19:0 cyclo w7c</t>
  </si>
  <si>
    <t>118 19:0 cyclo w6c</t>
  </si>
  <si>
    <t>0 19:0</t>
  </si>
  <si>
    <t>119 19:1 w7c 10-methyl</t>
  </si>
  <si>
    <t>120 19:0 cyclo 9,10 DMA</t>
  </si>
  <si>
    <t>121 20:4 w6c</t>
  </si>
  <si>
    <t>122 20:5 w3c</t>
  </si>
  <si>
    <t>123 20:3 w6c</t>
  </si>
  <si>
    <t>124 20:0 iso</t>
  </si>
  <si>
    <t>125 20:2 w6c</t>
  </si>
  <si>
    <t>126 20:1 w9c</t>
  </si>
  <si>
    <t>127 20:1 w8c</t>
  </si>
  <si>
    <t>128 20:1 w6c</t>
  </si>
  <si>
    <t>129 20:1 w4c</t>
  </si>
  <si>
    <t>130 20:0 cyclo w6c</t>
  </si>
  <si>
    <t>131 20:0</t>
  </si>
  <si>
    <t>132 20:0 10-methyl</t>
  </si>
  <si>
    <t>133 21:3 w6c</t>
  </si>
  <si>
    <t>134 21:3 w3c</t>
  </si>
  <si>
    <t>135 21:1 w9c</t>
  </si>
  <si>
    <t>136 21:1 w8c</t>
  </si>
  <si>
    <t>137 21:1 w6c</t>
  </si>
  <si>
    <t>138 21:1 w5c</t>
  </si>
  <si>
    <t>139 21:1 w4c</t>
  </si>
  <si>
    <t>140 21:1 w3c</t>
  </si>
  <si>
    <t>141 21:0</t>
  </si>
  <si>
    <t>142 22:5 w6c</t>
  </si>
  <si>
    <t>143 22:6 w3c</t>
  </si>
  <si>
    <t>144 22:4 w6c</t>
  </si>
  <si>
    <t>145 22:5 w3c</t>
  </si>
  <si>
    <t>146 22:0 iso</t>
  </si>
  <si>
    <t>147 22:2 w6c</t>
  </si>
  <si>
    <t>148 22:1 w9c</t>
  </si>
  <si>
    <t>149 22:1 w8c</t>
  </si>
  <si>
    <t>150 22:1 w6c</t>
  </si>
  <si>
    <t>151 22:1 w5c</t>
  </si>
  <si>
    <t>152 22:1 w3c</t>
  </si>
  <si>
    <t>153 22:0 cyclo w6c</t>
  </si>
  <si>
    <t>154 22:0</t>
  </si>
  <si>
    <t>0 Phthalate 2</t>
  </si>
  <si>
    <t>155 22:0 10-methyl</t>
  </si>
  <si>
    <t>156 23:4 w6c</t>
  </si>
  <si>
    <t>157 23:3 w6c</t>
  </si>
  <si>
    <t>158 23:3 w3c</t>
  </si>
  <si>
    <t>159 23:1 w5c</t>
  </si>
  <si>
    <t>160 23:1 w4c</t>
  </si>
  <si>
    <t>161 23:0</t>
  </si>
  <si>
    <t>162 24:4 w6c</t>
  </si>
  <si>
    <t>163 24:3 w6c</t>
  </si>
  <si>
    <t>164 24:3 w3c</t>
  </si>
  <si>
    <t>165 24:1 w9c</t>
  </si>
  <si>
    <t>166 24:1 w7c</t>
  </si>
  <si>
    <t>167 24:1 w3c</t>
  </si>
  <si>
    <t>168 24:0</t>
  </si>
  <si>
    <t>Please enter methods for all your measurements on the Methods page - replacing ResidueMgmt Tab.</t>
  </si>
  <si>
    <t>please put pre-sidedress soil NO3 test--PSNT in MeasSoilChem</t>
  </si>
  <si>
    <t>simulated</t>
  </si>
  <si>
    <t>Model if simulated</t>
  </si>
  <si>
    <t>IceCream</t>
  </si>
  <si>
    <t>Veggie</t>
  </si>
  <si>
    <t>RUSLE2</t>
  </si>
  <si>
    <t>NEEDS MORE WORK</t>
  </si>
  <si>
    <t xml:space="preserve">This page is to describe for each experimental unit, nutrients harvested and remaining on the field after harvest </t>
  </si>
  <si>
    <t>Tile</t>
  </si>
  <si>
    <t>per day</t>
  </si>
  <si>
    <t>animal consumption</t>
  </si>
  <si>
    <t>S/m</t>
  </si>
  <si>
    <t>PCR</t>
  </si>
  <si>
    <t>qPCR</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</si>
  <si>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</si>
  <si>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</si>
  <si>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</si>
  <si>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</si>
  <si>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</si>
  <si>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</si>
  <si>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</si>
  <si>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</si>
  <si>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</si>
  <si>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</si>
  <si>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</si>
  <si>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</si>
  <si>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</si>
  <si>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</si>
  <si>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</si>
  <si>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</si>
  <si>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</si>
  <si>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</si>
  <si>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</si>
  <si>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</si>
  <si>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</si>
  <si>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</si>
  <si>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</si>
  <si>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</si>
  <si>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</si>
  <si>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</si>
  <si>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</si>
  <si>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AboveGroundN kgN/ha</t>
  </si>
  <si>
    <t>Nitrogen Use Efficiency %</t>
  </si>
  <si>
    <t>Agronomic Efficiency kg/kg</t>
  </si>
  <si>
    <t>Nutrient efficiency ratioNitrogen kg/kg</t>
  </si>
  <si>
    <t>Nitrogen15 Use Efficiency kgN/ha</t>
  </si>
  <si>
    <t>Exp UnitID</t>
  </si>
  <si>
    <t>Amend Depth</t>
  </si>
  <si>
    <t>Total Amend Amount</t>
  </si>
  <si>
    <t>Total N Amount</t>
  </si>
  <si>
    <t>Total P Amount</t>
  </si>
  <si>
    <t>Total K Amount</t>
  </si>
  <si>
    <t>Total S Amount</t>
  </si>
  <si>
    <t>Total Ca Amount</t>
  </si>
  <si>
    <t>Total Mg Amount</t>
  </si>
  <si>
    <t>Total Cu Amount</t>
  </si>
  <si>
    <t>Total Fe Amount</t>
  </si>
  <si>
    <t>Total Mn Amount</t>
  </si>
  <si>
    <t>Total Zn Amount</t>
  </si>
  <si>
    <t>Total B Amount</t>
  </si>
  <si>
    <t>Total Mo Amount</t>
  </si>
  <si>
    <t>Total Pest Amount</t>
  </si>
  <si>
    <t>Irrigation Amount</t>
  </si>
  <si>
    <t>Irrigation N</t>
  </si>
  <si>
    <t>Irrigation Cl</t>
  </si>
  <si>
    <t>Irrigation SO4</t>
  </si>
  <si>
    <t>Irrigation HCO3</t>
  </si>
  <si>
    <t>Irrigation Ca</t>
  </si>
  <si>
    <t>Irrigation Mg</t>
  </si>
  <si>
    <t>Irrigation Na</t>
  </si>
  <si>
    <t>Planting Rate #seeds/ha</t>
  </si>
  <si>
    <t>Planting Density kg/ha</t>
  </si>
  <si>
    <t>Planting Depth cm</t>
  </si>
  <si>
    <t>Row Width cm</t>
  </si>
  <si>
    <t>Tillage Event Depth cm</t>
  </si>
  <si>
    <t>Rows Harvested %</t>
  </si>
  <si>
    <t>Stand Age years</t>
  </si>
  <si>
    <t>Stocking Rate # of animals/ha</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</si>
  <si>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</si>
  <si>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</si>
  <si>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</si>
  <si>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</si>
  <si>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</si>
  <si>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</si>
  <si>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</si>
  <si>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</si>
  <si>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</si>
  <si>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</si>
  <si>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</si>
  <si>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</si>
  <si>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</si>
  <si>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</si>
  <si>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</si>
  <si>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</si>
  <si>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</si>
  <si>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</si>
  <si>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</si>
  <si>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</si>
  <si>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</si>
  <si>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</si>
  <si>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</si>
  <si>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</si>
  <si>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</si>
  <si>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</si>
  <si>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</si>
  <si>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</si>
  <si>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</si>
  <si>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</si>
  <si>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</si>
  <si>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</si>
  <si>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</si>
  <si>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</si>
  <si>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</si>
  <si>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</si>
  <si>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Na mgNa/kg</t>
  </si>
  <si>
    <t>Se mg Se/kg</t>
  </si>
  <si>
    <t>Al mg Al/kg</t>
  </si>
  <si>
    <t>SO4-S mg SO4-S/kg</t>
  </si>
  <si>
    <t>Mo mg Mo/kg</t>
  </si>
  <si>
    <t>B mg B/kg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</si>
  <si>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</si>
  <si>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</si>
  <si>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</si>
  <si>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</si>
  <si>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</si>
  <si>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</si>
  <si>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</si>
  <si>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</si>
  <si>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</si>
  <si>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</si>
  <si>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</si>
  <si>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</si>
  <si>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</si>
  <si>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</si>
  <si>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</si>
  <si>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</si>
  <si>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</si>
  <si>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</si>
  <si>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</si>
  <si>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Na STD mgNa/kg</t>
  </si>
  <si>
    <t>Se STD mg Se/kg</t>
  </si>
  <si>
    <t>Al STD mg Al/kg</t>
  </si>
  <si>
    <t>SO4-S STD mg SO4-S/kg</t>
  </si>
  <si>
    <t>Mo STD mg Mo/kg</t>
  </si>
  <si>
    <t>B STD mg B/kg</t>
  </si>
  <si>
    <t>Cu STD mgCu/kg</t>
  </si>
  <si>
    <t>Fe STD mgFe/kg</t>
  </si>
  <si>
    <t>Mn STD mgMN/kg</t>
  </si>
  <si>
    <t>Zn STD mgZn/kg</t>
  </si>
  <si>
    <t>Mineralizable N STD gN/kg</t>
  </si>
  <si>
    <t>Nitrite STD mgN/kg</t>
  </si>
  <si>
    <t>Glucosidase mg/kg/hr</t>
  </si>
  <si>
    <t>Glucosaminidase mg/kg/hr</t>
  </si>
  <si>
    <t>Acid Phosphatase mg/kg/hr</t>
  </si>
  <si>
    <t>Alk Phosphatase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</si>
  <si>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</si>
  <si>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</si>
  <si>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</si>
  <si>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</si>
  <si>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</si>
  <si>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</si>
  <si>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</si>
  <si>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</si>
  <si>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</si>
  <si>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Glomalin STD g/kg</t>
  </si>
  <si>
    <t>Iden Plant Material STD gC/kg</t>
  </si>
  <si>
    <t>POM STD gC/kg</t>
  </si>
  <si>
    <t>Microbe Bio C STD mgC/kg</t>
  </si>
  <si>
    <t>Microbe Bio N STD mgN/kg</t>
  </si>
  <si>
    <t>FluoresceinDiacHydSTD mg/kg/hr</t>
  </si>
  <si>
    <t>Fluorescein Diacetate Hyl mg/kg/hr</t>
  </si>
  <si>
    <t>Organic Matter g/kg</t>
  </si>
  <si>
    <t>Total Soil Carbon gC/kg</t>
  </si>
  <si>
    <t>Total Soil Nitrogen gN/kg</t>
  </si>
  <si>
    <t>Particulate Organic Matter g/kg</t>
  </si>
  <si>
    <t>Particulate Organic Matter Carbon g/kg</t>
  </si>
  <si>
    <t>Particulate Organic Matter Nitrogen g/kg</t>
  </si>
  <si>
    <t>Dissolved Organic Carbon mg/kg</t>
  </si>
  <si>
    <t>Dissolved Organic Nitrogen mg/kg</t>
  </si>
  <si>
    <t>Potentially Mineralizable Carbon mg/kg</t>
  </si>
  <si>
    <t>Potentially Mineralizable Nitrogen mg/kg</t>
  </si>
  <si>
    <t>Soil Proteins mg/kg</t>
  </si>
  <si>
    <t>Active Labile Carbon mg/kg</t>
  </si>
  <si>
    <t>Microbial Biomass Carbon mg/kg</t>
  </si>
  <si>
    <t>Microbial Biomass Nitrogen mg/kg</t>
  </si>
  <si>
    <t>Organic Matter STD g/kg</t>
  </si>
  <si>
    <t>Total Soil Carbon STD gC/kg</t>
  </si>
  <si>
    <t>Total Soil Nitrogen STD gN/kg</t>
  </si>
  <si>
    <t>Particulate Organic Matter STD g/kg</t>
  </si>
  <si>
    <t>Particulate Organic Matter Carbon STD g/kg</t>
  </si>
  <si>
    <t>Particulate Organic Matter Nitrogen STD g/kg</t>
  </si>
  <si>
    <t>Dissolved Organic Carbon STD mg/kg</t>
  </si>
  <si>
    <t>Dissolved Organic Nitrogen STD mg/kg</t>
  </si>
  <si>
    <t>Potentially Mineralizable Carbon STD mg/kg</t>
  </si>
  <si>
    <t>Potentially Mineralizable Nitrogen STD mg/kg</t>
  </si>
  <si>
    <t>Soil Proteins STD mg/kg</t>
  </si>
  <si>
    <t>Active Labile Carbon STD mg/kg</t>
  </si>
  <si>
    <t>Microbial Biomass Carbon STD mg/kg</t>
  </si>
  <si>
    <t>Microbial Biomass Nitrogen STD mg/kg</t>
  </si>
  <si>
    <t>Beta Glucosidase STD</t>
  </si>
  <si>
    <t>Beta Glucosaminidase NAG STD</t>
  </si>
  <si>
    <t>Acid Phosphatase STD</t>
  </si>
  <si>
    <t>Alkaline Phosphatase STD</t>
  </si>
  <si>
    <t>Phosphodiesterase STD</t>
  </si>
  <si>
    <t>Arylsulfatase STD</t>
  </si>
  <si>
    <t>Urease STD</t>
  </si>
  <si>
    <t>L-asparaginase STD</t>
  </si>
  <si>
    <t>L-glutaminase STD</t>
  </si>
  <si>
    <t>Fluorescein Diacetate Hydrolysis STD</t>
  </si>
  <si>
    <t>Unit Grain Weight STD</t>
  </si>
  <si>
    <t>Harvested Fraction</t>
  </si>
  <si>
    <t>Corn Ear Height STD</t>
  </si>
  <si>
    <t>Above Ground Biomass STD</t>
  </si>
  <si>
    <t>Grain DryMatter STD</t>
  </si>
  <si>
    <t>Grain MoisturePct STD</t>
  </si>
  <si>
    <t>Grain C STD</t>
  </si>
  <si>
    <t>Grain N STD</t>
  </si>
  <si>
    <t>Grain P STD</t>
  </si>
  <si>
    <t>Grain K STD</t>
  </si>
  <si>
    <t>Grain S STD</t>
  </si>
  <si>
    <t>Grain Ca STD</t>
  </si>
  <si>
    <t>Grain Mg STD</t>
  </si>
  <si>
    <t>Grain Cu STD</t>
  </si>
  <si>
    <t>Grain Fe STD</t>
  </si>
  <si>
    <t>Grain Mn STD</t>
  </si>
  <si>
    <t>Grain Zn STD</t>
  </si>
  <si>
    <t>Grain B STD</t>
  </si>
  <si>
    <t>Grain Mo STD</t>
  </si>
  <si>
    <t>Harv Res DryMatter STD</t>
  </si>
  <si>
    <t>HarvRes MoisturePct STD</t>
  </si>
  <si>
    <t>Harv Res C STD</t>
  </si>
  <si>
    <t>Harv Res N STD</t>
  </si>
  <si>
    <t>Harv Res P STD</t>
  </si>
  <si>
    <t>Harv Res K STD</t>
  </si>
  <si>
    <t>Harv Res S STD</t>
  </si>
  <si>
    <t>Harv Res Ca STD</t>
  </si>
  <si>
    <t>Harv Res Mg STD</t>
  </si>
  <si>
    <t>Harv Res Cu STD</t>
  </si>
  <si>
    <t>Harv Res Fe STD</t>
  </si>
  <si>
    <t>Harv Res Mn STD</t>
  </si>
  <si>
    <t>Harv Res Zn STD</t>
  </si>
  <si>
    <t>Harv Res B STD</t>
  </si>
  <si>
    <t>Harv Res Mo STD</t>
  </si>
  <si>
    <t>nonHarv Res DryMatter STD</t>
  </si>
  <si>
    <t>nonHarv Res MoisturePct STD</t>
  </si>
  <si>
    <t>nonHarv Res C STD</t>
  </si>
  <si>
    <t>nonHarv Res N STD</t>
  </si>
  <si>
    <t>nonHarv Res P STD</t>
  </si>
  <si>
    <t>nonHarv Res K STD</t>
  </si>
  <si>
    <t>nonHarv Res S STD</t>
  </si>
  <si>
    <t>nonHarv Res Ca STD</t>
  </si>
  <si>
    <t>nonHarv Res Mg STD</t>
  </si>
  <si>
    <t>nonHarv Res Cu STD</t>
  </si>
  <si>
    <t>nonHarv Res Fe STD</t>
  </si>
  <si>
    <t>nonHarv Res Mn STD</t>
  </si>
  <si>
    <t>nonHarv Res Zn STD</t>
  </si>
  <si>
    <t>nonHarv Res B STD</t>
  </si>
  <si>
    <t>nonHarv Res Mo STD</t>
  </si>
  <si>
    <t>Surface Litter STD</t>
  </si>
  <si>
    <t>Standing Dead STD</t>
  </si>
  <si>
    <t>LAI STD</t>
  </si>
  <si>
    <t>NPct STD</t>
  </si>
  <si>
    <t>LigninPct STD</t>
  </si>
  <si>
    <t>GroundCoverPct STD</t>
  </si>
  <si>
    <r>
      <t xml:space="preserve">Total FAME </t>
    </r>
    <r>
      <rPr>
        <sz val="8"/>
        <color theme="1"/>
        <rFont val="Calibri"/>
        <family val="2"/>
        <scheme val="minor"/>
      </rPr>
      <t>nmol/g</t>
    </r>
    <r>
      <rPr>
        <sz val="8"/>
        <color theme="1"/>
        <rFont val="Calibri"/>
        <family val="2"/>
        <scheme val="minor"/>
      </rPr>
      <t xml:space="preserve"> soil</t>
    </r>
  </si>
  <si>
    <t>Forward Primer Name</t>
  </si>
  <si>
    <t>Forward Primer Sequence</t>
  </si>
  <si>
    <t>Reverse Primer Name</t>
  </si>
  <si>
    <t>Reverse Primer Sequence</t>
  </si>
  <si>
    <t>Soil w/ Residue %</t>
  </si>
  <si>
    <t>Test Value</t>
  </si>
  <si>
    <t>Test Units</t>
  </si>
  <si>
    <t>Test Value STD</t>
  </si>
  <si>
    <t>Frac C kgC/ha</t>
  </si>
  <si>
    <t>Frac N kgN/ha</t>
  </si>
  <si>
    <t>Frac P kgP/ha</t>
  </si>
  <si>
    <t>Frac K kgK/ha</t>
  </si>
  <si>
    <t>Frac S kgS/ha</t>
  </si>
  <si>
    <t>Frac Ca kgCa/ha</t>
  </si>
  <si>
    <t>Frac Mg kgMg/ha</t>
  </si>
  <si>
    <t>Frac Fe gFe/ha</t>
  </si>
  <si>
    <t>Frac Cu gCu/ha</t>
  </si>
  <si>
    <t>Frac Mn gMn/ha</t>
  </si>
  <si>
    <t>Frac Zn gZn/ha</t>
  </si>
  <si>
    <t>Frac B gB/ha</t>
  </si>
  <si>
    <t>Frac Mo gMo/ha</t>
  </si>
  <si>
    <t>Frac Moist %</t>
  </si>
  <si>
    <t>Frac Dry Matt STD kg/ha</t>
  </si>
  <si>
    <t>Frac Moist STD %</t>
  </si>
  <si>
    <t>Frac C  STD kgC/ha</t>
  </si>
  <si>
    <t>Frac P STD kgP/ha</t>
  </si>
  <si>
    <t>Frac K STD kgK/ha</t>
  </si>
  <si>
    <t>Frac S STD kgS/ha</t>
  </si>
  <si>
    <t>Frac Ca STD kgCa/ha</t>
  </si>
  <si>
    <t>Frac Mg STD kgMg/ha</t>
  </si>
  <si>
    <t>Frac Fe STD gFe/ha</t>
  </si>
  <si>
    <t>Frac Mn STD gMn/ha</t>
  </si>
  <si>
    <t>Frac Zn STD gZn/ha</t>
  </si>
  <si>
    <t>Frac B STD gB/ha</t>
  </si>
  <si>
    <t>Frac Mo STD gMo/ha</t>
  </si>
  <si>
    <t>Frac Cu STD gCu/ha</t>
  </si>
  <si>
    <t>Grain Weight mg/kernel</t>
  </si>
  <si>
    <t>Grain Weight STD mg/kernel</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</si>
  <si>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</si>
  <si>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</si>
  <si>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</si>
  <si>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</si>
  <si>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</si>
  <si>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</si>
  <si>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</si>
  <si>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</si>
  <si>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</si>
  <si>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</si>
  <si>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</si>
  <si>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</si>
  <si>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</si>
  <si>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</si>
  <si>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</si>
  <si>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</si>
  <si>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</si>
  <si>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</si>
  <si>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</si>
  <si>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</si>
  <si>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</si>
  <si>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</si>
  <si>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</si>
  <si>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</si>
  <si>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</si>
  <si>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</si>
  <si>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</si>
  <si>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</si>
  <si>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</si>
  <si>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</si>
  <si>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Mo Concentration mg/kg</t>
  </si>
  <si>
    <t>Mo Concentration STD mg/kg</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</si>
  <si>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</si>
  <si>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</si>
  <si>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</si>
  <si>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</si>
  <si>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</si>
  <si>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</si>
  <si>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</si>
  <si>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</si>
  <si>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</si>
  <si>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</si>
  <si>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</si>
  <si>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</si>
  <si>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</si>
  <si>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</si>
  <si>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</si>
  <si>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</si>
  <si>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</si>
  <si>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</si>
  <si>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</si>
  <si>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</si>
  <si>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</si>
  <si>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</si>
  <si>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AboveGr Bio kg/ha (dry)</t>
  </si>
  <si>
    <t>Surface Litter kg/ha (dry)</t>
  </si>
  <si>
    <t>Standing Dead kg/ha (dry)</t>
  </si>
  <si>
    <t>LAI kg/ha (dry)</t>
  </si>
  <si>
    <t>Biomass N %</t>
  </si>
  <si>
    <t>Lignin %</t>
  </si>
  <si>
    <t>Ground Cover %</t>
  </si>
  <si>
    <t>AboveGr Bio C kgC/ha</t>
  </si>
  <si>
    <t>AboveGr Bio N kgN/ha</t>
  </si>
  <si>
    <t>AboveGr Bio P kgP/ha</t>
  </si>
  <si>
    <t>AboveGr Bio K kgK/ha</t>
  </si>
  <si>
    <t>AboveGr Bio S kgS/ha</t>
  </si>
  <si>
    <t>BelowGr Bio C kgC/ha</t>
  </si>
  <si>
    <t>BelowGr Bio N kgN/ha</t>
  </si>
  <si>
    <t>BelowGr Bio P kgP/ha</t>
  </si>
  <si>
    <t>BelowGr Bio K kgK/ha</t>
  </si>
  <si>
    <t>BelowGr Bio S kgS/ha</t>
  </si>
  <si>
    <t>ANPP C kgC/ha/yr</t>
  </si>
  <si>
    <t>ANPP N kgN/ha/yr</t>
  </si>
  <si>
    <t>ANPP P kgP/ha/yr</t>
  </si>
  <si>
    <t>ANPP K kgK/ha/yr</t>
  </si>
  <si>
    <t>ANPP S kgS/ha/yr</t>
  </si>
  <si>
    <t>BNPP C kgC/ha/yr</t>
  </si>
  <si>
    <t>BNPP N kgN/ha/yr</t>
  </si>
  <si>
    <t>BNPP P kgP/ha/yr</t>
  </si>
  <si>
    <t>BNPP K kgK/ha/yr</t>
  </si>
  <si>
    <t>BNPP S kgS/ha/yr</t>
  </si>
  <si>
    <t>AboveGr Bio C STD kgC/ha</t>
  </si>
  <si>
    <t>AboveGr Bio N STD kgN/ha</t>
  </si>
  <si>
    <t>AboveGr Bio P STD kgP/ha</t>
  </si>
  <si>
    <t>AboveGr Bio K STD kgK/ha</t>
  </si>
  <si>
    <t>AboveGr Bio S STD kgS/ha</t>
  </si>
  <si>
    <t>BelowGr Bio C STD kgC/ha</t>
  </si>
  <si>
    <t>BelowGr Bio N STD kgN/ha</t>
  </si>
  <si>
    <t>BelowGr Bio P STD kgP/ha</t>
  </si>
  <si>
    <t>BelowGr Bio K STD kgK/ha</t>
  </si>
  <si>
    <t>BelowGr Bio S STD kgS/ha</t>
  </si>
  <si>
    <t>ANPP C STD kgC/ha/yr</t>
  </si>
  <si>
    <t>ANPP N STD kgN/ha/yr</t>
  </si>
  <si>
    <t>ANPP P STD kgP/ha/yr</t>
  </si>
  <si>
    <t>ANPP K STD kgK/ha/yr</t>
  </si>
  <si>
    <t>ANPP S STD kgS/ha/yr</t>
  </si>
  <si>
    <t>BNPP C STD kgC/ha/yr</t>
  </si>
  <si>
    <t>BNPP N STD kgN/ha/yr</t>
  </si>
  <si>
    <t>BNPP P STD kgP/ha/yr</t>
  </si>
  <si>
    <t>BNPP K STD  kgK/ha/yr</t>
  </si>
  <si>
    <t>BNPP S STD kgS/ha/yr</t>
  </si>
  <si>
    <t>Corn Ear Height cm</t>
  </si>
  <si>
    <t>Above G Biomass kg/ha</t>
  </si>
  <si>
    <t>Unit Grain Weight mg</t>
  </si>
  <si>
    <t>Grain Dry Matt kg/ha</t>
  </si>
  <si>
    <t>Grain Moist %</t>
  </si>
  <si>
    <t>Grain C kgC/ha</t>
  </si>
  <si>
    <t>Grain N kgN/ha</t>
  </si>
  <si>
    <t>Grain P kgP/ha</t>
  </si>
  <si>
    <t>Grain K kgK/ha</t>
  </si>
  <si>
    <t>Grain S kgS/ha</t>
  </si>
  <si>
    <t>Grain Ca kgCa/ha</t>
  </si>
  <si>
    <t>Grain Mg kgMg/ha</t>
  </si>
  <si>
    <t>Grain B gB/ha</t>
  </si>
  <si>
    <t>Grain Mo gMo/ha</t>
  </si>
  <si>
    <t>Grain Cu gCu/ha</t>
  </si>
  <si>
    <t>Grain Fe gFe/ha</t>
  </si>
  <si>
    <t>Grain Mn gMn/ha</t>
  </si>
  <si>
    <t>Grain Zn gZn/ha</t>
  </si>
  <si>
    <t>Harv NonGrain Bio kg/ha</t>
  </si>
  <si>
    <t>Harv Res Moist %</t>
  </si>
  <si>
    <t>Harv Res C kgC/ha</t>
  </si>
  <si>
    <t>Harv Res N kgN/ha</t>
  </si>
  <si>
    <t>NonHarv NonGrain Bio kg/ha</t>
  </si>
  <si>
    <t>NonHarv Res Moist %</t>
  </si>
  <si>
    <t>NonHarv Res C kgC/ha</t>
  </si>
  <si>
    <t>NonHarv Res N kgN/ha</t>
  </si>
  <si>
    <t>nonHarv Res P kgP/ha</t>
  </si>
  <si>
    <t>nonHarv Res K kgK/ha</t>
  </si>
  <si>
    <t>Harv Res P kgP/ha</t>
  </si>
  <si>
    <t>Harv Res K kgK/ha</t>
  </si>
  <si>
    <t>Harv Res S kgS/ha</t>
  </si>
  <si>
    <t>Harv Res Ca kgCa/ha</t>
  </si>
  <si>
    <t>Harv Res Mg kgMg/ha</t>
  </si>
  <si>
    <t>Harv Res Cu gCu/ha</t>
  </si>
  <si>
    <t>Harv Res Fe gFe/ha</t>
  </si>
  <si>
    <t>Harv Res Mn gMn/ha</t>
  </si>
  <si>
    <t>Harv Res Zn gZn/ha</t>
  </si>
  <si>
    <t>Harv Res B gB/ha</t>
  </si>
  <si>
    <t>Harv Res Mo gMo/ha</t>
  </si>
  <si>
    <t>nonHarv Res S kgS/ha</t>
  </si>
  <si>
    <t>nonHarv Res Ca kgCa/ha</t>
  </si>
  <si>
    <t>nonHarv Res Mg kgMg/ha</t>
  </si>
  <si>
    <t>nonHarv Res Cu gCu/ha</t>
  </si>
  <si>
    <t>nonHarv Res Fe gFe/ha</t>
  </si>
  <si>
    <t>nonHarv Res Mn gMn/ha</t>
  </si>
  <si>
    <t>nonHarv Res Zn gZn/ha</t>
  </si>
  <si>
    <t>nonHarv Res B gB/ha</t>
  </si>
  <si>
    <t>nonHarv Res Mo gMo/ha</t>
  </si>
  <si>
    <t>AgAR</t>
  </si>
  <si>
    <t>NUOnet</t>
  </si>
  <si>
    <t>SoilBiology</t>
  </si>
  <si>
    <t>v2017.01.0006   (5/24/2017)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</si>
</sst>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_(* \(#,##0.00\);_(* &quot;-&quot;??_);_(@_)"/>
    <numFmt numFmtId="164" formatCode="[$-F400]h:mm:ss\ AM/PM"/>
    <numFmt numFmtId="165" formatCode="_(* #,##0_);_(* \(#,##0\);_(* &quot;-&quot;??_);_(@_)"/>
    <numFmt numFmtId="166" formatCode="h:mm;@"/>
    <numFmt numFmtId="167" formatCode="###;###;&quot;OK&quot;"/>
    <numFmt numFmtId="168" formatCode="h:mm:ss;@"/>
    <numFmt numFmtId="169" formatCode=";;;"/>
    <numFmt numFmtId="170" formatCode="0.0"/>
  </numFmts>
  <fonts count="134"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i/>
      <vertAlign val="subscript"/>
      <sz val="11"/>
      <color theme="1"/>
      <name val="Calibri"/>
      <family val="2"/>
      <scheme val="minor"/>
    </font>
    <font>
      <b/>
      <sz val="9"/>
      <color indexed="81"/>
      <name val="Tahoma"/>
      <family val="2"/>
    </font>
    <font>
      <sz val="9"/>
      <color indexed="81"/>
      <name val="Tahoma"/>
      <family val="2"/>
    </font>
    <font>
      <vertAlign val="subscript"/>
      <sz val="12"/>
      <color theme="1"/>
      <name val="Times New Roman"/>
      <family val="1"/>
    </font>
    <font>
      <b/>
      <sz val="11"/>
      <name val="Times New Roman"/>
      <family val="1"/>
    </font>
    <font>
      <b/>
      <sz val="11"/>
      <color theme="1"/>
      <name val="Times New Roman"/>
      <family val="1"/>
    </font>
    <font>
      <i/>
      <sz val="12"/>
      <name val="Times New Roman"/>
      <family val="1"/>
    </font>
    <font>
      <b/>
      <sz val="16.5"/>
      <color rgb="FF0021A5"/>
      <name val="Arial"/>
      <family val="2"/>
    </font>
    <font>
      <b/>
      <sz val="13.5"/>
      <color theme="1"/>
      <name val="Calibri"/>
      <family val="2"/>
      <scheme val="minor"/>
    </font>
    <font>
      <b/>
      <sz val="12"/>
      <color theme="1"/>
      <name val="Calibri"/>
      <family val="2"/>
      <scheme val="minor"/>
    </font>
    <font>
      <sz val="12"/>
      <color theme="1"/>
      <name val="Calibri"/>
      <family val="2"/>
      <scheme val="minor"/>
    </font>
    <font>
      <vertAlign val="superscript"/>
      <sz val="11"/>
      <color theme="1"/>
      <name val="Calibri"/>
      <family val="2"/>
      <scheme val="minor"/>
    </font>
  </fonts>
  <fills count="6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00FF00"/>
        <bgColor indexed="64"/>
      </patternFill>
    </fill>
    <fill>
      <patternFill patternType="solid">
        <fgColor rgb="FF00FFFF"/>
        <bgColor indexed="64"/>
      </patternFill>
    </fill>
    <fill>
      <patternFill patternType="gray0625">
        <bgColor rgb="FFFFFF99"/>
      </patternFill>
    </fill>
  </fills>
  <borders count="91">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bottom style="medium">
        <color auto="1"/>
      </bottom>
      <diagonal/>
    </border>
    <border>
      <left/>
      <right style="thin">
        <color indexed="64"/>
      </right>
      <top style="medium">
        <color auto="1"/>
      </top>
      <bottom/>
      <diagonal/>
    </border>
    <border>
      <left style="thin">
        <color indexed="64"/>
      </left>
      <right/>
      <top style="medium">
        <color auto="1"/>
      </top>
      <bottom/>
      <diagonal/>
    </border>
    <border>
      <left style="thin">
        <color indexed="64"/>
      </left>
      <right style="thin">
        <color indexed="64"/>
      </right>
      <top/>
      <bottom style="thin">
        <color indexed="64"/>
      </bottom>
      <diagonal/>
    </border>
    <border>
      <left/>
      <right style="thin">
        <color theme="0"/>
      </right>
      <top/>
      <bottom/>
      <diagonal/>
    </border>
    <border>
      <left style="thin">
        <color theme="0"/>
      </left>
      <right/>
      <top/>
      <bottom/>
      <diagonal/>
    </border>
    <border>
      <left/>
      <right style="thin">
        <color theme="0"/>
      </right>
      <top/>
      <bottom style="thin">
        <color indexed="64"/>
      </bottom>
      <diagonal/>
    </border>
    <border>
      <left style="thin">
        <color theme="0"/>
      </left>
      <right/>
      <top/>
      <bottom style="thin">
        <color indexed="64"/>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77" applyNumberFormat="0" applyFont="0" applyAlignment="0" applyProtection="0"/>
    <xf numFmtId="0" fontId="2" fillId="0" borderId="0"/>
  </cellStyleXfs>
  <cellXfs count="1624">
    <xf numFmtId="0" fontId="0" fillId="0" borderId="0" xfId="0"/>
    <xf numFmtId="0" fontId="61" fillId="22" borderId="32" xfId="16" applyAlignment="1">
      <alignment vertical="center"/>
    </xf>
    <xf numFmtId="0" fontId="65" fillId="27" borderId="45"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8"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4"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4"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45"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9" fillId="9" borderId="0" xfId="0" applyNumberFormat="1"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39" xfId="0" applyFont="1" applyBorder="1" applyAlignment="1"/>
    <xf numFmtId="0" fontId="3" fillId="0" borderId="8" xfId="0" applyFont="1" applyBorder="1" applyAlignment="1"/>
    <xf numFmtId="0" fontId="3" fillId="0" borderId="46"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52" xfId="0" applyNumberFormat="1" applyFont="1" applyFill="1" applyBorder="1" applyAlignment="1" applyProtection="1">
      <alignment horizontal="center" wrapText="1"/>
    </xf>
    <xf numFmtId="49" fontId="27" fillId="0" borderId="53"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52" xfId="0" applyNumberFormat="1" applyFont="1" applyBorder="1" applyAlignment="1">
      <alignment horizontal="center" wrapText="1"/>
    </xf>
    <xf numFmtId="14" fontId="27" fillId="0" borderId="52" xfId="0" applyNumberFormat="1" applyFont="1" applyFill="1" applyBorder="1" applyAlignment="1">
      <alignment horizontal="center" wrapText="1"/>
    </xf>
    <xf numFmtId="49" fontId="27" fillId="0" borderId="61" xfId="0" applyNumberFormat="1" applyFont="1" applyBorder="1" applyAlignment="1">
      <alignment horizontal="center" wrapText="1"/>
    </xf>
    <xf numFmtId="49" fontId="27" fillId="0" borderId="60"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55"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0" fillId="7" borderId="9" xfId="0" applyNumberFormat="1" applyFont="1" applyFill="1" applyBorder="1" applyAlignment="1" applyProtection="1">
      <alignment horizontal="center"/>
      <protection locked="0"/>
    </xf>
    <xf numFmtId="0" fontId="37" fillId="13" borderId="59" xfId="0" applyNumberFormat="1" applyFont="1" applyFill="1" applyBorder="1" applyAlignment="1" applyProtection="1"/>
    <xf numFmtId="0" fontId="37" fillId="13" borderId="65"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67" xfId="0" applyNumberFormat="1" applyFill="1" applyBorder="1" applyAlignment="1" applyProtection="1">
      <alignment horizontal="left" wrapText="1"/>
      <protection locked="0"/>
    </xf>
    <xf numFmtId="0" fontId="38" fillId="13" borderId="65"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58"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53" xfId="0" applyFont="1" applyFill="1" applyBorder="1" applyAlignment="1" applyProtection="1">
      <alignment horizontal="left"/>
    </xf>
    <xf numFmtId="0" fontId="0" fillId="10" borderId="57" xfId="0" applyNumberFormat="1" applyFont="1" applyFill="1" applyBorder="1" applyAlignment="1" applyProtection="1">
      <protection locked="0"/>
    </xf>
    <xf numFmtId="0" fontId="24" fillId="10" borderId="57" xfId="0" applyNumberFormat="1" applyFont="1" applyFill="1" applyBorder="1" applyAlignment="1" applyProtection="1">
      <alignment horizontal="center"/>
    </xf>
    <xf numFmtId="0" fontId="0" fillId="0" borderId="57" xfId="0" applyBorder="1" applyProtection="1">
      <protection locked="0"/>
    </xf>
    <xf numFmtId="0" fontId="19" fillId="7" borderId="46" xfId="0" applyNumberFormat="1" applyFont="1" applyFill="1" applyBorder="1" applyAlignment="1" applyProtection="1">
      <alignment horizontal="center"/>
      <protection locked="0"/>
    </xf>
    <xf numFmtId="0" fontId="0" fillId="7" borderId="57" xfId="0" applyNumberFormat="1" applyFont="1" applyFill="1" applyBorder="1" applyAlignment="1" applyProtection="1">
      <alignment horizontal="center"/>
      <protection locked="0"/>
    </xf>
    <xf numFmtId="0" fontId="8" fillId="7" borderId="49"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0" fillId="0" borderId="57" xfId="0" applyBorder="1"/>
    <xf numFmtId="0" fontId="38" fillId="13" borderId="71" xfId="0" applyNumberFormat="1" applyFont="1" applyFill="1" applyBorder="1" applyAlignment="1" applyProtection="1"/>
    <xf numFmtId="0" fontId="38" fillId="13" borderId="57" xfId="0" applyNumberFormat="1" applyFont="1" applyFill="1" applyBorder="1" applyAlignment="1" applyProtection="1"/>
    <xf numFmtId="0" fontId="0" fillId="7" borderId="46" xfId="0" applyNumberFormat="1" applyFont="1" applyFill="1" applyBorder="1" applyAlignment="1" applyProtection="1"/>
    <xf numFmtId="0" fontId="86" fillId="0" borderId="0" xfId="0" applyFont="1" applyAlignment="1">
      <alignment vertical="center"/>
    </xf>
    <xf numFmtId="0" fontId="52" fillId="0" borderId="72" xfId="6" applyBorder="1"/>
    <xf numFmtId="0" fontId="6" fillId="7" borderId="39"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57" xfId="0" applyNumberFormat="1" applyFont="1" applyFill="1" applyBorder="1" applyAlignment="1" applyProtection="1">
      <alignment horizontal="center"/>
    </xf>
    <xf numFmtId="0" fontId="68" fillId="11" borderId="40" xfId="0" applyNumberFormat="1" applyFont="1" applyFill="1" applyBorder="1" applyAlignment="1" applyProtection="1">
      <alignment horizontal="center"/>
      <protection locked="0"/>
    </xf>
    <xf numFmtId="0" fontId="68" fillId="11" borderId="64"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57"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46"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0" xfId="0" applyNumberFormat="1" applyFont="1" applyFill="1" applyBorder="1" applyAlignment="1" applyProtection="1">
      <alignment horizontal="center"/>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45"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55" xfId="0" applyNumberFormat="1" applyFont="1" applyFill="1" applyBorder="1" applyAlignment="1" applyProtection="1"/>
    <xf numFmtId="14" fontId="27" fillId="0" borderId="52"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19" fillId="2" borderId="0" xfId="0" applyNumberFormat="1" applyFont="1" applyFill="1" applyProtection="1"/>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1"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75" xfId="0" applyNumberFormat="1" applyFont="1" applyFill="1" applyBorder="1" applyAlignment="1" applyProtection="1">
      <alignment horizontal="center" wrapText="1"/>
    </xf>
    <xf numFmtId="0" fontId="0" fillId="50" borderId="3" xfId="0" applyFill="1" applyBorder="1"/>
    <xf numFmtId="0" fontId="88" fillId="3" borderId="51" xfId="0" applyFont="1" applyFill="1" applyBorder="1" applyAlignment="1" applyProtection="1">
      <alignment horizontal="left"/>
    </xf>
    <xf numFmtId="0" fontId="0" fillId="3" borderId="69" xfId="0" applyFill="1" applyBorder="1" applyAlignment="1" applyProtection="1">
      <alignment horizontal="left"/>
      <protection locked="0"/>
    </xf>
    <xf numFmtId="0" fontId="0" fillId="0" borderId="57" xfId="0" applyBorder="1" applyAlignment="1" applyProtection="1">
      <alignment wrapText="1"/>
      <protection locked="0"/>
    </xf>
    <xf numFmtId="0" fontId="3" fillId="0" borderId="0" xfId="0" applyFont="1" applyBorder="1" applyAlignment="1"/>
    <xf numFmtId="0" fontId="8" fillId="2" borderId="45"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70" xfId="0" applyBorder="1"/>
    <xf numFmtId="0" fontId="4" fillId="0" borderId="76" xfId="0" applyFont="1" applyBorder="1" applyAlignment="1" applyProtection="1">
      <alignment horizontal="center"/>
      <protection locked="0"/>
    </xf>
    <xf numFmtId="0" fontId="67" fillId="9" borderId="76" xfId="0" applyFont="1" applyFill="1" applyBorder="1" applyAlignment="1">
      <alignment vertical="center"/>
    </xf>
    <xf numFmtId="0" fontId="2" fillId="0" borderId="76" xfId="0" applyFont="1" applyBorder="1" applyAlignment="1" applyProtection="1">
      <alignment horizontal="center"/>
    </xf>
    <xf numFmtId="0" fontId="84" fillId="14" borderId="76" xfId="0" applyFont="1" applyFill="1" applyBorder="1" applyAlignment="1">
      <alignment vertical="center"/>
    </xf>
    <xf numFmtId="0" fontId="84" fillId="48" borderId="76" xfId="0" applyFont="1" applyFill="1" applyBorder="1" applyAlignment="1">
      <alignment vertical="center"/>
    </xf>
    <xf numFmtId="0" fontId="84" fillId="11" borderId="76"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69" xfId="0" applyNumberFormat="1" applyFont="1" applyFill="1" applyBorder="1" applyAlignment="1" applyProtection="1"/>
    <xf numFmtId="0" fontId="7" fillId="0" borderId="0" xfId="0" applyNumberFormat="1" applyFont="1" applyFill="1" applyBorder="1" applyProtection="1"/>
    <xf numFmtId="0" fontId="19" fillId="0" borderId="0" xfId="0" applyNumberFormat="1" applyFont="1" applyFill="1" applyBorder="1" applyProtection="1"/>
    <xf numFmtId="0" fontId="19" fillId="0" borderId="0" xfId="0" applyNumberFormat="1" applyFont="1" applyProtection="1">
      <protection locked="0"/>
    </xf>
    <xf numFmtId="0" fontId="8" fillId="2" borderId="45"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52" xfId="0" applyNumberFormat="1" applyFont="1" applyBorder="1" applyAlignment="1">
      <alignment horizontal="center" wrapText="1"/>
    </xf>
    <xf numFmtId="0" fontId="27" fillId="0" borderId="60"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56" xfId="0" applyNumberFormat="1" applyFont="1" applyFill="1" applyBorder="1" applyAlignment="1" applyProtection="1">
      <alignment horizontal="left"/>
      <protection locked="0"/>
    </xf>
    <xf numFmtId="0" fontId="0" fillId="47" borderId="64"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62"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69" xfId="0" applyNumberFormat="1" applyFill="1" applyBorder="1" applyAlignment="1"/>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11" fillId="0" borderId="59"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8" fillId="10" borderId="45" xfId="0" applyNumberFormat="1" applyFont="1" applyFill="1" applyBorder="1" applyAlignment="1" applyProtection="1">
      <alignment horizontal="center" wrapText="1"/>
    </xf>
    <xf numFmtId="0" fontId="8" fillId="0" borderId="37"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57"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57"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57"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47"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70"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49"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8" fillId="10" borderId="0" xfId="0" applyNumberFormat="1" applyFont="1" applyFill="1" applyBorder="1" applyAlignment="1" applyProtection="1">
      <protection locked="0"/>
    </xf>
    <xf numFmtId="0" fontId="8" fillId="10" borderId="57"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66" xfId="0" applyNumberFormat="1" applyFont="1" applyFill="1" applyBorder="1"/>
    <xf numFmtId="0" fontId="0" fillId="7" borderId="67" xfId="0" applyNumberFormat="1" applyFill="1" applyBorder="1" applyAlignment="1">
      <alignment wrapText="1"/>
    </xf>
    <xf numFmtId="0" fontId="0" fillId="7" borderId="67" xfId="0" applyNumberFormat="1" applyFill="1" applyBorder="1"/>
    <xf numFmtId="0" fontId="0" fillId="7" borderId="67" xfId="3" applyNumberFormat="1" applyFont="1" applyFill="1" applyBorder="1" applyAlignment="1">
      <alignment horizontal="center"/>
    </xf>
    <xf numFmtId="0" fontId="8" fillId="2" borderId="68" xfId="0" applyNumberFormat="1" applyFont="1" applyFill="1" applyBorder="1" applyAlignment="1" applyProtection="1">
      <alignment horizontal="center" wrapText="1"/>
    </xf>
    <xf numFmtId="0" fontId="8" fillId="2" borderId="57" xfId="0" applyNumberFormat="1" applyFont="1" applyFill="1" applyBorder="1" applyAlignment="1" applyProtection="1">
      <alignment horizontal="center"/>
      <protection locked="0"/>
    </xf>
    <xf numFmtId="0" fontId="7" fillId="2" borderId="57"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57"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46"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71"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65" xfId="0" applyNumberFormat="1" applyFont="1" applyFill="1" applyBorder="1" applyAlignment="1" applyProtection="1">
      <alignment horizontal="center" wrapText="1"/>
    </xf>
    <xf numFmtId="0" fontId="44" fillId="11" borderId="58"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57"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39"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46" xfId="0" applyNumberFormat="1" applyFont="1" applyFill="1" applyBorder="1" applyAlignment="1" applyProtection="1"/>
    <xf numFmtId="0" fontId="11" fillId="7" borderId="8" xfId="0" applyNumberFormat="1" applyFont="1" applyFill="1" applyBorder="1" applyAlignment="1"/>
    <xf numFmtId="0" fontId="19" fillId="7" borderId="39" xfId="0" applyNumberFormat="1" applyFont="1" applyFill="1" applyBorder="1" applyAlignment="1" applyProtection="1">
      <alignment horizontal="center"/>
    </xf>
    <xf numFmtId="0" fontId="19" fillId="7" borderId="57" xfId="0" applyNumberFormat="1" applyFont="1" applyFill="1" applyBorder="1" applyAlignment="1" applyProtection="1">
      <alignment horizontal="center"/>
    </xf>
    <xf numFmtId="0" fontId="19" fillId="7" borderId="8" xfId="0" applyNumberFormat="1" applyFont="1" applyFill="1" applyBorder="1" applyAlignment="1" applyProtection="1">
      <alignment horizontal="center"/>
    </xf>
    <xf numFmtId="0" fontId="19" fillId="7" borderId="9" xfId="0" applyNumberFormat="1" applyFont="1" applyFill="1" applyBorder="1" applyAlignment="1" applyProtection="1">
      <alignment horizontal="center"/>
    </xf>
    <xf numFmtId="0" fontId="8" fillId="2" borderId="37" xfId="0" applyNumberFormat="1" applyFont="1" applyFill="1" applyBorder="1" applyAlignment="1" applyProtection="1">
      <alignment horizontal="center" wrapText="1"/>
    </xf>
    <xf numFmtId="0" fontId="43" fillId="11" borderId="58" xfId="0" applyNumberFormat="1" applyFont="1" applyFill="1" applyBorder="1" applyAlignment="1" applyProtection="1"/>
    <xf numFmtId="0" fontId="43" fillId="11" borderId="63" xfId="0" applyNumberFormat="1" applyFont="1" applyFill="1" applyBorder="1" applyAlignment="1" applyProtection="1"/>
    <xf numFmtId="0" fontId="0" fillId="7" borderId="58" xfId="0" applyNumberFormat="1" applyFill="1" applyBorder="1" applyAlignment="1"/>
    <xf numFmtId="0" fontId="0" fillId="0" borderId="63" xfId="0" applyNumberFormat="1" applyBorder="1" applyAlignment="1"/>
    <xf numFmtId="0" fontId="19" fillId="2" borderId="64" xfId="0" applyNumberFormat="1" applyFont="1" applyFill="1" applyBorder="1" applyAlignment="1" applyProtection="1">
      <alignment horizontal="center"/>
    </xf>
    <xf numFmtId="0" fontId="8" fillId="0" borderId="63"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57"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57"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57" xfId="0" applyNumberFormat="1" applyFont="1" applyFill="1" applyBorder="1" applyAlignment="1" applyProtection="1">
      <alignment horizontal="left" vertical="top"/>
    </xf>
    <xf numFmtId="0" fontId="0" fillId="7" borderId="57"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49" xfId="0" applyNumberFormat="1" applyFont="1" applyFill="1" applyBorder="1" applyAlignment="1">
      <alignment horizontal="left"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58" xfId="0" applyNumberFormat="1" applyFont="1" applyFill="1" applyBorder="1" applyAlignment="1" applyProtection="1">
      <alignment wrapText="1"/>
    </xf>
    <xf numFmtId="0" fontId="7" fillId="2" borderId="0" xfId="0" applyNumberFormat="1" applyFont="1" applyFill="1" applyProtection="1">
      <protection locked="0"/>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2" fillId="2" borderId="0" xfId="0" applyNumberFormat="1" applyFont="1" applyFill="1" applyBorder="1" applyAlignment="1"/>
    <xf numFmtId="0" fontId="19" fillId="2" borderId="8" xfId="0" applyNumberFormat="1" applyFont="1" applyFill="1" applyBorder="1" applyAlignment="1" applyProtection="1"/>
    <xf numFmtId="0" fontId="19" fillId="2" borderId="8" xfId="0" applyNumberFormat="1" applyFont="1" applyFill="1" applyBorder="1" applyAlignment="1" applyProtection="1">
      <alignment horizontal="center" wrapText="1"/>
    </xf>
    <xf numFmtId="0" fontId="8" fillId="2" borderId="0" xfId="0" applyNumberFormat="1" applyFont="1" applyFill="1" applyBorder="1" applyAlignment="1" applyProtection="1">
      <alignment horizontal="center" wrapText="1"/>
    </xf>
    <xf numFmtId="49" fontId="8" fillId="2" borderId="73"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74" xfId="0" applyNumberFormat="1" applyFont="1" applyFill="1" applyBorder="1" applyAlignment="1" applyProtection="1"/>
    <xf numFmtId="49" fontId="6" fillId="47" borderId="69" xfId="0" applyNumberFormat="1" applyFont="1" applyFill="1" applyBorder="1" applyAlignment="1" applyProtection="1"/>
    <xf numFmtId="49" fontId="8" fillId="2" borderId="45" xfId="0" applyNumberFormat="1" applyFont="1" applyFill="1" applyBorder="1" applyAlignment="1" applyProtection="1">
      <alignment horizontal="center"/>
    </xf>
    <xf numFmtId="14" fontId="0" fillId="2" borderId="4" xfId="0" applyNumberFormat="1" applyFill="1" applyBorder="1" applyAlignment="1"/>
    <xf numFmtId="14" fontId="6" fillId="47" borderId="69"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63"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62"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54"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55" xfId="0" applyNumberFormat="1" applyFont="1" applyFill="1" applyBorder="1" applyAlignment="1" applyProtection="1"/>
    <xf numFmtId="49" fontId="0" fillId="47" borderId="55" xfId="0" applyNumberFormat="1" applyFont="1" applyFill="1" applyBorder="1" applyAlignment="1" applyProtection="1">
      <alignment wrapText="1"/>
    </xf>
    <xf numFmtId="49" fontId="0" fillId="47" borderId="63"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8" fillId="7"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56"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45"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69" xfId="0" applyNumberFormat="1" applyFont="1" applyFill="1" applyBorder="1" applyAlignment="1" applyProtection="1">
      <alignment horizontal="left" indent="41"/>
    </xf>
    <xf numFmtId="49" fontId="6" fillId="4" borderId="69" xfId="0" applyNumberFormat="1" applyFont="1" applyFill="1" applyBorder="1" applyAlignment="1" applyProtection="1"/>
    <xf numFmtId="49" fontId="8" fillId="2" borderId="45" xfId="0" applyNumberFormat="1" applyFont="1" applyFill="1" applyBorder="1" applyAlignment="1" applyProtection="1">
      <alignment horizontal="center" wrapText="1"/>
    </xf>
    <xf numFmtId="14" fontId="6" fillId="4" borderId="69"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69"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69"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7" fillId="2" borderId="0" xfId="0" applyNumberFormat="1" applyFont="1" applyFill="1" applyBorder="1" applyAlignment="1" applyProtection="1">
      <alignment wrapText="1"/>
      <protection locked="0"/>
    </xf>
    <xf numFmtId="49" fontId="7" fillId="2" borderId="46" xfId="0" applyNumberFormat="1" applyFont="1" applyFill="1" applyBorder="1" applyAlignment="1" applyProtection="1">
      <alignment wrapText="1"/>
      <protection locked="0"/>
    </xf>
    <xf numFmtId="49" fontId="8" fillId="0" borderId="45" xfId="0" applyNumberFormat="1" applyFont="1" applyFill="1" applyBorder="1" applyAlignment="1" applyProtection="1">
      <alignment horizontal="center" wrapText="1"/>
    </xf>
    <xf numFmtId="49" fontId="8" fillId="0" borderId="49"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69"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63"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7"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47" xfId="0" applyNumberFormat="1" applyFont="1" applyFill="1" applyBorder="1" applyAlignment="1"/>
    <xf numFmtId="49" fontId="7" fillId="2" borderId="47"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37" fillId="13" borderId="0" xfId="0" applyNumberFormat="1" applyFont="1" applyFill="1" applyAlignment="1" applyProtection="1"/>
    <xf numFmtId="49" fontId="32" fillId="10" borderId="44"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4" xfId="0" applyNumberFormat="1" applyFont="1" applyFill="1" applyBorder="1" applyAlignment="1" applyProtection="1">
      <alignment horizontal="center"/>
    </xf>
    <xf numFmtId="49" fontId="0" fillId="10" borderId="0"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63"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62"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3"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1" xfId="0" applyNumberFormat="1" applyFont="1" applyFill="1" applyBorder="1" applyAlignment="1" applyProtection="1"/>
    <xf numFmtId="49" fontId="12" fillId="4" borderId="41" xfId="0" applyNumberFormat="1" applyFont="1" applyFill="1" applyBorder="1" applyAlignment="1" applyProtection="1"/>
    <xf numFmtId="49" fontId="12" fillId="4" borderId="42"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39"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56"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56" xfId="0" applyNumberFormat="1" applyFont="1" applyBorder="1" applyAlignment="1" applyProtection="1">
      <alignment horizontal="left" indent="13"/>
      <protection locked="0"/>
    </xf>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1" fillId="0" borderId="0" xfId="45" applyAlignment="1" applyProtection="1">
      <alignment horizontal="center"/>
    </xf>
    <xf numFmtId="14" fontId="8" fillId="2" borderId="45"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69" xfId="0" applyNumberFormat="1" applyFont="1" applyFill="1" applyBorder="1" applyAlignment="1" applyProtection="1"/>
    <xf numFmtId="0" fontId="0" fillId="50" borderId="16" xfId="0" applyFill="1" applyBorder="1"/>
    <xf numFmtId="0" fontId="0" fillId="50" borderId="57" xfId="0" applyFill="1" applyBorder="1"/>
    <xf numFmtId="0" fontId="0" fillId="50" borderId="0" xfId="0" applyFill="1" applyBorder="1"/>
    <xf numFmtId="0" fontId="8" fillId="3" borderId="52"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69" xfId="0" applyNumberFormat="1" applyFont="1" applyFill="1" applyBorder="1" applyAlignment="1" applyProtection="1"/>
    <xf numFmtId="49" fontId="0" fillId="47" borderId="69"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46"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14" fontId="96"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0" fontId="19" fillId="2" borderId="58" xfId="0" applyNumberFormat="1" applyFont="1" applyFill="1" applyBorder="1" applyAlignment="1" applyProtection="1">
      <alignment horizontal="center"/>
    </xf>
    <xf numFmtId="0" fontId="19" fillId="0" borderId="59" xfId="0" applyNumberFormat="1" applyFont="1" applyBorder="1" applyAlignment="1" applyProtection="1">
      <alignment horizontal="center"/>
      <protection locked="0"/>
    </xf>
    <xf numFmtId="49" fontId="8" fillId="0" borderId="62" xfId="0" applyNumberFormat="1" applyFont="1" applyFill="1" applyBorder="1"/>
    <xf numFmtId="14" fontId="97" fillId="2" borderId="0" xfId="0" applyNumberFormat="1" applyFont="1" applyFill="1" applyBorder="1" applyAlignment="1" applyProtection="1">
      <alignment horizontal="center"/>
    </xf>
    <xf numFmtId="0" fontId="12" fillId="6" borderId="59" xfId="0" applyFont="1" applyFill="1" applyBorder="1" applyAlignment="1" applyProtection="1">
      <alignment horizontal="left" readingOrder="1"/>
    </xf>
    <xf numFmtId="0" fontId="12" fillId="6" borderId="69" xfId="0" applyFont="1" applyFill="1" applyBorder="1" applyAlignment="1" applyProtection="1">
      <alignment horizontal="left" readingOrder="1"/>
    </xf>
    <xf numFmtId="0" fontId="12" fillId="6" borderId="58"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69"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59" xfId="0" applyFont="1" applyFill="1" applyBorder="1" applyAlignment="1" applyProtection="1">
      <alignment horizontal="left" readingOrder="1"/>
    </xf>
    <xf numFmtId="0" fontId="12" fillId="5" borderId="69" xfId="0" applyFont="1" applyFill="1" applyBorder="1" applyAlignment="1" applyProtection="1">
      <alignment horizontal="left" wrapText="1" readingOrder="1"/>
    </xf>
    <xf numFmtId="0" fontId="12" fillId="5" borderId="58"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69"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59" xfId="0" applyFont="1" applyFill="1" applyBorder="1" applyAlignment="1"/>
    <xf numFmtId="0" fontId="77" fillId="15" borderId="69" xfId="0" applyFont="1" applyFill="1" applyBorder="1" applyAlignment="1"/>
    <xf numFmtId="0" fontId="77" fillId="15" borderId="58" xfId="0" applyFont="1" applyFill="1" applyBorder="1" applyAlignment="1"/>
    <xf numFmtId="0" fontId="12" fillId="7" borderId="0" xfId="0" applyFont="1" applyFill="1" applyBorder="1" applyAlignment="1"/>
    <xf numFmtId="0" fontId="77" fillId="11" borderId="59" xfId="0" applyFont="1" applyFill="1" applyBorder="1" applyAlignment="1" applyProtection="1">
      <alignment horizontal="left" readingOrder="1"/>
    </xf>
    <xf numFmtId="0" fontId="77" fillId="11" borderId="69" xfId="0" applyFont="1" applyFill="1" applyBorder="1" applyAlignment="1" applyProtection="1">
      <alignment horizontal="left" readingOrder="1"/>
    </xf>
    <xf numFmtId="0" fontId="77" fillId="11" borderId="58"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59" xfId="0" applyFont="1" applyFill="1" applyBorder="1" applyAlignment="1" applyProtection="1">
      <alignment horizontal="left" readingOrder="1"/>
    </xf>
    <xf numFmtId="0" fontId="77" fillId="52" borderId="69" xfId="0" applyFont="1" applyFill="1" applyBorder="1" applyAlignment="1" applyProtection="1">
      <alignment horizontal="left" wrapText="1" readingOrder="1"/>
    </xf>
    <xf numFmtId="0" fontId="77" fillId="52" borderId="58"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9" fillId="0" borderId="0" xfId="0" applyFont="1" applyAlignment="1" applyProtection="1">
      <alignment horizontal="left"/>
      <protection locked="0"/>
    </xf>
    <xf numFmtId="0" fontId="100" fillId="0" borderId="0" xfId="0" applyFont="1" applyProtection="1">
      <protection locked="0"/>
    </xf>
    <xf numFmtId="0" fontId="99" fillId="51" borderId="0" xfId="0" applyFont="1" applyFill="1" applyBorder="1" applyAlignment="1" applyProtection="1">
      <alignment horizontal="left"/>
      <protection locked="0"/>
    </xf>
    <xf numFmtId="0" fontId="100"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48"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1" fillId="2" borderId="0" xfId="0" applyNumberFormat="1" applyFont="1" applyFill="1" applyBorder="1" applyAlignment="1" applyProtection="1">
      <protection locked="0"/>
    </xf>
    <xf numFmtId="49" fontId="102" fillId="7" borderId="0" xfId="0" applyNumberFormat="1" applyFont="1" applyFill="1"/>
    <xf numFmtId="0" fontId="102" fillId="2" borderId="0" xfId="0" applyNumberFormat="1" applyFont="1" applyFill="1" applyAlignment="1" applyProtection="1">
      <alignment horizontal="left"/>
      <protection locked="0"/>
    </xf>
    <xf numFmtId="0" fontId="102" fillId="2" borderId="0" xfId="0" applyNumberFormat="1" applyFont="1" applyFill="1" applyBorder="1" applyAlignment="1" applyProtection="1">
      <alignment horizontal="center"/>
      <protection locked="0"/>
    </xf>
    <xf numFmtId="0" fontId="102" fillId="10" borderId="0" xfId="0" applyNumberFormat="1" applyFont="1" applyFill="1" applyAlignment="1" applyProtection="1">
      <alignment horizontal="center"/>
      <protection locked="0"/>
    </xf>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2" fillId="2" borderId="0" xfId="0" applyNumberFormat="1" applyFont="1" applyFill="1" applyAlignment="1" applyProtection="1">
      <alignment horizontal="left"/>
      <protection locked="0"/>
    </xf>
    <xf numFmtId="0" fontId="64" fillId="0" borderId="0" xfId="0" applyNumberFormat="1" applyFont="1"/>
    <xf numFmtId="0" fontId="101" fillId="10" borderId="0" xfId="0" applyNumberFormat="1" applyFont="1" applyFill="1" applyBorder="1" applyAlignment="1" applyProtection="1">
      <alignment horizontal="center"/>
    </xf>
    <xf numFmtId="0" fontId="101" fillId="10" borderId="9" xfId="0" applyNumberFormat="1" applyFont="1" applyFill="1" applyBorder="1" applyAlignment="1" applyProtection="1">
      <alignment horizontal="center"/>
    </xf>
    <xf numFmtId="0" fontId="36" fillId="7" borderId="0" xfId="0" applyNumberFormat="1" applyFont="1" applyFill="1"/>
    <xf numFmtId="49" fontId="47" fillId="10" borderId="69" xfId="0" applyNumberFormat="1" applyFont="1" applyFill="1" applyBorder="1" applyAlignment="1" applyProtection="1">
      <alignment horizontal="center"/>
    </xf>
    <xf numFmtId="49" fontId="103" fillId="10" borderId="44" xfId="0" applyNumberFormat="1" applyFont="1" applyFill="1" applyBorder="1" applyAlignment="1" applyProtection="1">
      <alignment horizontal="left" vertical="top"/>
    </xf>
    <xf numFmtId="0" fontId="102" fillId="2" borderId="9" xfId="0" applyNumberFormat="1" applyFont="1" applyFill="1" applyBorder="1" applyAlignment="1" applyProtection="1">
      <alignment horizontal="center"/>
      <protection locked="0"/>
    </xf>
    <xf numFmtId="49" fontId="19" fillId="10" borderId="69" xfId="0" applyNumberFormat="1" applyFont="1" applyFill="1" applyBorder="1" applyAlignment="1" applyProtection="1">
      <alignment horizontal="center"/>
    </xf>
    <xf numFmtId="0" fontId="19" fillId="10" borderId="56" xfId="0" applyNumberFormat="1" applyFont="1" applyFill="1" applyBorder="1" applyAlignment="1" applyProtection="1">
      <alignment horizontal="center" wrapText="1"/>
    </xf>
    <xf numFmtId="0" fontId="19" fillId="10" borderId="70" xfId="0" applyNumberFormat="1" applyFont="1" applyFill="1" applyBorder="1" applyAlignment="1" applyProtection="1">
      <alignment horizontal="center" wrapText="1"/>
    </xf>
    <xf numFmtId="0" fontId="102" fillId="10" borderId="0"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2" fillId="10" borderId="9" xfId="0" applyNumberFormat="1" applyFont="1" applyFill="1" applyBorder="1" applyAlignment="1" applyProtection="1">
      <alignment horizontal="center"/>
      <protection locked="0"/>
    </xf>
    <xf numFmtId="0" fontId="7" fillId="2" borderId="58" xfId="0" applyNumberFormat="1" applyFont="1" applyFill="1" applyBorder="1" applyAlignment="1" applyProtection="1">
      <alignment horizontal="center"/>
      <protection locked="0"/>
    </xf>
    <xf numFmtId="0" fontId="19" fillId="10" borderId="64" xfId="0" applyNumberFormat="1" applyFont="1" applyFill="1" applyBorder="1" applyAlignment="1" applyProtection="1">
      <alignment horizontal="center" wrapText="1"/>
    </xf>
    <xf numFmtId="49" fontId="96" fillId="10" borderId="56" xfId="0" applyNumberFormat="1" applyFont="1" applyFill="1" applyBorder="1" applyAlignment="1" applyProtection="1">
      <alignment horizontal="center" vertical="top" wrapText="1"/>
      <protection locked="0"/>
    </xf>
    <xf numFmtId="49" fontId="96" fillId="10" borderId="70" xfId="0" applyNumberFormat="1" applyFont="1" applyFill="1" applyBorder="1" applyAlignment="1" applyProtection="1">
      <alignment horizontal="center" vertical="top" wrapText="1"/>
      <protection locked="0"/>
    </xf>
    <xf numFmtId="0" fontId="104" fillId="10" borderId="69" xfId="0" applyNumberFormat="1" applyFont="1" applyFill="1" applyBorder="1" applyAlignment="1" applyProtection="1">
      <alignment horizontal="center" wrapText="1"/>
      <protection locked="0"/>
    </xf>
    <xf numFmtId="0" fontId="19" fillId="2" borderId="69" xfId="0" applyNumberFormat="1" applyFont="1" applyFill="1" applyBorder="1" applyAlignment="1" applyProtection="1">
      <alignment horizontal="center"/>
    </xf>
    <xf numFmtId="0" fontId="19" fillId="2" borderId="63"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8" fillId="0" borderId="0" xfId="0" applyFont="1" applyAlignment="1">
      <alignment vertical="center"/>
    </xf>
    <xf numFmtId="0" fontId="108" fillId="7" borderId="0" xfId="0" applyFont="1" applyFill="1" applyAlignment="1"/>
    <xf numFmtId="0" fontId="108"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0" fillId="7" borderId="0" xfId="0" applyFont="1" applyFill="1" applyAlignment="1">
      <alignment horizontal="left"/>
    </xf>
    <xf numFmtId="0" fontId="109" fillId="7" borderId="0" xfId="0" applyFont="1" applyFill="1" applyAlignment="1">
      <alignment horizontal="left"/>
    </xf>
    <xf numFmtId="0" fontId="104"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57" xfId="0" applyFill="1" applyBorder="1"/>
    <xf numFmtId="0" fontId="0" fillId="55" borderId="57"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57" xfId="0" applyFont="1" applyFill="1" applyBorder="1" applyAlignment="1">
      <alignment vertical="center"/>
    </xf>
    <xf numFmtId="0" fontId="80" fillId="14" borderId="57" xfId="0" applyFont="1" applyFill="1" applyBorder="1" applyAlignment="1">
      <alignment vertical="center"/>
    </xf>
    <xf numFmtId="0" fontId="80" fillId="48" borderId="57" xfId="0" applyFont="1" applyFill="1" applyBorder="1" applyAlignment="1">
      <alignment vertical="center"/>
    </xf>
    <xf numFmtId="0" fontId="80" fillId="11" borderId="57" xfId="0" applyFont="1" applyFill="1" applyBorder="1" applyAlignment="1">
      <alignment vertical="center"/>
    </xf>
    <xf numFmtId="168" fontId="38" fillId="13" borderId="7" xfId="0" applyNumberFormat="1" applyFont="1" applyFill="1" applyBorder="1" applyAlignment="1" applyProtection="1"/>
    <xf numFmtId="168" fontId="7" fillId="2" borderId="0" xfId="0" applyNumberFormat="1" applyFont="1" applyFill="1" applyBorder="1" applyAlignment="1" applyProtection="1">
      <alignment horizontal="center"/>
      <protection locked="0"/>
    </xf>
    <xf numFmtId="168" fontId="6" fillId="2" borderId="0" xfId="0" applyNumberFormat="1" applyFont="1" applyFill="1" applyBorder="1" applyAlignment="1" applyProtection="1">
      <alignment horizontal="center"/>
      <protection locked="0"/>
    </xf>
    <xf numFmtId="168" fontId="19" fillId="2" borderId="0" xfId="0" applyNumberFormat="1" applyFont="1" applyFill="1" applyBorder="1" applyAlignment="1" applyProtection="1">
      <alignment horizontal="center"/>
    </xf>
    <xf numFmtId="168" fontId="19" fillId="2" borderId="0" xfId="0" applyNumberFormat="1" applyFont="1" applyFill="1" applyAlignment="1" applyProtection="1">
      <alignment horizontal="center"/>
    </xf>
    <xf numFmtId="168" fontId="8" fillId="2" borderId="1" xfId="0" applyNumberFormat="1" applyFont="1" applyFill="1" applyBorder="1" applyAlignment="1">
      <alignment horizontal="center"/>
    </xf>
    <xf numFmtId="168"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67" xfId="0" applyNumberFormat="1" applyBorder="1" applyAlignment="1">
      <alignment horizontal="center"/>
    </xf>
    <xf numFmtId="0" fontId="8" fillId="0" borderId="49" xfId="0" applyNumberFormat="1" applyFont="1" applyBorder="1" applyAlignment="1">
      <alignment horizontal="center" wrapText="1"/>
    </xf>
    <xf numFmtId="0" fontId="8" fillId="0" borderId="45" xfId="0" applyNumberFormat="1" applyFont="1" applyBorder="1" applyAlignment="1">
      <alignment horizontal="center" wrapText="1"/>
    </xf>
    <xf numFmtId="0" fontId="8" fillId="7" borderId="45" xfId="0" applyNumberFormat="1" applyFont="1" applyFill="1" applyBorder="1" applyAlignment="1">
      <alignment horizontal="left" wrapText="1"/>
    </xf>
    <xf numFmtId="0" fontId="0" fillId="0" borderId="11" xfId="0" applyNumberFormat="1" applyBorder="1" applyAlignment="1" applyProtection="1">
      <alignment horizontal="center"/>
      <protection locked="0"/>
    </xf>
    <xf numFmtId="0" fontId="112" fillId="47" borderId="0" xfId="0" applyFont="1" applyFill="1"/>
    <xf numFmtId="0" fontId="80" fillId="14" borderId="0" xfId="0" applyNumberFormat="1" applyFont="1" applyFill="1" applyBorder="1" applyAlignment="1">
      <alignment vertical="center"/>
    </xf>
    <xf numFmtId="0" fontId="80" fillId="48" borderId="0" xfId="0" applyNumberFormat="1" applyFont="1" applyFill="1" applyBorder="1" applyAlignment="1">
      <alignment vertical="center"/>
    </xf>
    <xf numFmtId="0" fontId="80" fillId="11" borderId="0" xfId="0" applyNumberFormat="1" applyFont="1" applyFill="1" applyBorder="1" applyAlignment="1">
      <alignment vertical="center"/>
    </xf>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78" xfId="0" applyFont="1" applyBorder="1" applyAlignment="1" applyProtection="1">
      <alignment horizontal="center"/>
      <protection locked="0"/>
    </xf>
    <xf numFmtId="167" fontId="2" fillId="51" borderId="79" xfId="0" applyNumberFormat="1" applyFont="1" applyFill="1" applyBorder="1" applyAlignment="1" applyProtection="1">
      <alignment horizontal="center"/>
    </xf>
    <xf numFmtId="169" fontId="7" fillId="56" borderId="71" xfId="0" applyNumberFormat="1" applyFont="1" applyFill="1" applyBorder="1" applyAlignment="1" applyProtection="1">
      <alignment horizontal="center"/>
      <protection locked="0"/>
    </xf>
    <xf numFmtId="0" fontId="84" fillId="11" borderId="78" xfId="0" applyFont="1" applyFill="1" applyBorder="1" applyAlignment="1">
      <alignment vertical="center"/>
    </xf>
    <xf numFmtId="0" fontId="2" fillId="0" borderId="78" xfId="0" applyFont="1" applyBorder="1" applyAlignment="1" applyProtection="1">
      <alignment horizontal="center"/>
    </xf>
    <xf numFmtId="167" fontId="2" fillId="51" borderId="80" xfId="0" applyNumberFormat="1" applyFont="1" applyFill="1" applyBorder="1" applyAlignment="1" applyProtection="1">
      <alignment horizontal="center"/>
    </xf>
    <xf numFmtId="169" fontId="7" fillId="56" borderId="81" xfId="0" applyNumberFormat="1" applyFont="1" applyFill="1" applyBorder="1" applyAlignment="1" applyProtection="1">
      <alignment horizontal="center"/>
      <protection locked="0"/>
    </xf>
    <xf numFmtId="0" fontId="67" fillId="50" borderId="71" xfId="0" applyFont="1" applyFill="1" applyBorder="1" applyAlignment="1">
      <alignment vertical="center"/>
    </xf>
    <xf numFmtId="0" fontId="2" fillId="0" borderId="71" xfId="0" applyFont="1" applyBorder="1" applyAlignment="1" applyProtection="1">
      <alignment horizontal="center"/>
    </xf>
    <xf numFmtId="167" fontId="2" fillId="51" borderId="71" xfId="0" quotePrefix="1" applyNumberFormat="1" applyFont="1" applyFill="1" applyBorder="1" applyAlignment="1" applyProtection="1">
      <alignment horizontal="center"/>
    </xf>
    <xf numFmtId="0" fontId="8" fillId="2" borderId="0"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45"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69" xfId="0" applyNumberFormat="1" applyFont="1" applyFill="1" applyBorder="1" applyAlignment="1" applyProtection="1">
      <alignment horizontal="center"/>
    </xf>
    <xf numFmtId="14" fontId="106" fillId="2" borderId="0" xfId="0" applyNumberFormat="1" applyFont="1" applyFill="1" applyBorder="1" applyAlignment="1" applyProtection="1">
      <alignment vertical="top" wrapText="1"/>
    </xf>
    <xf numFmtId="0" fontId="8" fillId="2" borderId="52" xfId="0" applyNumberFormat="1" applyFont="1" applyFill="1" applyBorder="1" applyAlignment="1" applyProtection="1">
      <alignment horizontal="center" wrapText="1"/>
    </xf>
    <xf numFmtId="0" fontId="113" fillId="0" borderId="0" xfId="0" applyNumberFormat="1" applyFont="1" applyFill="1" applyBorder="1" applyAlignment="1" applyProtection="1"/>
    <xf numFmtId="49" fontId="113" fillId="2" borderId="0" xfId="0" applyNumberFormat="1" applyFont="1" applyFill="1" applyBorder="1" applyAlignment="1" applyProtection="1">
      <protection locked="0"/>
    </xf>
    <xf numFmtId="0" fontId="112" fillId="0" borderId="0" xfId="0" applyFont="1" applyFill="1"/>
    <xf numFmtId="166" fontId="112" fillId="0" borderId="0" xfId="0" applyNumberFormat="1" applyFont="1" applyFill="1" applyBorder="1" applyAlignment="1" applyProtection="1"/>
    <xf numFmtId="0" fontId="116" fillId="11" borderId="0" xfId="0" quotePrefix="1" applyNumberFormat="1" applyFont="1" applyFill="1" applyBorder="1" applyAlignment="1" applyProtection="1"/>
    <xf numFmtId="0" fontId="112" fillId="0" borderId="0" xfId="0" applyFont="1"/>
    <xf numFmtId="0" fontId="112" fillId="0" borderId="0" xfId="0" applyNumberFormat="1" applyFont="1" applyFill="1" applyBorder="1" applyAlignment="1" applyProtection="1"/>
    <xf numFmtId="0" fontId="114" fillId="10" borderId="0" xfId="0" applyNumberFormat="1" applyFont="1" applyFill="1" applyBorder="1" applyAlignment="1" applyProtection="1"/>
    <xf numFmtId="0" fontId="117" fillId="11" borderId="0" xfId="0" applyNumberFormat="1" applyFont="1" applyFill="1" applyBorder="1" applyAlignment="1" applyProtection="1"/>
    <xf numFmtId="3" fontId="73" fillId="0" borderId="0" xfId="0" applyNumberFormat="1" applyFont="1" applyFill="1" applyBorder="1" applyAlignment="1" applyProtection="1"/>
    <xf numFmtId="0" fontId="116" fillId="0" borderId="0" xfId="0" applyNumberFormat="1" applyFont="1" applyFill="1" applyBorder="1" applyAlignment="1" applyProtection="1"/>
    <xf numFmtId="0" fontId="112" fillId="0" borderId="0" xfId="0" applyFont="1" applyFill="1" applyAlignment="1">
      <alignment horizontal="left"/>
    </xf>
    <xf numFmtId="0" fontId="116" fillId="0" borderId="0" xfId="0" quotePrefix="1" applyNumberFormat="1" applyFont="1" applyFill="1" applyBorder="1" applyAlignment="1" applyProtection="1"/>
    <xf numFmtId="0" fontId="112"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4" fillId="0" borderId="0" xfId="0" applyFont="1" applyFill="1"/>
    <xf numFmtId="0" fontId="73" fillId="0" borderId="0" xfId="0" quotePrefix="1" applyNumberFormat="1" applyFont="1" applyFill="1" applyBorder="1" applyAlignment="1" applyProtection="1"/>
    <xf numFmtId="0" fontId="118" fillId="0" borderId="0" xfId="0" applyNumberFormat="1" applyFont="1" applyFill="1" applyBorder="1" applyAlignment="1" applyProtection="1">
      <alignment wrapText="1"/>
    </xf>
    <xf numFmtId="0" fontId="118" fillId="0" borderId="0" xfId="0" applyNumberFormat="1" applyFont="1" applyFill="1" applyBorder="1" applyAlignment="1" applyProtection="1">
      <alignment horizontal="left" wrapText="1"/>
    </xf>
    <xf numFmtId="0" fontId="114"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9" fillId="0" borderId="0" xfId="0" quotePrefix="1" applyNumberFormat="1" applyFont="1" applyFill="1" applyBorder="1" applyAlignment="1" applyProtection="1">
      <alignment wrapText="1"/>
    </xf>
    <xf numFmtId="0" fontId="114" fillId="0" borderId="0" xfId="0" applyNumberFormat="1" applyFont="1" applyFill="1" applyBorder="1" applyAlignment="1" applyProtection="1"/>
    <xf numFmtId="0" fontId="114" fillId="0" borderId="0" xfId="0" quotePrefix="1" applyNumberFormat="1" applyFont="1" applyFill="1" applyBorder="1" applyAlignment="1" applyProtection="1"/>
    <xf numFmtId="14" fontId="114" fillId="0" borderId="0" xfId="0" applyNumberFormat="1" applyFont="1" applyFill="1" applyBorder="1" applyAlignment="1" applyProtection="1"/>
    <xf numFmtId="0" fontId="114" fillId="0" borderId="0" xfId="0" applyNumberFormat="1" applyFont="1" applyFill="1" applyBorder="1" applyAlignment="1" applyProtection="1">
      <alignment horizontal="left"/>
    </xf>
    <xf numFmtId="0" fontId="114" fillId="0" borderId="0" xfId="0" applyNumberFormat="1" applyFont="1" applyFill="1" applyBorder="1" applyAlignment="1" applyProtection="1">
      <alignment horizontal="right"/>
    </xf>
    <xf numFmtId="0" fontId="114" fillId="0" borderId="0" xfId="0" applyFont="1" applyFill="1" applyAlignment="1" applyProtection="1"/>
    <xf numFmtId="3" fontId="114" fillId="0" borderId="0" xfId="0" applyNumberFormat="1" applyFont="1" applyFill="1" applyBorder="1" applyAlignment="1" applyProtection="1">
      <alignment horizontal="left"/>
    </xf>
    <xf numFmtId="0" fontId="114" fillId="2" borderId="0" xfId="0" applyFont="1" applyFill="1" applyAlignment="1" applyProtection="1"/>
    <xf numFmtId="49" fontId="114" fillId="0" borderId="0" xfId="0" applyNumberFormat="1" applyFont="1" applyFill="1" applyBorder="1" applyAlignment="1" applyProtection="1"/>
    <xf numFmtId="0" fontId="114" fillId="0" borderId="0" xfId="0" applyNumberFormat="1" applyFont="1" applyFill="1" applyBorder="1" applyAlignment="1" applyProtection="1">
      <alignment wrapText="1"/>
      <protection locked="0"/>
    </xf>
    <xf numFmtId="165" fontId="114" fillId="0" borderId="0" xfId="1" applyNumberFormat="1" applyFont="1" applyFill="1" applyBorder="1" applyAlignment="1" applyProtection="1">
      <alignment horizontal="left"/>
    </xf>
    <xf numFmtId="0" fontId="114"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8" fillId="2" borderId="0" xfId="0" applyNumberFormat="1" applyFont="1" applyFill="1" applyBorder="1" applyAlignment="1" applyProtection="1">
      <alignment horizontal="center"/>
      <protection locked="0"/>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104" fillId="10" borderId="69" xfId="0" applyNumberFormat="1" applyFont="1" applyFill="1" applyBorder="1" applyAlignment="1" applyProtection="1">
      <alignment horizontal="center" vertical="center"/>
      <protection locked="0"/>
    </xf>
    <xf numFmtId="0" fontId="19" fillId="7" borderId="69" xfId="0" applyNumberFormat="1" applyFont="1" applyFill="1" applyBorder="1" applyAlignment="1" applyProtection="1">
      <alignment horizontal="center"/>
    </xf>
    <xf numFmtId="49" fontId="37" fillId="13" borderId="59" xfId="0" applyNumberFormat="1" applyFont="1" applyFill="1" applyBorder="1" applyAlignment="1" applyProtection="1"/>
    <xf numFmtId="14" fontId="38" fillId="13" borderId="59" xfId="0" applyNumberFormat="1" applyFont="1" applyFill="1" applyBorder="1" applyAlignment="1" applyProtection="1"/>
    <xf numFmtId="49" fontId="38" fillId="13" borderId="59" xfId="0" applyNumberFormat="1" applyFont="1" applyFill="1" applyBorder="1" applyAlignment="1" applyProtection="1"/>
    <xf numFmtId="0" fontId="38" fillId="13" borderId="59" xfId="0" applyNumberFormat="1" applyFont="1" applyFill="1" applyBorder="1" applyAlignment="1" applyProtection="1"/>
    <xf numFmtId="0" fontId="38" fillId="13" borderId="69" xfId="0" applyNumberFormat="1" applyFont="1" applyFill="1" applyBorder="1" applyAlignment="1" applyProtection="1"/>
    <xf numFmtId="0" fontId="0" fillId="10" borderId="56" xfId="0" applyNumberFormat="1" applyFont="1" applyFill="1" applyBorder="1" applyAlignment="1" applyProtection="1">
      <alignment horizontal="center"/>
      <protection locked="0"/>
    </xf>
    <xf numFmtId="0" fontId="36" fillId="10" borderId="56" xfId="0" applyNumberFormat="1" applyFont="1" applyFill="1" applyBorder="1" applyAlignment="1" applyProtection="1">
      <alignment horizontal="left"/>
      <protection locked="0"/>
    </xf>
    <xf numFmtId="0" fontId="36" fillId="10" borderId="56" xfId="0" applyNumberFormat="1" applyFont="1" applyFill="1" applyBorder="1" applyAlignment="1" applyProtection="1">
      <alignment horizontal="center"/>
      <protection locked="0"/>
    </xf>
    <xf numFmtId="0" fontId="7" fillId="7" borderId="70" xfId="0" applyNumberFormat="1" applyFont="1" applyFill="1" applyBorder="1" applyProtection="1">
      <protection locked="0"/>
    </xf>
    <xf numFmtId="0" fontId="7" fillId="7" borderId="57" xfId="0" applyNumberFormat="1" applyFont="1" applyFill="1" applyBorder="1" applyProtection="1">
      <protection locked="0"/>
    </xf>
    <xf numFmtId="0" fontId="7" fillId="7" borderId="46" xfId="0" applyNumberFormat="1" applyFont="1" applyFill="1" applyBorder="1" applyProtection="1">
      <protection locked="0"/>
    </xf>
    <xf numFmtId="0" fontId="7" fillId="7" borderId="69" xfId="0" applyNumberFormat="1" applyFont="1" applyFill="1" applyBorder="1" applyAlignment="1" applyProtection="1">
      <alignment horizontal="center"/>
      <protection locked="0"/>
    </xf>
    <xf numFmtId="0" fontId="8" fillId="7" borderId="56" xfId="0" applyNumberFormat="1" applyFont="1" applyFill="1" applyBorder="1" applyAlignment="1" applyProtection="1"/>
    <xf numFmtId="49" fontId="8" fillId="2" borderId="45" xfId="0" applyNumberFormat="1" applyFont="1" applyFill="1" applyBorder="1" applyAlignment="1">
      <alignment horizontal="center"/>
    </xf>
    <xf numFmtId="0" fontId="8" fillId="7" borderId="45"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wrapText="1"/>
    </xf>
    <xf numFmtId="0" fontId="8" fillId="7" borderId="37" xfId="0" applyNumberFormat="1" applyFont="1" applyFill="1" applyBorder="1" applyAlignment="1" applyProtection="1">
      <alignment horizontal="center" wrapText="1"/>
    </xf>
    <xf numFmtId="14" fontId="37" fillId="13" borderId="59" xfId="0" applyNumberFormat="1" applyFont="1" applyFill="1" applyBorder="1" applyAlignment="1" applyProtection="1"/>
    <xf numFmtId="0" fontId="37" fillId="13" borderId="50" xfId="0" applyNumberFormat="1" applyFont="1" applyFill="1" applyBorder="1" applyAlignment="1" applyProtection="1"/>
    <xf numFmtId="0" fontId="37" fillId="13" borderId="81" xfId="0" applyNumberFormat="1" applyFont="1" applyFill="1" applyBorder="1" applyAlignment="1" applyProtection="1"/>
    <xf numFmtId="49" fontId="37" fillId="13" borderId="50" xfId="0" applyNumberFormat="1" applyFont="1" applyFill="1" applyBorder="1" applyAlignment="1" applyProtection="1">
      <alignment horizontal="left"/>
    </xf>
    <xf numFmtId="0" fontId="37" fillId="13" borderId="82" xfId="0" applyNumberFormat="1" applyFont="1" applyFill="1" applyBorder="1" applyAlignment="1" applyProtection="1"/>
    <xf numFmtId="0" fontId="37" fillId="13" borderId="56" xfId="0" applyNumberFormat="1" applyFont="1" applyFill="1" applyBorder="1" applyAlignment="1" applyProtection="1"/>
    <xf numFmtId="0" fontId="102" fillId="10" borderId="16" xfId="0" applyNumberFormat="1" applyFont="1" applyFill="1" applyBorder="1" applyAlignment="1" applyProtection="1">
      <alignment horizontal="center"/>
      <protection locked="0"/>
    </xf>
    <xf numFmtId="0" fontId="102" fillId="10" borderId="3" xfId="0" applyNumberFormat="1" applyFont="1" applyFill="1" applyBorder="1" applyAlignment="1" applyProtection="1">
      <alignment horizontal="center"/>
      <protection locked="0"/>
    </xf>
    <xf numFmtId="0" fontId="0" fillId="10" borderId="16" xfId="0" applyNumberFormat="1" applyFont="1" applyFill="1" applyBorder="1" applyAlignment="1" applyProtection="1">
      <alignment horizontal="center"/>
      <protection locked="0"/>
    </xf>
    <xf numFmtId="0" fontId="0" fillId="10" borderId="57" xfId="0" applyNumberFormat="1" applyFont="1" applyFill="1" applyBorder="1" applyAlignment="1" applyProtection="1">
      <alignment horizontal="center"/>
      <protection locked="0"/>
    </xf>
    <xf numFmtId="0" fontId="0" fillId="10" borderId="3" xfId="0" applyNumberFormat="1" applyFont="1" applyFill="1" applyBorder="1" applyAlignment="1" applyProtection="1">
      <alignment horizontal="center"/>
      <protection locked="0"/>
    </xf>
    <xf numFmtId="49" fontId="30" fillId="7" borderId="59" xfId="0" applyNumberFormat="1" applyFont="1" applyFill="1" applyBorder="1" applyAlignment="1" applyProtection="1">
      <alignment vertical="top"/>
    </xf>
    <xf numFmtId="14" fontId="11" fillId="7" borderId="69" xfId="0" applyNumberFormat="1" applyFont="1" applyFill="1" applyBorder="1" applyAlignment="1" applyProtection="1">
      <alignment vertical="top"/>
    </xf>
    <xf numFmtId="49" fontId="11" fillId="7" borderId="69" xfId="0" applyNumberFormat="1" applyFont="1" applyFill="1" applyBorder="1" applyAlignment="1" applyProtection="1">
      <alignment vertical="top"/>
    </xf>
    <xf numFmtId="0" fontId="69" fillId="10" borderId="57" xfId="0" applyNumberFormat="1" applyFont="1" applyFill="1" applyBorder="1" applyAlignment="1" applyProtection="1">
      <alignment horizontal="center"/>
      <protection locked="0"/>
    </xf>
    <xf numFmtId="0" fontId="69" fillId="10" borderId="0" xfId="0" applyNumberFormat="1" applyFont="1" applyFill="1" applyBorder="1" applyAlignment="1" applyProtection="1">
      <alignment horizontal="center"/>
      <protection locked="0"/>
    </xf>
    <xf numFmtId="0" fontId="69" fillId="10" borderId="16" xfId="0" applyNumberFormat="1" applyFont="1" applyFill="1" applyBorder="1" applyAlignment="1" applyProtection="1">
      <alignment horizontal="center"/>
      <protection locked="0"/>
    </xf>
    <xf numFmtId="0" fontId="69" fillId="10" borderId="3" xfId="0" applyNumberFormat="1" applyFont="1" applyFill="1" applyBorder="1" applyAlignment="1" applyProtection="1">
      <alignment horizontal="center"/>
      <protection locked="0"/>
    </xf>
    <xf numFmtId="0" fontId="104" fillId="10" borderId="58" xfId="0" applyNumberFormat="1" applyFont="1" applyFill="1" applyBorder="1" applyAlignment="1" applyProtection="1">
      <alignment horizontal="center" wrapText="1"/>
      <protection locked="0"/>
    </xf>
    <xf numFmtId="0" fontId="104" fillId="10" borderId="71" xfId="0" applyNumberFormat="1" applyFont="1" applyFill="1" applyBorder="1" applyAlignment="1" applyProtection="1">
      <alignment horizontal="center" wrapText="1"/>
      <protection locked="0"/>
    </xf>
    <xf numFmtId="0" fontId="0" fillId="10" borderId="70" xfId="0" applyNumberFormat="1" applyFont="1" applyFill="1" applyBorder="1" applyAlignment="1" applyProtection="1">
      <protection locked="0"/>
    </xf>
    <xf numFmtId="0" fontId="0" fillId="10" borderId="81" xfId="0" applyNumberFormat="1" applyFont="1" applyFill="1" applyBorder="1" applyAlignment="1" applyProtection="1">
      <protection locked="0"/>
    </xf>
    <xf numFmtId="0" fontId="0" fillId="10" borderId="16" xfId="0" applyNumberFormat="1" applyFont="1" applyFill="1" applyBorder="1" applyAlignment="1" applyProtection="1">
      <protection locked="0"/>
    </xf>
    <xf numFmtId="0" fontId="0" fillId="10" borderId="3" xfId="0" applyNumberFormat="1" applyFont="1" applyFill="1" applyBorder="1" applyAlignment="1" applyProtection="1">
      <protection locked="0"/>
    </xf>
    <xf numFmtId="0" fontId="8" fillId="10" borderId="45" xfId="0" applyNumberFormat="1" applyFont="1" applyFill="1" applyBorder="1" applyAlignment="1" applyProtection="1">
      <alignment horizontal="center" wrapText="1"/>
      <protection locked="0"/>
    </xf>
    <xf numFmtId="0" fontId="8" fillId="10" borderId="49" xfId="0" applyNumberFormat="1" applyFont="1" applyFill="1" applyBorder="1" applyAlignment="1" applyProtection="1">
      <alignment horizontal="center" wrapText="1"/>
      <protection locked="0"/>
    </xf>
    <xf numFmtId="0" fontId="8" fillId="10" borderId="37" xfId="0" applyNumberFormat="1" applyFont="1" applyFill="1" applyBorder="1" applyAlignment="1" applyProtection="1">
      <alignment horizontal="center" wrapText="1"/>
      <protection locked="0"/>
    </xf>
    <xf numFmtId="0" fontId="8" fillId="10" borderId="83" xfId="0" applyNumberFormat="1" applyFont="1" applyFill="1" applyBorder="1" applyAlignment="1" applyProtection="1">
      <alignment horizontal="center" wrapText="1"/>
      <protection locked="0"/>
    </xf>
    <xf numFmtId="0" fontId="37" fillId="11" borderId="59" xfId="0" applyNumberFormat="1" applyFont="1" applyFill="1" applyBorder="1" applyAlignment="1" applyProtection="1"/>
    <xf numFmtId="49" fontId="37" fillId="11" borderId="59" xfId="0" applyNumberFormat="1" applyFont="1" applyFill="1" applyBorder="1" applyAlignment="1" applyProtection="1">
      <alignment horizontal="left"/>
    </xf>
    <xf numFmtId="0" fontId="37" fillId="11" borderId="69" xfId="0" applyNumberFormat="1" applyFont="1" applyFill="1" applyBorder="1" applyAlignment="1" applyProtection="1"/>
    <xf numFmtId="0" fontId="37" fillId="11" borderId="65" xfId="0" applyNumberFormat="1" applyFont="1" applyFill="1" applyBorder="1" applyAlignment="1" applyProtection="1"/>
    <xf numFmtId="0" fontId="0" fillId="11" borderId="0" xfId="0" applyNumberFormat="1" applyFill="1"/>
    <xf numFmtId="0" fontId="0" fillId="7" borderId="56" xfId="0" applyNumberFormat="1" applyFill="1" applyBorder="1" applyAlignment="1" applyProtection="1">
      <alignment vertical="top"/>
      <protection locked="0"/>
    </xf>
    <xf numFmtId="0" fontId="0" fillId="10" borderId="0" xfId="0" applyNumberFormat="1" applyFont="1" applyFill="1" applyAlignment="1" applyProtection="1">
      <alignment horizontal="left"/>
      <protection locked="0"/>
    </xf>
    <xf numFmtId="0" fontId="0" fillId="10" borderId="0" xfId="0" applyNumberFormat="1" applyFont="1" applyFill="1" applyAlignment="1" applyProtection="1">
      <alignment horizontal="left" vertical="top"/>
      <protection locked="0"/>
    </xf>
    <xf numFmtId="0" fontId="19" fillId="2" borderId="69" xfId="0" applyNumberFormat="1" applyFont="1" applyFill="1" applyBorder="1" applyAlignment="1" applyProtection="1">
      <alignment horizontal="center" vertical="center"/>
    </xf>
    <xf numFmtId="0" fontId="8" fillId="2" borderId="69" xfId="0" applyNumberFormat="1" applyFont="1" applyFill="1" applyBorder="1" applyAlignment="1" applyProtection="1">
      <alignment horizontal="center" vertical="center"/>
    </xf>
    <xf numFmtId="0" fontId="109" fillId="0" borderId="71" xfId="0" applyFont="1" applyBorder="1" applyAlignment="1">
      <alignment horizontal="center" vertical="center" wrapText="1"/>
    </xf>
    <xf numFmtId="0" fontId="0" fillId="0" borderId="45" xfId="0" applyBorder="1" applyAlignment="1">
      <alignment horizontal="center" vertical="center" wrapText="1"/>
    </xf>
    <xf numFmtId="49" fontId="109" fillId="0" borderId="51" xfId="0" applyNumberFormat="1" applyFont="1" applyBorder="1" applyAlignment="1">
      <alignment horizontal="center" vertical="center" wrapText="1"/>
    </xf>
    <xf numFmtId="2" fontId="0" fillId="0" borderId="0" xfId="0" applyNumberFormat="1"/>
    <xf numFmtId="11" fontId="0" fillId="0" borderId="0" xfId="0" applyNumberFormat="1"/>
    <xf numFmtId="0" fontId="37" fillId="13" borderId="69" xfId="0" applyNumberFormat="1" applyFont="1" applyFill="1" applyBorder="1" applyAlignment="1" applyProtection="1"/>
    <xf numFmtId="0" fontId="0" fillId="10" borderId="0" xfId="0" applyNumberFormat="1" applyFont="1" applyFill="1" applyBorder="1" applyAlignment="1" applyProtection="1">
      <alignment horizontal="center" wrapText="1"/>
      <protection locked="0"/>
    </xf>
    <xf numFmtId="0" fontId="0" fillId="10" borderId="56" xfId="0" applyNumberFormat="1" applyFont="1" applyFill="1" applyBorder="1" applyAlignment="1" applyProtection="1">
      <alignment horizontal="center" wrapText="1"/>
      <protection locked="0"/>
    </xf>
    <xf numFmtId="0" fontId="85" fillId="10" borderId="56" xfId="0" applyNumberFormat="1" applyFont="1" applyFill="1" applyBorder="1" applyAlignment="1" applyProtection="1">
      <alignment vertical="center" wrapText="1"/>
      <protection locked="0"/>
    </xf>
    <xf numFmtId="0" fontId="85" fillId="10" borderId="0" xfId="0" applyNumberFormat="1" applyFont="1" applyFill="1" applyBorder="1" applyAlignment="1" applyProtection="1">
      <alignment vertical="center" wrapText="1"/>
      <protection locked="0"/>
    </xf>
    <xf numFmtId="0" fontId="0" fillId="10" borderId="57" xfId="0" applyNumberFormat="1" applyFont="1" applyFill="1" applyBorder="1" applyAlignment="1" applyProtection="1">
      <alignment horizontal="center" wrapText="1"/>
      <protection locked="0"/>
    </xf>
    <xf numFmtId="0" fontId="0" fillId="10" borderId="8" xfId="0" applyNumberFormat="1" applyFont="1" applyFill="1" applyBorder="1" applyAlignment="1" applyProtection="1">
      <alignment horizontal="center" wrapText="1"/>
      <protection locked="0"/>
    </xf>
    <xf numFmtId="0" fontId="0" fillId="10" borderId="0" xfId="0" applyNumberFormat="1" applyFont="1" applyFill="1" applyBorder="1" applyAlignment="1" applyProtection="1">
      <alignment horizontal="centerContinuous" wrapText="1"/>
      <protection locked="0"/>
    </xf>
    <xf numFmtId="0" fontId="0" fillId="10" borderId="57" xfId="0" applyNumberFormat="1" applyFont="1" applyFill="1" applyBorder="1" applyAlignment="1" applyProtection="1">
      <alignment horizontal="centerContinuous" wrapText="1"/>
      <protection locked="0"/>
    </xf>
    <xf numFmtId="0" fontId="69" fillId="0" borderId="57" xfId="0" applyNumberFormat="1" applyFont="1" applyBorder="1"/>
    <xf numFmtId="0" fontId="69" fillId="0" borderId="0" xfId="0" applyNumberFormat="1" applyFont="1" applyAlignment="1">
      <alignment wrapText="1"/>
    </xf>
    <xf numFmtId="0" fontId="0" fillId="10" borderId="70" xfId="0" applyNumberFormat="1" applyFont="1" applyFill="1" applyBorder="1" applyAlignment="1" applyProtection="1">
      <alignment horizontal="center" wrapText="1"/>
      <protection locked="0"/>
    </xf>
    <xf numFmtId="49" fontId="30" fillId="7" borderId="50" xfId="0" applyNumberFormat="1" applyFont="1" applyFill="1" applyBorder="1" applyAlignment="1" applyProtection="1">
      <alignment vertical="top"/>
    </xf>
    <xf numFmtId="14" fontId="11" fillId="7" borderId="56" xfId="0" applyNumberFormat="1" applyFont="1" applyFill="1" applyBorder="1" applyAlignment="1" applyProtection="1">
      <alignment vertical="top"/>
    </xf>
    <xf numFmtId="49" fontId="11" fillId="7" borderId="56" xfId="0" applyNumberFormat="1" applyFont="1" applyFill="1" applyBorder="1" applyAlignment="1" applyProtection="1">
      <alignment vertical="top"/>
    </xf>
    <xf numFmtId="0" fontId="0" fillId="0" borderId="57" xfId="0" applyNumberFormat="1" applyBorder="1"/>
    <xf numFmtId="49" fontId="19" fillId="2" borderId="69" xfId="0" applyNumberFormat="1" applyFont="1" applyFill="1" applyBorder="1" applyAlignment="1" applyProtection="1">
      <alignment horizontal="center"/>
    </xf>
    <xf numFmtId="14" fontId="19" fillId="0" borderId="69" xfId="0" applyNumberFormat="1" applyFont="1" applyFill="1" applyBorder="1" applyAlignment="1" applyProtection="1">
      <alignment horizontal="center"/>
    </xf>
    <xf numFmtId="0" fontId="0" fillId="10" borderId="69" xfId="0" applyNumberFormat="1" applyFont="1" applyFill="1" applyBorder="1" applyAlignment="1" applyProtection="1">
      <alignment horizontal="center"/>
      <protection locked="0"/>
    </xf>
    <xf numFmtId="0" fontId="0" fillId="10" borderId="69" xfId="0" applyNumberFormat="1" applyFont="1" applyFill="1" applyBorder="1" applyAlignment="1" applyProtection="1">
      <alignment horizontal="center" wrapText="1"/>
      <protection locked="0"/>
    </xf>
    <xf numFmtId="0" fontId="8" fillId="2" borderId="81" xfId="0" applyNumberFormat="1" applyFont="1" applyFill="1" applyBorder="1" applyAlignment="1" applyProtection="1">
      <alignment horizontal="center"/>
    </xf>
    <xf numFmtId="0" fontId="0" fillId="10" borderId="50" xfId="0" applyNumberFormat="1" applyFont="1" applyFill="1" applyBorder="1" applyAlignment="1" applyProtection="1">
      <alignment horizontal="center" wrapText="1"/>
      <protection locked="0"/>
    </xf>
    <xf numFmtId="0" fontId="0" fillId="10" borderId="8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xf>
    <xf numFmtId="0" fontId="8" fillId="2" borderId="61" xfId="0" applyNumberFormat="1" applyFont="1" applyFill="1" applyBorder="1" applyAlignment="1" applyProtection="1">
      <alignment horizontal="center" wrapText="1"/>
    </xf>
    <xf numFmtId="0" fontId="8" fillId="2" borderId="53" xfId="0" applyNumberFormat="1" applyFont="1" applyFill="1" applyBorder="1" applyAlignment="1" applyProtection="1">
      <alignment horizontal="center" wrapText="1"/>
    </xf>
    <xf numFmtId="0" fontId="69" fillId="0" borderId="16" xfId="0" applyNumberFormat="1" applyFont="1" applyBorder="1"/>
    <xf numFmtId="0" fontId="69" fillId="0" borderId="84" xfId="0" applyNumberFormat="1" applyFont="1" applyBorder="1"/>
    <xf numFmtId="0" fontId="69" fillId="0" borderId="85" xfId="0" applyNumberFormat="1" applyFont="1" applyBorder="1" applyAlignment="1">
      <alignment wrapText="1"/>
    </xf>
    <xf numFmtId="0" fontId="69" fillId="0" borderId="84" xfId="0" applyNumberFormat="1" applyFont="1" applyBorder="1" applyAlignment="1">
      <alignment wrapText="1"/>
    </xf>
    <xf numFmtId="11" fontId="69" fillId="0" borderId="57" xfId="0" applyNumberFormat="1" applyFont="1" applyBorder="1"/>
    <xf numFmtId="0" fontId="0" fillId="0" borderId="16" xfId="0" applyBorder="1"/>
    <xf numFmtId="0" fontId="69" fillId="0" borderId="57" xfId="0" applyFont="1" applyBorder="1"/>
    <xf numFmtId="0" fontId="69" fillId="0" borderId="16" xfId="0" applyNumberFormat="1" applyFont="1" applyBorder="1" applyAlignment="1">
      <alignment wrapText="1"/>
    </xf>
    <xf numFmtId="0" fontId="69" fillId="0" borderId="57" xfId="0" applyNumberFormat="1" applyFont="1" applyBorder="1" applyAlignment="1">
      <alignment wrapText="1"/>
    </xf>
    <xf numFmtId="0" fontId="11" fillId="2" borderId="69" xfId="0" applyNumberFormat="1" applyFont="1" applyFill="1" applyBorder="1" applyAlignment="1" applyProtection="1">
      <alignment horizontal="left"/>
      <protection locked="0"/>
    </xf>
    <xf numFmtId="49" fontId="0" fillId="2" borderId="69" xfId="0" applyNumberFormat="1" applyFill="1" applyBorder="1" applyAlignment="1"/>
    <xf numFmtId="14" fontId="0" fillId="2" borderId="69" xfId="0" applyNumberFormat="1" applyFill="1" applyBorder="1" applyAlignment="1"/>
    <xf numFmtId="49" fontId="11" fillId="7" borderId="59" xfId="0" applyNumberFormat="1" applyFont="1" applyFill="1" applyBorder="1" applyAlignment="1" applyProtection="1">
      <alignment horizontal="left"/>
    </xf>
    <xf numFmtId="14" fontId="11" fillId="7" borderId="69" xfId="0" applyNumberFormat="1" applyFont="1" applyFill="1" applyBorder="1" applyAlignment="1" applyProtection="1">
      <alignment horizontal="center"/>
    </xf>
    <xf numFmtId="49" fontId="11" fillId="7" borderId="58"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wrapText="1"/>
    </xf>
    <xf numFmtId="14" fontId="7" fillId="2"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horizontal="center" wrapText="1"/>
    </xf>
    <xf numFmtId="0" fontId="0" fillId="0" borderId="0" xfId="0" applyAlignment="1">
      <alignment wrapText="1"/>
    </xf>
    <xf numFmtId="49" fontId="11" fillId="7" borderId="0" xfId="0" applyNumberFormat="1" applyFont="1" applyFill="1" applyBorder="1" applyAlignment="1" applyProtection="1">
      <alignment horizontal="center"/>
    </xf>
    <xf numFmtId="49" fontId="7" fillId="2" borderId="69" xfId="0" applyNumberFormat="1" applyFont="1" applyFill="1" applyBorder="1" applyAlignment="1" applyProtection="1">
      <alignment horizontal="left"/>
      <protection locked="0"/>
    </xf>
    <xf numFmtId="49" fontId="7" fillId="2" borderId="69" xfId="0" applyNumberFormat="1" applyFont="1" applyFill="1" applyBorder="1" applyAlignment="1" applyProtection="1">
      <alignment horizontal="center"/>
      <protection locked="0"/>
    </xf>
    <xf numFmtId="0" fontId="0" fillId="0" borderId="8" xfId="0" applyNumberFormat="1" applyBorder="1" applyAlignment="1">
      <alignment horizontal="center"/>
    </xf>
    <xf numFmtId="0" fontId="8" fillId="2" borderId="8" xfId="0" applyNumberFormat="1" applyFont="1" applyFill="1" applyBorder="1" applyAlignment="1" applyProtection="1">
      <alignment horizontal="center"/>
    </xf>
    <xf numFmtId="49" fontId="36" fillId="10" borderId="0" xfId="0" applyNumberFormat="1" applyFont="1" applyFill="1" applyBorder="1" applyAlignment="1" applyProtection="1">
      <alignment horizontal="center" wrapText="1"/>
      <protection locked="0"/>
    </xf>
    <xf numFmtId="0" fontId="19" fillId="2" borderId="69"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19" fillId="7" borderId="69" xfId="0" applyNumberFormat="1" applyFont="1" applyFill="1" applyBorder="1" applyAlignment="1" applyProtection="1">
      <alignment horizontal="center"/>
    </xf>
    <xf numFmtId="0" fontId="8" fillId="2" borderId="46" xfId="0" applyNumberFormat="1" applyFont="1" applyFill="1" applyBorder="1" applyAlignment="1" applyProtection="1">
      <alignment horizontal="center"/>
    </xf>
    <xf numFmtId="0" fontId="19" fillId="7" borderId="59" xfId="0" applyNumberFormat="1" applyFont="1" applyFill="1" applyBorder="1" applyAlignment="1" applyProtection="1">
      <alignment horizontal="center"/>
    </xf>
    <xf numFmtId="0" fontId="8" fillId="7" borderId="69" xfId="0" applyNumberFormat="1" applyFont="1" applyFill="1" applyBorder="1" applyAlignment="1" applyProtection="1">
      <alignment horizontal="center"/>
    </xf>
    <xf numFmtId="0" fontId="8" fillId="7" borderId="58" xfId="0" applyNumberFormat="1" applyFont="1" applyFill="1" applyBorder="1" applyAlignment="1" applyProtection="1">
      <alignment horizontal="center"/>
    </xf>
    <xf numFmtId="0" fontId="8" fillId="0" borderId="58" xfId="0" applyNumberFormat="1" applyFont="1" applyFill="1" applyBorder="1" applyAlignment="1" applyProtection="1">
      <alignment horizontal="center"/>
    </xf>
    <xf numFmtId="0" fontId="8" fillId="2" borderId="0" xfId="0" applyNumberFormat="1" applyFont="1" applyFill="1" applyBorder="1" applyAlignment="1" applyProtection="1">
      <alignment horizontal="center"/>
    </xf>
    <xf numFmtId="0" fontId="36" fillId="2" borderId="0" xfId="0" applyNumberFormat="1" applyFont="1" applyFill="1" applyBorder="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21" fillId="2" borderId="0" xfId="0" applyNumberFormat="1" applyFont="1" applyFill="1" applyBorder="1" applyAlignment="1" applyProtection="1">
      <alignment horizontal="center"/>
    </xf>
    <xf numFmtId="0" fontId="7" fillId="2" borderId="69" xfId="0" applyNumberFormat="1" applyFont="1" applyFill="1" applyBorder="1" applyAlignment="1" applyProtection="1">
      <alignment horizontal="center"/>
      <protection locked="0"/>
    </xf>
    <xf numFmtId="49" fontId="8" fillId="2" borderId="52" xfId="0" applyNumberFormat="1" applyFont="1" applyFill="1" applyBorder="1" applyAlignment="1">
      <alignment horizontal="center"/>
    </xf>
    <xf numFmtId="14" fontId="8" fillId="2" borderId="52" xfId="0" applyNumberFormat="1" applyFont="1" applyFill="1" applyBorder="1" applyAlignment="1" applyProtection="1">
      <alignment horizontal="center" wrapText="1"/>
    </xf>
    <xf numFmtId="0" fontId="7" fillId="2" borderId="69" xfId="0" applyNumberFormat="1" applyFont="1" applyFill="1" applyBorder="1" applyAlignment="1" applyProtection="1">
      <protection locked="0"/>
    </xf>
    <xf numFmtId="0" fontId="7" fillId="2" borderId="45" xfId="0" applyNumberFormat="1" applyFont="1" applyFill="1" applyBorder="1" applyAlignment="1" applyProtection="1">
      <alignment wrapText="1"/>
      <protection locked="0"/>
    </xf>
    <xf numFmtId="49" fontId="44" fillId="57" borderId="59" xfId="0" applyNumberFormat="1" applyFont="1" applyFill="1" applyBorder="1" applyAlignment="1" applyProtection="1">
      <alignment horizontal="left" vertical="top"/>
    </xf>
    <xf numFmtId="49" fontId="36" fillId="2" borderId="0" xfId="0" applyNumberFormat="1" applyFont="1" applyFill="1" applyBorder="1" applyAlignment="1" applyProtection="1">
      <alignment horizontal="left" wrapText="1"/>
      <protection locked="0"/>
    </xf>
    <xf numFmtId="49" fontId="118" fillId="2" borderId="0" xfId="0" applyNumberFormat="1" applyFont="1" applyFill="1" applyBorder="1" applyAlignment="1" applyProtection="1">
      <alignment horizontal="left" vertical="top"/>
      <protection locked="0"/>
    </xf>
    <xf numFmtId="14" fontId="126" fillId="2" borderId="0" xfId="0" applyNumberFormat="1" applyFont="1" applyFill="1" applyProtection="1">
      <protection locked="0"/>
    </xf>
    <xf numFmtId="49" fontId="126" fillId="2" borderId="0" xfId="0" applyNumberFormat="1" applyFont="1" applyFill="1" applyProtection="1">
      <protection locked="0"/>
    </xf>
    <xf numFmtId="49" fontId="126" fillId="2" borderId="0" xfId="0" applyNumberFormat="1" applyFont="1" applyFill="1" applyBorder="1" applyAlignment="1" applyProtection="1">
      <alignment horizontal="center"/>
      <protection locked="0"/>
    </xf>
    <xf numFmtId="49" fontId="103" fillId="7" borderId="59" xfId="0" applyNumberFormat="1" applyFont="1" applyFill="1" applyBorder="1" applyAlignment="1" applyProtection="1"/>
    <xf numFmtId="14" fontId="11" fillId="7" borderId="69" xfId="0" applyNumberFormat="1" applyFont="1" applyFill="1" applyBorder="1" applyAlignment="1" applyProtection="1"/>
    <xf numFmtId="49" fontId="11" fillId="7" borderId="58" xfId="0" applyNumberFormat="1" applyFont="1" applyFill="1" applyBorder="1" applyAlignment="1" applyProtection="1"/>
    <xf numFmtId="49" fontId="11" fillId="7" borderId="69" xfId="0" applyNumberFormat="1" applyFont="1" applyFill="1" applyBorder="1" applyAlignment="1" applyProtection="1"/>
    <xf numFmtId="0" fontId="92" fillId="2" borderId="0" xfId="0" applyNumberFormat="1" applyFont="1" applyFill="1" applyBorder="1" applyAlignment="1" applyProtection="1">
      <alignment horizontal="center"/>
    </xf>
    <xf numFmtId="0" fontId="102" fillId="51" borderId="0" xfId="0" applyNumberFormat="1" applyFont="1" applyFill="1" applyBorder="1" applyAlignment="1" applyProtection="1">
      <alignment horizontal="center"/>
      <protection locked="0"/>
    </xf>
    <xf numFmtId="1" fontId="102" fillId="51" borderId="0" xfId="0" applyNumberFormat="1" applyFont="1" applyFill="1" applyBorder="1" applyAlignment="1" applyProtection="1">
      <alignment horizontal="center"/>
      <protection locked="0"/>
    </xf>
    <xf numFmtId="170" fontId="102" fillId="51" borderId="0" xfId="0" applyNumberFormat="1" applyFont="1" applyFill="1" applyBorder="1" applyAlignment="1" applyProtection="1">
      <alignment horizontal="center"/>
      <protection locked="0"/>
    </xf>
    <xf numFmtId="14" fontId="8" fillId="2" borderId="45" xfId="0" applyNumberFormat="1" applyFont="1" applyFill="1" applyBorder="1" applyAlignment="1">
      <alignment horizontal="center"/>
    </xf>
    <xf numFmtId="49" fontId="8" fillId="7" borderId="45" xfId="0" applyNumberFormat="1" applyFont="1" applyFill="1" applyBorder="1" applyAlignment="1" applyProtection="1">
      <alignment horizontal="center" wrapText="1"/>
    </xf>
    <xf numFmtId="49" fontId="6" fillId="51" borderId="45" xfId="0" applyNumberFormat="1" applyFont="1" applyFill="1" applyBorder="1" applyAlignment="1" applyProtection="1">
      <alignment horizontal="center" wrapText="1"/>
    </xf>
    <xf numFmtId="170" fontId="0" fillId="0" borderId="0" xfId="0" applyNumberFormat="1"/>
    <xf numFmtId="170" fontId="69" fillId="0" borderId="0" xfId="0" applyNumberFormat="1" applyFont="1"/>
    <xf numFmtId="49" fontId="69" fillId="0" borderId="0" xfId="0" applyNumberFormat="1" applyFont="1" applyFill="1"/>
    <xf numFmtId="49" fontId="35" fillId="12" borderId="9" xfId="0" applyNumberFormat="1" applyFont="1" applyFill="1" applyBorder="1" applyProtection="1">
      <protection locked="0"/>
    </xf>
    <xf numFmtId="49" fontId="0" fillId="2" borderId="9" xfId="0" applyNumberFormat="1" applyFill="1" applyBorder="1" applyProtection="1">
      <protection locked="0"/>
    </xf>
    <xf numFmtId="49" fontId="32" fillId="7" borderId="69" xfId="0" applyNumberFormat="1" applyFont="1" applyFill="1" applyBorder="1" applyAlignment="1"/>
    <xf numFmtId="0" fontId="32" fillId="7" borderId="69" xfId="0" applyNumberFormat="1" applyFont="1" applyFill="1" applyBorder="1" applyAlignment="1"/>
    <xf numFmtId="0" fontId="75" fillId="7" borderId="69" xfId="0" applyNumberFormat="1" applyFont="1" applyFill="1" applyBorder="1" applyAlignment="1">
      <alignment horizontal="center"/>
    </xf>
    <xf numFmtId="0" fontId="75" fillId="58" borderId="69" xfId="0" applyNumberFormat="1" applyFont="1" applyFill="1" applyBorder="1" applyAlignment="1">
      <alignment horizontal="center"/>
    </xf>
    <xf numFmtId="0" fontId="11" fillId="0" borderId="59" xfId="0" applyNumberFormat="1" applyFont="1" applyFill="1" applyBorder="1" applyAlignment="1"/>
    <xf numFmtId="49" fontId="11" fillId="0" borderId="69" xfId="0" applyNumberFormat="1" applyFont="1" applyFill="1" applyBorder="1" applyAlignment="1"/>
    <xf numFmtId="49" fontId="11" fillId="7" borderId="69" xfId="0" applyNumberFormat="1" applyFont="1" applyFill="1" applyBorder="1" applyAlignment="1"/>
    <xf numFmtId="49" fontId="11" fillId="7" borderId="58" xfId="0" applyNumberFormat="1" applyFont="1" applyFill="1" applyBorder="1" applyAlignment="1"/>
    <xf numFmtId="49" fontId="11" fillId="58" borderId="56" xfId="0" applyNumberFormat="1" applyFont="1" applyFill="1" applyBorder="1" applyAlignment="1" applyProtection="1">
      <alignment horizontal="left" indent="13"/>
      <protection locked="0"/>
    </xf>
    <xf numFmtId="49" fontId="11" fillId="58" borderId="64" xfId="0" applyNumberFormat="1" applyFont="1" applyFill="1" applyBorder="1" applyAlignment="1" applyProtection="1">
      <alignment horizontal="left" indent="13"/>
      <protection locked="0"/>
    </xf>
    <xf numFmtId="49" fontId="19" fillId="2" borderId="56" xfId="0" applyNumberFormat="1" applyFont="1" applyFill="1" applyBorder="1" applyAlignment="1" applyProtection="1"/>
    <xf numFmtId="0" fontId="19" fillId="2" borderId="56" xfId="0" applyNumberFormat="1" applyFont="1" applyFill="1" applyBorder="1" applyAlignment="1" applyProtection="1">
      <alignment horizontal="center"/>
    </xf>
    <xf numFmtId="1" fontId="19" fillId="9" borderId="56" xfId="0" applyNumberFormat="1" applyFont="1" applyFill="1" applyBorder="1" applyAlignment="1">
      <alignment horizontal="center"/>
    </xf>
    <xf numFmtId="49" fontId="85" fillId="0" borderId="0" xfId="0" applyNumberFormat="1" applyFont="1" applyAlignment="1">
      <alignment horizontal="right" wrapText="1"/>
    </xf>
    <xf numFmtId="49" fontId="94" fillId="0" borderId="0" xfId="0" applyNumberFormat="1" applyFont="1" applyAlignment="1" applyProtection="1"/>
    <xf numFmtId="49" fontId="7" fillId="2" borderId="70" xfId="0" applyNumberFormat="1" applyFont="1" applyFill="1" applyBorder="1" applyAlignment="1" applyProtection="1">
      <alignment wrapText="1"/>
      <protection locked="0"/>
    </xf>
    <xf numFmtId="49" fontId="8" fillId="9" borderId="0" xfId="0" applyNumberFormat="1" applyFont="1" applyFill="1" applyBorder="1" applyAlignment="1" applyProtection="1"/>
    <xf numFmtId="0" fontId="19" fillId="9" borderId="0" xfId="0" applyNumberFormat="1" applyFont="1" applyFill="1" applyBorder="1" applyAlignment="1" applyProtection="1">
      <alignment horizontal="center"/>
    </xf>
    <xf numFmtId="0" fontId="19" fillId="9" borderId="9" xfId="0" applyNumberFormat="1" applyFont="1" applyFill="1" applyBorder="1" applyAlignment="1" applyProtection="1">
      <alignment horizontal="center"/>
    </xf>
    <xf numFmtId="0" fontId="92" fillId="2" borderId="0" xfId="0" applyNumberFormat="1" applyFont="1" applyFill="1" applyBorder="1" applyAlignment="1" applyProtection="1">
      <alignment horizontal="center" wrapText="1"/>
    </xf>
    <xf numFmtId="0" fontId="92" fillId="0" borderId="8" xfId="0" applyNumberFormat="1" applyFont="1" applyBorder="1" applyAlignment="1" applyProtection="1">
      <alignment horizontal="center" wrapText="1"/>
    </xf>
    <xf numFmtId="49" fontId="94" fillId="0" borderId="8" xfId="0" applyNumberFormat="1" applyFont="1" applyBorder="1" applyAlignment="1" applyProtection="1"/>
    <xf numFmtId="0" fontId="92" fillId="7" borderId="8" xfId="0" applyNumberFormat="1" applyFont="1" applyFill="1" applyBorder="1" applyAlignment="1" applyProtection="1">
      <alignment horizontal="center"/>
    </xf>
    <xf numFmtId="0" fontId="92" fillId="7" borderId="13" xfId="0" applyNumberFormat="1" applyFont="1" applyFill="1" applyBorder="1" applyAlignment="1" applyProtection="1">
      <alignment horizontal="center"/>
    </xf>
    <xf numFmtId="0" fontId="8" fillId="2" borderId="45" xfId="0" applyNumberFormat="1" applyFont="1" applyFill="1" applyBorder="1" applyAlignment="1">
      <alignment horizontal="center"/>
    </xf>
    <xf numFmtId="49" fontId="8" fillId="9" borderId="45" xfId="0" applyNumberFormat="1" applyFont="1" applyFill="1" applyBorder="1" applyAlignment="1" applyProtection="1">
      <alignment horizontal="center" wrapText="1"/>
    </xf>
    <xf numFmtId="0" fontId="8" fillId="9" borderId="45" xfId="0" applyNumberFormat="1" applyFont="1" applyFill="1" applyBorder="1" applyAlignment="1" applyProtection="1">
      <alignment horizontal="center" wrapText="1"/>
    </xf>
    <xf numFmtId="0" fontId="0" fillId="9" borderId="3" xfId="0" applyFill="1" applyBorder="1"/>
    <xf numFmtId="0" fontId="0" fillId="0" borderId="0" xfId="0" applyFill="1" applyBorder="1"/>
    <xf numFmtId="0" fontId="69" fillId="0" borderId="0" xfId="0" applyNumberFormat="1" applyFont="1" applyBorder="1"/>
    <xf numFmtId="0" fontId="0" fillId="9" borderId="3" xfId="48" applyFont="1" applyFill="1" applyBorder="1"/>
    <xf numFmtId="0" fontId="0" fillId="0" borderId="0" xfId="48" applyFont="1" applyFill="1" applyBorder="1"/>
    <xf numFmtId="0" fontId="0" fillId="9" borderId="0" xfId="0" applyFill="1"/>
    <xf numFmtId="0" fontId="0" fillId="0" borderId="0" xfId="0" applyFill="1"/>
    <xf numFmtId="0" fontId="68" fillId="11" borderId="56" xfId="0" applyNumberFormat="1" applyFont="1" applyFill="1" applyBorder="1" applyAlignment="1" applyProtection="1">
      <alignment horizontal="center"/>
      <protection locked="0"/>
    </xf>
    <xf numFmtId="0" fontId="68" fillId="11" borderId="56" xfId="0" applyNumberFormat="1" applyFont="1" applyFill="1" applyBorder="1" applyProtection="1">
      <protection locked="0"/>
    </xf>
    <xf numFmtId="0" fontId="68" fillId="11" borderId="56" xfId="0" applyNumberFormat="1" applyFont="1" applyFill="1" applyBorder="1" applyAlignment="1" applyProtection="1">
      <alignment horizontal="center"/>
    </xf>
    <xf numFmtId="0" fontId="0" fillId="10" borderId="0" xfId="0" applyNumberFormat="1" applyFill="1" applyAlignment="1" applyProtection="1">
      <alignment horizontal="center"/>
      <protection locked="0"/>
    </xf>
    <xf numFmtId="0" fontId="0" fillId="10" borderId="9" xfId="0" applyNumberFormat="1" applyFill="1" applyBorder="1" applyAlignment="1" applyProtection="1">
      <alignment horizontal="center"/>
      <protection locked="0"/>
    </xf>
    <xf numFmtId="0" fontId="8" fillId="58" borderId="0" xfId="0" applyNumberFormat="1" applyFont="1" applyFill="1" applyBorder="1" applyAlignment="1" applyProtection="1">
      <alignment horizontal="center"/>
    </xf>
    <xf numFmtId="0" fontId="8" fillId="7" borderId="57" xfId="0" applyNumberFormat="1" applyFont="1" applyFill="1" applyBorder="1" applyProtection="1">
      <protection locked="0"/>
    </xf>
    <xf numFmtId="0" fontId="19" fillId="7" borderId="69" xfId="0" applyNumberFormat="1" applyFont="1" applyFill="1" applyBorder="1" applyAlignment="1">
      <alignment horizontal="center"/>
    </xf>
    <xf numFmtId="0" fontId="19" fillId="9" borderId="8" xfId="0" applyNumberFormat="1" applyFont="1" applyFill="1" applyBorder="1" applyAlignment="1" applyProtection="1">
      <protection locked="0"/>
    </xf>
    <xf numFmtId="0" fontId="8" fillId="7" borderId="56" xfId="0" applyNumberFormat="1" applyFont="1" applyFill="1" applyBorder="1" applyAlignment="1" applyProtection="1">
      <alignment wrapText="1"/>
    </xf>
    <xf numFmtId="0" fontId="8" fillId="7" borderId="56" xfId="0" applyNumberFormat="1" applyFont="1" applyFill="1" applyBorder="1" applyAlignment="1" applyProtection="1">
      <alignment horizontal="center" wrapText="1"/>
      <protection locked="0"/>
    </xf>
    <xf numFmtId="0" fontId="8" fillId="7" borderId="70" xfId="0" applyNumberFormat="1" applyFont="1" applyFill="1" applyBorder="1" applyAlignment="1" applyProtection="1">
      <alignment horizontal="center"/>
    </xf>
    <xf numFmtId="0" fontId="8" fillId="7" borderId="45" xfId="0" applyNumberFormat="1" applyFont="1" applyFill="1" applyBorder="1" applyAlignment="1" applyProtection="1">
      <alignment wrapText="1"/>
    </xf>
    <xf numFmtId="0" fontId="6" fillId="7" borderId="45" xfId="0" applyNumberFormat="1" applyFont="1" applyFill="1" applyBorder="1" applyAlignment="1" applyProtection="1">
      <alignment horizontal="center" wrapText="1"/>
      <protection locked="0"/>
    </xf>
    <xf numFmtId="0" fontId="6" fillId="9" borderId="45" xfId="0" applyNumberFormat="1" applyFont="1" applyFill="1" applyBorder="1" applyAlignment="1" applyProtection="1">
      <alignment horizontal="center" wrapText="1"/>
      <protection locked="0"/>
    </xf>
    <xf numFmtId="0" fontId="8" fillId="7" borderId="45"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wrapText="1"/>
    </xf>
    <xf numFmtId="2" fontId="69" fillId="0" borderId="0" xfId="0" applyNumberFormat="1" applyFont="1"/>
    <xf numFmtId="49" fontId="44" fillId="11" borderId="59" xfId="0" applyNumberFormat="1" applyFont="1" applyFill="1" applyBorder="1" applyAlignment="1" applyProtection="1"/>
    <xf numFmtId="14" fontId="43" fillId="11" borderId="69" xfId="0" applyNumberFormat="1" applyFont="1" applyFill="1" applyBorder="1" applyAlignment="1" applyProtection="1"/>
    <xf numFmtId="49" fontId="43" fillId="11" borderId="58" xfId="0" applyNumberFormat="1" applyFont="1" applyFill="1" applyBorder="1" applyAlignment="1" applyProtection="1"/>
    <xf numFmtId="0" fontId="43" fillId="11" borderId="71" xfId="0" applyNumberFormat="1" applyFont="1" applyFill="1" applyBorder="1" applyAlignment="1" applyProtection="1"/>
    <xf numFmtId="0" fontId="7" fillId="2" borderId="3" xfId="0" applyNumberFormat="1" applyFont="1" applyFill="1" applyBorder="1" applyAlignment="1" applyProtection="1">
      <alignment horizontal="center"/>
      <protection locked="0"/>
    </xf>
    <xf numFmtId="0" fontId="6" fillId="2" borderId="57" xfId="0" applyNumberFormat="1" applyFont="1" applyFill="1" applyBorder="1" applyAlignment="1" applyProtection="1">
      <alignment horizontal="center"/>
      <protection locked="0"/>
    </xf>
    <xf numFmtId="0" fontId="6" fillId="2" borderId="3" xfId="0" applyNumberFormat="1" applyFont="1" applyFill="1" applyBorder="1" applyAlignment="1" applyProtection="1">
      <alignment horizontal="center"/>
      <protection locked="0"/>
    </xf>
    <xf numFmtId="49" fontId="11" fillId="7" borderId="59" xfId="0" applyNumberFormat="1" applyFont="1" applyFill="1" applyBorder="1" applyAlignment="1" applyProtection="1">
      <alignment horizontal="left" vertical="top"/>
    </xf>
    <xf numFmtId="14" fontId="11" fillId="7" borderId="69" xfId="0" applyNumberFormat="1" applyFont="1" applyFill="1" applyBorder="1" applyAlignment="1" applyProtection="1">
      <alignment horizontal="left" vertical="top"/>
    </xf>
    <xf numFmtId="49" fontId="11" fillId="7" borderId="69" xfId="0" applyNumberFormat="1" applyFont="1" applyFill="1" applyBorder="1" applyAlignment="1" applyProtection="1">
      <alignment horizontal="left" vertical="top"/>
    </xf>
    <xf numFmtId="0" fontId="6" fillId="2" borderId="58" xfId="0" applyNumberFormat="1" applyFont="1" applyFill="1" applyBorder="1" applyAlignment="1" applyProtection="1">
      <alignment horizontal="center"/>
      <protection locked="0"/>
    </xf>
    <xf numFmtId="0" fontId="6" fillId="0" borderId="71" xfId="0" applyNumberFormat="1" applyFont="1" applyFill="1" applyBorder="1" applyAlignment="1" applyProtection="1"/>
    <xf numFmtId="0" fontId="21" fillId="2" borderId="70" xfId="0" applyNumberFormat="1" applyFont="1" applyFill="1" applyBorder="1" applyAlignment="1" applyProtection="1">
      <alignment horizontal="center"/>
    </xf>
    <xf numFmtId="0" fontId="21" fillId="2" borderId="81" xfId="0" applyNumberFormat="1" applyFont="1" applyFill="1" applyBorder="1" applyAlignment="1" applyProtection="1">
      <alignment horizontal="center"/>
    </xf>
    <xf numFmtId="0" fontId="8" fillId="2" borderId="86" xfId="0" applyNumberFormat="1" applyFont="1" applyFill="1" applyBorder="1" applyAlignment="1" applyProtection="1">
      <alignment horizontal="center"/>
    </xf>
    <xf numFmtId="49" fontId="8" fillId="2" borderId="45" xfId="0" applyNumberFormat="1" applyFont="1" applyFill="1" applyBorder="1" applyAlignment="1">
      <alignment horizontal="center" wrapText="1"/>
    </xf>
    <xf numFmtId="14" fontId="8" fillId="2" borderId="45" xfId="0" applyNumberFormat="1" applyFont="1" applyFill="1" applyBorder="1" applyAlignment="1">
      <alignment horizontal="center" wrapText="1"/>
    </xf>
    <xf numFmtId="0" fontId="8" fillId="51" borderId="45" xfId="0" applyNumberFormat="1" applyFont="1" applyFill="1" applyBorder="1" applyAlignment="1" applyProtection="1">
      <alignment horizontal="center" wrapText="1"/>
    </xf>
    <xf numFmtId="1" fontId="8" fillId="51" borderId="49" xfId="0" applyNumberFormat="1" applyFont="1" applyFill="1" applyBorder="1" applyAlignment="1" applyProtection="1">
      <alignment horizontal="center" wrapText="1"/>
    </xf>
    <xf numFmtId="0" fontId="8" fillId="51" borderId="83" xfId="0" applyNumberFormat="1" applyFont="1" applyFill="1" applyBorder="1" applyAlignment="1" applyProtection="1">
      <alignment horizontal="center" wrapText="1"/>
    </xf>
    <xf numFmtId="0" fontId="69" fillId="0" borderId="0" xfId="0" applyNumberFormat="1" applyFont="1" applyFill="1"/>
    <xf numFmtId="0" fontId="43" fillId="11" borderId="69" xfId="0" applyNumberFormat="1" applyFont="1" applyFill="1" applyBorder="1" applyAlignment="1" applyProtection="1"/>
    <xf numFmtId="0" fontId="0" fillId="2" borderId="0"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49" fontId="36" fillId="58" borderId="0" xfId="0" applyNumberFormat="1" applyFont="1" applyFill="1" applyBorder="1" applyAlignment="1" applyProtection="1">
      <alignment horizontal="left" wrapText="1"/>
      <protection locked="0"/>
    </xf>
    <xf numFmtId="49" fontId="0" fillId="2" borderId="69" xfId="0" applyNumberFormat="1" applyFill="1" applyBorder="1" applyAlignment="1">
      <alignment horizontal="left"/>
    </xf>
    <xf numFmtId="0" fontId="6" fillId="0" borderId="59" xfId="0" applyNumberFormat="1" applyFont="1" applyFill="1" applyBorder="1" applyAlignment="1" applyProtection="1"/>
    <xf numFmtId="0" fontId="6" fillId="0" borderId="69" xfId="0" applyNumberFormat="1" applyFont="1" applyFill="1" applyBorder="1" applyAlignment="1" applyProtection="1"/>
    <xf numFmtId="0" fontId="6" fillId="0" borderId="69" xfId="0" applyNumberFormat="1" applyFont="1" applyFill="1" applyBorder="1" applyAlignment="1" applyProtection="1">
      <alignment horizontal="center"/>
    </xf>
    <xf numFmtId="49" fontId="36" fillId="7" borderId="69" xfId="0" applyNumberFormat="1" applyFont="1" applyFill="1" applyBorder="1" applyAlignment="1" applyProtection="1">
      <alignment horizontal="left" wrapText="1"/>
      <protection locked="0"/>
    </xf>
    <xf numFmtId="0" fontId="92" fillId="0" borderId="0" xfId="0" applyNumberFormat="1" applyFont="1" applyFill="1" applyBorder="1" applyAlignment="1" applyProtection="1">
      <alignment horizontal="center" wrapText="1"/>
    </xf>
    <xf numFmtId="0" fontId="92" fillId="9" borderId="0" xfId="0" applyNumberFormat="1" applyFont="1" applyFill="1" applyBorder="1" applyAlignment="1" applyProtection="1">
      <alignment horizontal="center"/>
    </xf>
    <xf numFmtId="0" fontId="92" fillId="9" borderId="16" xfId="0" applyNumberFormat="1" applyFont="1" applyFill="1" applyBorder="1" applyAlignment="1" applyProtection="1">
      <alignment horizontal="center"/>
    </xf>
    <xf numFmtId="1" fontId="19" fillId="51" borderId="0" xfId="0" applyNumberFormat="1" applyFont="1" applyFill="1" applyBorder="1" applyAlignment="1">
      <alignment horizontal="center"/>
    </xf>
    <xf numFmtId="0" fontId="19" fillId="51" borderId="0" xfId="0" applyNumberFormat="1" applyFont="1" applyFill="1" applyBorder="1" applyAlignment="1" applyProtection="1">
      <alignment horizontal="center"/>
      <protection locked="0"/>
    </xf>
    <xf numFmtId="0" fontId="19" fillId="2" borderId="57" xfId="0" applyNumberFormat="1" applyFont="1" applyFill="1" applyBorder="1" applyAlignment="1" applyProtection="1">
      <alignment horizontal="center"/>
    </xf>
    <xf numFmtId="0" fontId="21" fillId="2" borderId="56" xfId="0" applyNumberFormat="1" applyFont="1" applyFill="1" applyBorder="1" applyAlignment="1" applyProtection="1">
      <alignment horizontal="center"/>
    </xf>
    <xf numFmtId="0" fontId="19" fillId="0" borderId="56" xfId="0" applyNumberFormat="1" applyFont="1" applyBorder="1" applyAlignment="1">
      <alignment horizontal="center"/>
    </xf>
    <xf numFmtId="1" fontId="19" fillId="51" borderId="56" xfId="0" applyNumberFormat="1" applyFont="1" applyFill="1" applyBorder="1" applyAlignment="1">
      <alignment horizontal="center"/>
    </xf>
    <xf numFmtId="49" fontId="8" fillId="2" borderId="45" xfId="0" applyNumberFormat="1" applyFont="1" applyFill="1" applyBorder="1" applyAlignment="1" applyProtection="1">
      <alignment horizontal="left" wrapText="1"/>
    </xf>
    <xf numFmtId="49" fontId="8" fillId="9" borderId="37" xfId="0" applyNumberFormat="1" applyFont="1" applyFill="1" applyBorder="1" applyAlignment="1" applyProtection="1">
      <alignment horizontal="center" wrapText="1"/>
    </xf>
    <xf numFmtId="1" fontId="8" fillId="51" borderId="45" xfId="0" applyNumberFormat="1" applyFont="1" applyFill="1" applyBorder="1" applyAlignment="1" applyProtection="1">
      <alignment horizontal="center" wrapText="1"/>
    </xf>
    <xf numFmtId="49" fontId="69" fillId="0" borderId="0" xfId="0" applyNumberFormat="1" applyFont="1" applyBorder="1"/>
    <xf numFmtId="0" fontId="69" fillId="9" borderId="0" xfId="0" applyNumberFormat="1" applyFont="1" applyFill="1"/>
    <xf numFmtId="49" fontId="69" fillId="59" borderId="0" xfId="0" applyNumberFormat="1" applyFont="1" applyFill="1"/>
    <xf numFmtId="14" fontId="69" fillId="0" borderId="0" xfId="0" applyNumberFormat="1" applyFont="1" applyFill="1"/>
    <xf numFmtId="2" fontId="69" fillId="59" borderId="0" xfId="0" applyNumberFormat="1" applyFont="1" applyFill="1"/>
    <xf numFmtId="1" fontId="69" fillId="0" borderId="0" xfId="0" applyNumberFormat="1" applyFont="1"/>
    <xf numFmtId="0" fontId="69" fillId="59" borderId="0" xfId="0" applyNumberFormat="1" applyFont="1" applyFill="1"/>
    <xf numFmtId="49" fontId="37" fillId="13" borderId="50" xfId="0" applyNumberFormat="1" applyFont="1" applyFill="1" applyBorder="1" applyAlignment="1" applyProtection="1"/>
    <xf numFmtId="49" fontId="38" fillId="13" borderId="57" xfId="0" applyNumberFormat="1" applyFont="1" applyFill="1" applyBorder="1" applyAlignment="1" applyProtection="1"/>
    <xf numFmtId="49" fontId="47" fillId="10" borderId="0" xfId="0" applyNumberFormat="1" applyFont="1" applyFill="1" applyBorder="1" applyAlignment="1" applyProtection="1">
      <alignment horizontal="left" vertical="top"/>
    </xf>
    <xf numFmtId="0" fontId="36" fillId="9" borderId="0" xfId="0" applyNumberFormat="1" applyFont="1" applyFill="1" applyBorder="1" applyAlignment="1" applyProtection="1">
      <alignment horizontal="left" vertical="top"/>
    </xf>
    <xf numFmtId="0" fontId="0" fillId="7" borderId="0" xfId="0" applyNumberFormat="1" applyFill="1" applyAlignment="1" applyProtection="1">
      <alignment horizontal="center"/>
      <protection locked="0"/>
    </xf>
    <xf numFmtId="0" fontId="0" fillId="9" borderId="0" xfId="0" applyNumberFormat="1" applyFill="1" applyAlignment="1" applyProtection="1">
      <alignment horizontal="center"/>
      <protection locked="0"/>
    </xf>
    <xf numFmtId="0" fontId="0" fillId="7" borderId="9" xfId="0" applyNumberFormat="1" applyFill="1" applyBorder="1" applyAlignment="1" applyProtection="1">
      <alignment horizontal="center"/>
      <protection locked="0"/>
    </xf>
    <xf numFmtId="0" fontId="19" fillId="58" borderId="0" xfId="0" applyNumberFormat="1" applyFont="1" applyFill="1" applyBorder="1" applyAlignment="1" applyProtection="1">
      <alignment horizontal="center"/>
    </xf>
    <xf numFmtId="49" fontId="11" fillId="10" borderId="69" xfId="0" applyNumberFormat="1" applyFont="1" applyFill="1" applyBorder="1" applyAlignment="1" applyProtection="1">
      <alignment horizontal="left" vertical="top"/>
    </xf>
    <xf numFmtId="14" fontId="30" fillId="10" borderId="69" xfId="0" applyNumberFormat="1" applyFont="1" applyFill="1" applyBorder="1" applyAlignment="1" applyProtection="1">
      <alignment horizontal="center"/>
    </xf>
    <xf numFmtId="49" fontId="30" fillId="10" borderId="69" xfId="0" applyNumberFormat="1" applyFont="1" applyFill="1" applyBorder="1" applyAlignment="1" applyProtection="1">
      <alignment horizontal="center"/>
    </xf>
    <xf numFmtId="49" fontId="30" fillId="7" borderId="69" xfId="0" applyNumberFormat="1" applyFont="1" applyFill="1" applyBorder="1" applyAlignment="1" applyProtection="1">
      <alignment horizontal="center"/>
    </xf>
    <xf numFmtId="0" fontId="0" fillId="9" borderId="8" xfId="0" applyNumberFormat="1" applyFont="1" applyFill="1" applyBorder="1" applyAlignment="1" applyProtection="1"/>
    <xf numFmtId="0" fontId="92" fillId="7" borderId="0" xfId="0" applyFont="1" applyFill="1" applyAlignment="1" applyProtection="1">
      <alignment horizontal="center"/>
    </xf>
    <xf numFmtId="0" fontId="92" fillId="7" borderId="0" xfId="0" applyNumberFormat="1" applyFont="1" applyFill="1" applyBorder="1" applyAlignment="1" applyProtection="1">
      <alignment horizontal="center"/>
    </xf>
    <xf numFmtId="0" fontId="0" fillId="9" borderId="0" xfId="0" applyNumberFormat="1" applyFill="1"/>
    <xf numFmtId="0" fontId="8" fillId="7" borderId="45" xfId="0" applyNumberFormat="1" applyFont="1" applyFill="1" applyBorder="1" applyAlignment="1">
      <alignment horizontal="center" wrapText="1"/>
    </xf>
    <xf numFmtId="0" fontId="8" fillId="9" borderId="45" xfId="0" applyNumberFormat="1" applyFont="1" applyFill="1" applyBorder="1" applyAlignment="1">
      <alignment horizontal="left" wrapText="1"/>
    </xf>
    <xf numFmtId="49" fontId="44" fillId="11" borderId="59" xfId="0" applyNumberFormat="1" applyFont="1" applyFill="1" applyBorder="1" applyAlignment="1" applyProtection="1">
      <alignment horizontal="left" vertical="top"/>
    </xf>
    <xf numFmtId="14" fontId="44" fillId="11" borderId="69" xfId="0" applyNumberFormat="1" applyFont="1" applyFill="1" applyBorder="1" applyAlignment="1" applyProtection="1">
      <alignment horizontal="left" vertical="top"/>
    </xf>
    <xf numFmtId="49" fontId="44" fillId="11" borderId="58"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7" fillId="2" borderId="56"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36" fillId="58" borderId="57" xfId="0" applyNumberFormat="1" applyFont="1" applyFill="1" applyBorder="1" applyAlignment="1" applyProtection="1">
      <alignment horizontal="left" wrapText="1"/>
      <protection locked="0"/>
    </xf>
    <xf numFmtId="0" fontId="19" fillId="58" borderId="9" xfId="0" applyNumberFormat="1" applyFont="1" applyFill="1" applyBorder="1" applyAlignment="1" applyProtection="1">
      <alignment horizontal="center"/>
    </xf>
    <xf numFmtId="49" fontId="11" fillId="7" borderId="59" xfId="0" applyNumberFormat="1" applyFont="1" applyFill="1" applyBorder="1" applyAlignment="1" applyProtection="1"/>
    <xf numFmtId="0" fontId="19" fillId="10" borderId="69" xfId="0" applyNumberFormat="1" applyFont="1" applyFill="1" applyBorder="1" applyAlignment="1" applyProtection="1">
      <alignment horizontal="center"/>
    </xf>
    <xf numFmtId="0" fontId="19" fillId="10" borderId="58" xfId="0" applyNumberFormat="1" applyFont="1" applyFill="1" applyBorder="1" applyAlignment="1" applyProtection="1">
      <alignment horizontal="center"/>
    </xf>
    <xf numFmtId="0" fontId="0" fillId="7" borderId="63" xfId="0" applyNumberFormat="1" applyFont="1" applyFill="1" applyBorder="1" applyAlignment="1" applyProtection="1"/>
    <xf numFmtId="0" fontId="0" fillId="51" borderId="0" xfId="0" applyFill="1" applyBorder="1"/>
    <xf numFmtId="1" fontId="19" fillId="51" borderId="57" xfId="0" applyNumberFormat="1" applyFont="1" applyFill="1" applyBorder="1" applyAlignment="1">
      <alignment horizontal="center"/>
    </xf>
    <xf numFmtId="0" fontId="8" fillId="51" borderId="49" xfId="0" applyNumberFormat="1" applyFont="1" applyFill="1" applyBorder="1" applyAlignment="1" applyProtection="1">
      <alignment horizontal="center" wrapText="1"/>
    </xf>
    <xf numFmtId="0" fontId="8" fillId="51" borderId="62" xfId="0" applyNumberFormat="1" applyFont="1" applyFill="1" applyBorder="1" applyAlignment="1">
      <alignment horizontal="left" wrapText="1"/>
    </xf>
    <xf numFmtId="0" fontId="8" fillId="51" borderId="0" xfId="0" applyNumberFormat="1" applyFont="1" applyFill="1" applyBorder="1" applyAlignment="1" applyProtection="1">
      <alignment horizontal="center" wrapText="1"/>
    </xf>
    <xf numFmtId="0" fontId="0" fillId="51" borderId="0" xfId="0" applyFill="1"/>
    <xf numFmtId="0" fontId="7" fillId="51" borderId="0" xfId="0" applyNumberFormat="1" applyFont="1" applyFill="1" applyBorder="1" applyAlignment="1" applyProtection="1">
      <alignment horizontal="center" wrapText="1"/>
    </xf>
    <xf numFmtId="1" fontId="7" fillId="51" borderId="0" xfId="0" applyNumberFormat="1" applyFont="1" applyFill="1" applyBorder="1" applyAlignment="1" applyProtection="1">
      <alignment horizontal="center" wrapText="1"/>
    </xf>
    <xf numFmtId="0" fontId="69" fillId="51" borderId="0" xfId="0" applyFont="1" applyFill="1" applyBorder="1" applyAlignment="1">
      <alignment horizontal="center" wrapText="1"/>
    </xf>
    <xf numFmtId="0" fontId="35" fillId="11" borderId="57"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92" fillId="9" borderId="56" xfId="0" applyNumberFormat="1" applyFont="1" applyFill="1" applyBorder="1" applyAlignment="1" applyProtection="1">
      <alignment horizontal="center"/>
    </xf>
    <xf numFmtId="0" fontId="21" fillId="7" borderId="56" xfId="0" applyNumberFormat="1" applyFont="1" applyFill="1" applyBorder="1" applyAlignment="1" applyProtection="1">
      <alignment horizontal="center"/>
    </xf>
    <xf numFmtId="0" fontId="19" fillId="7" borderId="56" xfId="0" applyNumberFormat="1" applyFont="1" applyFill="1" applyBorder="1" applyAlignment="1" applyProtection="1">
      <alignment horizontal="center"/>
    </xf>
    <xf numFmtId="0" fontId="19" fillId="7" borderId="56" xfId="0" applyNumberFormat="1" applyFont="1" applyFill="1" applyBorder="1" applyAlignment="1">
      <alignment horizontal="center"/>
    </xf>
    <xf numFmtId="1" fontId="19" fillId="58" borderId="56" xfId="0" applyNumberFormat="1" applyFont="1" applyFill="1" applyBorder="1" applyAlignment="1">
      <alignment horizontal="center"/>
    </xf>
    <xf numFmtId="1" fontId="19" fillId="58" borderId="70" xfId="0" applyNumberFormat="1" applyFont="1" applyFill="1" applyBorder="1" applyAlignment="1">
      <alignment horizontal="center"/>
    </xf>
    <xf numFmtId="0" fontId="40" fillId="2" borderId="57" xfId="0" applyNumberFormat="1" applyFont="1" applyFill="1" applyBorder="1" applyAlignment="1" applyProtection="1">
      <alignment horizontal="left" wrapText="1"/>
    </xf>
    <xf numFmtId="0" fontId="8" fillId="7" borderId="58" xfId="0" applyNumberFormat="1" applyFont="1" applyFill="1" applyBorder="1" applyAlignment="1" applyProtection="1">
      <alignment horizontal="center" wrapText="1"/>
    </xf>
    <xf numFmtId="1" fontId="8" fillId="51" borderId="52" xfId="0" applyNumberFormat="1" applyFont="1" applyFill="1" applyBorder="1" applyAlignment="1" applyProtection="1">
      <alignment horizontal="center" wrapText="1"/>
    </xf>
    <xf numFmtId="1" fontId="8" fillId="51" borderId="53" xfId="0" applyNumberFormat="1" applyFont="1" applyFill="1" applyBorder="1" applyAlignment="1" applyProtection="1">
      <alignment horizontal="center" wrapText="1"/>
    </xf>
    <xf numFmtId="170" fontId="69" fillId="9" borderId="0" xfId="0" applyNumberFormat="1" applyFont="1" applyFill="1"/>
    <xf numFmtId="170" fontId="69" fillId="51" borderId="0" xfId="0" applyNumberFormat="1" applyFont="1" applyFill="1"/>
    <xf numFmtId="1" fontId="69" fillId="0" borderId="0" xfId="0" applyNumberFormat="1" applyFont="1" applyFill="1"/>
    <xf numFmtId="170" fontId="69" fillId="0" borderId="0" xfId="0" applyNumberFormat="1" applyFont="1" applyFill="1"/>
    <xf numFmtId="49" fontId="7" fillId="2" borderId="57" xfId="0" applyNumberFormat="1" applyFont="1" applyFill="1" applyBorder="1" applyAlignment="1" applyProtection="1">
      <alignment horizontal="center"/>
      <protection locked="0"/>
    </xf>
    <xf numFmtId="49" fontId="0" fillId="2" borderId="8" xfId="0" applyNumberFormat="1" applyFill="1" applyBorder="1" applyAlignment="1"/>
    <xf numFmtId="49" fontId="0" fillId="2" borderId="46" xfId="0" applyNumberFormat="1" applyFill="1" applyBorder="1" applyAlignment="1"/>
    <xf numFmtId="1" fontId="128" fillId="47" borderId="0" xfId="0" applyNumberFormat="1" applyFont="1" applyFill="1" applyBorder="1" applyAlignment="1">
      <alignment horizontal="center"/>
    </xf>
    <xf numFmtId="1" fontId="128" fillId="47" borderId="50" xfId="0" applyNumberFormat="1" applyFont="1" applyFill="1" applyBorder="1" applyAlignment="1">
      <alignment horizontal="center"/>
    </xf>
    <xf numFmtId="1" fontId="128" fillId="47" borderId="56" xfId="0" applyNumberFormat="1" applyFont="1" applyFill="1" applyBorder="1" applyAlignment="1">
      <alignment horizontal="center"/>
    </xf>
    <xf numFmtId="1" fontId="128" fillId="47" borderId="70" xfId="0" applyNumberFormat="1" applyFont="1" applyFill="1" applyBorder="1" applyAlignment="1">
      <alignment horizontal="center"/>
    </xf>
    <xf numFmtId="49" fontId="8" fillId="51" borderId="45" xfId="0" applyNumberFormat="1" applyFont="1" applyFill="1" applyBorder="1" applyAlignment="1" applyProtection="1">
      <alignment horizontal="center" wrapText="1"/>
    </xf>
    <xf numFmtId="49" fontId="8" fillId="58" borderId="45" xfId="0" applyNumberFormat="1" applyFont="1" applyFill="1" applyBorder="1" applyAlignment="1" applyProtection="1">
      <alignment horizontal="center" wrapText="1"/>
    </xf>
    <xf numFmtId="49" fontId="44" fillId="11" borderId="0" xfId="0" applyNumberFormat="1" applyFont="1" applyFill="1" applyBorder="1" applyAlignment="1" applyProtection="1">
      <alignment horizontal="left" vertical="top"/>
    </xf>
    <xf numFmtId="49" fontId="0" fillId="2" borderId="57" xfId="0" applyNumberFormat="1" applyFill="1" applyBorder="1" applyAlignment="1"/>
    <xf numFmtId="49" fontId="11" fillId="7" borderId="50" xfId="0" applyNumberFormat="1" applyFont="1" applyFill="1" applyBorder="1" applyAlignment="1" applyProtection="1"/>
    <xf numFmtId="14" fontId="11" fillId="7" borderId="56" xfId="0" applyNumberFormat="1" applyFont="1" applyFill="1" applyBorder="1" applyAlignment="1" applyProtection="1"/>
    <xf numFmtId="49" fontId="11" fillId="7" borderId="70" xfId="0" applyNumberFormat="1" applyFont="1" applyFill="1" applyBorder="1" applyAlignment="1" applyProtection="1"/>
    <xf numFmtId="49" fontId="11" fillId="7" borderId="56" xfId="0" applyNumberFormat="1" applyFont="1" applyFill="1" applyBorder="1" applyAlignment="1" applyProtection="1"/>
    <xf numFmtId="49" fontId="0" fillId="2" borderId="56" xfId="0" applyNumberFormat="1" applyFill="1" applyBorder="1" applyAlignment="1"/>
    <xf numFmtId="14" fontId="19" fillId="2" borderId="0" xfId="0" applyNumberFormat="1" applyFont="1" applyFill="1" applyBorder="1" applyProtection="1"/>
    <xf numFmtId="1" fontId="128" fillId="9" borderId="0" xfId="0" applyNumberFormat="1" applyFont="1" applyFill="1" applyBorder="1" applyAlignment="1">
      <alignment horizontal="center"/>
    </xf>
    <xf numFmtId="0" fontId="0" fillId="9" borderId="0" xfId="0" applyFill="1" applyBorder="1"/>
    <xf numFmtId="1" fontId="128" fillId="9" borderId="57" xfId="0" applyNumberFormat="1" applyFont="1" applyFill="1" applyBorder="1" applyAlignment="1">
      <alignment horizontal="center"/>
    </xf>
    <xf numFmtId="0" fontId="8" fillId="47" borderId="0" xfId="0" applyNumberFormat="1" applyFont="1" applyFill="1" applyBorder="1" applyAlignment="1" applyProtection="1">
      <alignment horizontal="center"/>
    </xf>
    <xf numFmtId="1" fontId="8" fillId="47" borderId="45" xfId="0" applyNumberFormat="1" applyFont="1" applyFill="1" applyBorder="1" applyAlignment="1" applyProtection="1">
      <alignment horizontal="center" wrapText="1"/>
    </xf>
    <xf numFmtId="1" fontId="128" fillId="47" borderId="45" xfId="0" applyNumberFormat="1" applyFont="1" applyFill="1" applyBorder="1" applyAlignment="1">
      <alignment horizontal="center"/>
    </xf>
    <xf numFmtId="1" fontId="128" fillId="9" borderId="45" xfId="0" applyNumberFormat="1" applyFont="1" applyFill="1" applyBorder="1" applyAlignment="1">
      <alignment horizontal="center"/>
    </xf>
    <xf numFmtId="1" fontId="128" fillId="9" borderId="49" xfId="0" applyNumberFormat="1" applyFont="1" applyFill="1" applyBorder="1" applyAlignment="1">
      <alignment horizontal="center"/>
    </xf>
    <xf numFmtId="0" fontId="0" fillId="59" borderId="0" xfId="0" applyFill="1"/>
    <xf numFmtId="0" fontId="0" fillId="58" borderId="0" xfId="0" applyFill="1"/>
    <xf numFmtId="0" fontId="8" fillId="47" borderId="0" xfId="0" applyNumberFormat="1" applyFont="1" applyFill="1" applyBorder="1" applyAlignment="1" applyProtection="1">
      <alignment horizontal="left"/>
    </xf>
    <xf numFmtId="49" fontId="30" fillId="7" borderId="59" xfId="0" applyNumberFormat="1" applyFont="1" applyFill="1" applyBorder="1" applyAlignment="1" applyProtection="1"/>
    <xf numFmtId="49" fontId="7" fillId="2" borderId="46" xfId="0" applyNumberFormat="1" applyFont="1" applyFill="1" applyBorder="1" applyAlignment="1" applyProtection="1">
      <alignment horizontal="center"/>
      <protection locked="0"/>
    </xf>
    <xf numFmtId="0" fontId="92" fillId="51" borderId="0" xfId="0" applyNumberFormat="1" applyFont="1" applyFill="1" applyBorder="1" applyAlignment="1" applyProtection="1">
      <alignment horizontal="center"/>
    </xf>
    <xf numFmtId="0" fontId="92" fillId="51" borderId="16" xfId="0" applyNumberFormat="1" applyFont="1" applyFill="1" applyBorder="1" applyAlignment="1" applyProtection="1">
      <alignment horizontal="center"/>
    </xf>
    <xf numFmtId="1" fontId="128" fillId="51" borderId="0" xfId="0" applyNumberFormat="1" applyFont="1" applyFill="1" applyBorder="1" applyAlignment="1">
      <alignment horizontal="center"/>
    </xf>
    <xf numFmtId="1" fontId="128" fillId="51" borderId="57" xfId="0" applyNumberFormat="1" applyFont="1" applyFill="1" applyBorder="1" applyAlignment="1">
      <alignment horizontal="center"/>
    </xf>
    <xf numFmtId="49" fontId="69" fillId="51" borderId="0" xfId="0" applyNumberFormat="1" applyFont="1" applyFill="1"/>
    <xf numFmtId="0" fontId="66" fillId="51" borderId="0" xfId="0" applyNumberFormat="1" applyFont="1" applyFill="1" applyBorder="1" applyAlignment="1" applyProtection="1"/>
    <xf numFmtId="49" fontId="8" fillId="51" borderId="37" xfId="0" applyNumberFormat="1" applyFont="1" applyFill="1" applyBorder="1" applyAlignment="1" applyProtection="1">
      <alignment horizontal="center" wrapText="1"/>
    </xf>
    <xf numFmtId="1" fontId="20" fillId="51" borderId="45" xfId="0" applyNumberFormat="1" applyFont="1" applyFill="1" applyBorder="1" applyAlignment="1">
      <alignment horizontal="center"/>
    </xf>
    <xf numFmtId="1" fontId="20" fillId="51" borderId="49" xfId="0" applyNumberFormat="1" applyFont="1" applyFill="1" applyBorder="1" applyAlignment="1">
      <alignment horizontal="center"/>
    </xf>
    <xf numFmtId="49" fontId="69" fillId="58" borderId="0" xfId="0" applyNumberFormat="1" applyFont="1" applyFill="1"/>
    <xf numFmtId="49" fontId="43" fillId="11" borderId="58" xfId="0" applyNumberFormat="1" applyFont="1" applyFill="1" applyBorder="1" applyAlignment="1" applyProtection="1">
      <alignment wrapText="1"/>
    </xf>
    <xf numFmtId="0" fontId="16" fillId="58" borderId="0" xfId="0" applyNumberFormat="1" applyFont="1" applyFill="1" applyBorder="1" applyAlignment="1" applyProtection="1">
      <protection locked="0"/>
    </xf>
    <xf numFmtId="49" fontId="17" fillId="2" borderId="59" xfId="0" applyNumberFormat="1" applyFont="1" applyFill="1" applyBorder="1" applyAlignment="1" applyProtection="1"/>
    <xf numFmtId="49" fontId="12" fillId="2" borderId="69" xfId="0" applyNumberFormat="1" applyFont="1" applyFill="1" applyBorder="1" applyAlignment="1"/>
    <xf numFmtId="0" fontId="19" fillId="2" borderId="56" xfId="0" applyNumberFormat="1" applyFont="1" applyFill="1" applyBorder="1" applyAlignment="1" applyProtection="1">
      <alignment horizontal="center" wrapText="1"/>
    </xf>
    <xf numFmtId="0" fontId="19" fillId="9" borderId="69" xfId="0" applyNumberFormat="1" applyFont="1" applyFill="1" applyBorder="1" applyAlignment="1" applyProtection="1">
      <alignment horizontal="center"/>
    </xf>
    <xf numFmtId="0" fontId="128" fillId="9" borderId="0" xfId="0" applyNumberFormat="1" applyFont="1" applyFill="1" applyBorder="1" applyAlignment="1" applyProtection="1">
      <alignment wrapText="1"/>
      <protection locked="0"/>
    </xf>
    <xf numFmtId="0" fontId="19" fillId="9" borderId="0" xfId="0" applyNumberFormat="1" applyFont="1" applyFill="1" applyBorder="1" applyProtection="1">
      <protection locked="0"/>
    </xf>
    <xf numFmtId="0" fontId="7" fillId="2" borderId="0" xfId="0" applyNumberFormat="1" applyFont="1" applyFill="1" applyBorder="1" applyProtection="1"/>
    <xf numFmtId="0" fontId="0" fillId="9" borderId="0" xfId="0" applyNumberFormat="1" applyFill="1" applyBorder="1" applyAlignment="1" applyProtection="1">
      <alignment wrapText="1"/>
      <protection locked="0"/>
    </xf>
    <xf numFmtId="0" fontId="0" fillId="51" borderId="0" xfId="0" applyNumberFormat="1" applyFill="1" applyBorder="1" applyProtection="1">
      <protection locked="0"/>
    </xf>
    <xf numFmtId="0" fontId="19" fillId="51" borderId="69" xfId="0" applyNumberFormat="1" applyFont="1" applyFill="1" applyBorder="1" applyAlignment="1" applyProtection="1">
      <alignment horizontal="center"/>
    </xf>
    <xf numFmtId="0" fontId="8" fillId="2" borderId="45" xfId="0" applyNumberFormat="1" applyFont="1" applyFill="1" applyBorder="1" applyAlignment="1" applyProtection="1">
      <alignment wrapText="1"/>
    </xf>
    <xf numFmtId="0" fontId="132" fillId="9" borderId="45" xfId="0" applyNumberFormat="1" applyFont="1" applyFill="1" applyBorder="1" applyAlignment="1" applyProtection="1">
      <alignment wrapText="1"/>
      <protection locked="0"/>
    </xf>
    <xf numFmtId="0" fontId="0" fillId="51" borderId="45" xfId="0" applyNumberFormat="1" applyFill="1" applyBorder="1" applyAlignment="1" applyProtection="1">
      <alignment wrapText="1"/>
      <protection locked="0"/>
    </xf>
    <xf numFmtId="0" fontId="0" fillId="51" borderId="45" xfId="0" applyNumberFormat="1" applyFill="1" applyBorder="1" applyAlignment="1" applyProtection="1">
      <alignment horizontal="center"/>
      <protection locked="0"/>
    </xf>
    <xf numFmtId="0" fontId="0" fillId="9" borderId="45" xfId="0" applyFill="1" applyBorder="1" applyAlignment="1">
      <alignment horizontal="center" wrapText="1"/>
    </xf>
    <xf numFmtId="0" fontId="0" fillId="0" borderId="57" xfId="0" applyBorder="1" applyAlignment="1" applyProtection="1">
      <protection locked="0"/>
    </xf>
    <xf numFmtId="0" fontId="8" fillId="3" borderId="61"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49" fontId="0" fillId="50" borderId="3" xfId="0" applyNumberFormat="1" applyFont="1" applyFill="1" applyBorder="1"/>
    <xf numFmtId="49" fontId="0" fillId="50" borderId="3" xfId="0" applyNumberFormat="1" applyFont="1" applyFill="1" applyBorder="1" applyAlignment="1">
      <alignment horizontal="left"/>
    </xf>
    <xf numFmtId="49" fontId="0" fillId="50" borderId="57" xfId="0" applyNumberFormat="1" applyFont="1" applyFill="1" applyBorder="1"/>
    <xf numFmtId="49" fontId="4" fillId="2" borderId="0" xfId="0" applyNumberFormat="1" applyFont="1" applyFill="1" applyBorder="1" applyAlignment="1" applyProtection="1">
      <alignment vertical="center" wrapText="1"/>
      <protection locked="0"/>
    </xf>
    <xf numFmtId="0" fontId="19" fillId="2" borderId="69" xfId="0" applyNumberFormat="1" applyFont="1" applyFill="1" applyBorder="1" applyAlignment="1" applyProtection="1">
      <alignment horizontal="center"/>
    </xf>
    <xf numFmtId="0" fontId="132" fillId="9" borderId="0" xfId="0" applyFont="1" applyFill="1" applyBorder="1" applyAlignment="1">
      <alignment wrapText="1"/>
    </xf>
    <xf numFmtId="0" fontId="132" fillId="9" borderId="45" xfId="0" applyFont="1" applyFill="1" applyBorder="1" applyAlignment="1">
      <alignment wrapText="1"/>
    </xf>
    <xf numFmtId="0" fontId="19" fillId="7" borderId="69"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49" fontId="44" fillId="57" borderId="8" xfId="0" applyNumberFormat="1" applyFont="1" applyFill="1" applyBorder="1" applyAlignment="1" applyProtection="1">
      <alignment horizontal="left" vertical="top"/>
    </xf>
    <xf numFmtId="49" fontId="44" fillId="57" borderId="46" xfId="0" applyNumberFormat="1" applyFont="1" applyFill="1" applyBorder="1" applyAlignment="1" applyProtection="1">
      <alignment horizontal="left" vertical="top"/>
    </xf>
    <xf numFmtId="49" fontId="42" fillId="0" borderId="87" xfId="0" applyNumberFormat="1" applyFont="1" applyFill="1" applyBorder="1" applyAlignment="1" applyProtection="1">
      <alignment vertical="center"/>
    </xf>
    <xf numFmtId="49" fontId="42" fillId="0" borderId="88" xfId="0" applyNumberFormat="1" applyFont="1" applyFill="1" applyBorder="1" applyAlignment="1" applyProtection="1">
      <alignment vertical="center"/>
    </xf>
    <xf numFmtId="49" fontId="7" fillId="0" borderId="89" xfId="0" applyNumberFormat="1" applyFont="1" applyBorder="1" applyAlignment="1" applyProtection="1">
      <alignment horizontal="center"/>
      <protection locked="0"/>
    </xf>
    <xf numFmtId="49" fontId="7" fillId="0" borderId="90" xfId="0" applyNumberFormat="1" applyFont="1" applyBorder="1" applyAlignment="1" applyProtection="1">
      <alignment horizontal="center"/>
      <protection locked="0"/>
    </xf>
    <xf numFmtId="0" fontId="8" fillId="47" borderId="39" xfId="0" applyNumberFormat="1" applyFont="1" applyFill="1" applyBorder="1" applyAlignment="1" applyProtection="1">
      <alignment horizontal="centerContinuous"/>
    </xf>
    <xf numFmtId="0" fontId="8" fillId="47" borderId="8" xfId="0" applyNumberFormat="1" applyFont="1" applyFill="1" applyBorder="1" applyAlignment="1" applyProtection="1">
      <alignment horizontal="centerContinuous"/>
    </xf>
    <xf numFmtId="0" fontId="8" fillId="47" borderId="46" xfId="0" applyNumberFormat="1" applyFont="1" applyFill="1" applyBorder="1" applyAlignment="1" applyProtection="1">
      <alignment horizontal="centerContinuous"/>
    </xf>
    <xf numFmtId="49" fontId="8" fillId="9" borderId="61" xfId="0" applyNumberFormat="1" applyFont="1" applyFill="1" applyBorder="1" applyAlignment="1" applyProtection="1">
      <alignment horizontal="center" wrapText="1"/>
    </xf>
    <xf numFmtId="49" fontId="8" fillId="9" borderId="52" xfId="0" applyNumberFormat="1" applyFont="1" applyFill="1" applyBorder="1" applyAlignment="1" applyProtection="1">
      <alignment horizontal="center" wrapText="1"/>
    </xf>
    <xf numFmtId="0" fontId="8" fillId="51" borderId="52" xfId="0" applyNumberFormat="1" applyFont="1" applyFill="1" applyBorder="1" applyAlignment="1" applyProtection="1">
      <alignment horizontal="center" wrapText="1"/>
    </xf>
    <xf numFmtId="0" fontId="8" fillId="51" borderId="53" xfId="0" applyNumberFormat="1" applyFont="1" applyFill="1" applyBorder="1" applyAlignment="1" applyProtection="1">
      <alignment horizontal="center" wrapText="1"/>
    </xf>
    <xf numFmtId="1" fontId="128" fillId="47" borderId="49" xfId="0" applyNumberFormat="1" applyFont="1" applyFill="1" applyBorder="1" applyAlignment="1">
      <alignment horizontal="center"/>
    </xf>
    <xf numFmtId="0" fontId="8" fillId="60" borderId="8" xfId="0" applyNumberFormat="1" applyFont="1" applyFill="1" applyBorder="1" applyAlignment="1" applyProtection="1">
      <alignment horizontal="centerContinuous"/>
    </xf>
    <xf numFmtId="0" fontId="8" fillId="60" borderId="46" xfId="0" applyNumberFormat="1" applyFont="1" applyFill="1" applyBorder="1" applyAlignment="1" applyProtection="1">
      <alignment horizontal="centerContinuous"/>
    </xf>
    <xf numFmtId="0" fontId="19" fillId="47" borderId="69" xfId="0" applyNumberFormat="1" applyFont="1" applyFill="1" applyBorder="1" applyAlignment="1" applyProtection="1">
      <alignment horizontal="centerContinuous"/>
    </xf>
    <xf numFmtId="0" fontId="25" fillId="47" borderId="8" xfId="0" applyNumberFormat="1" applyFont="1" applyFill="1" applyBorder="1" applyAlignment="1" applyProtection="1">
      <alignment horizontal="centerContinuous"/>
    </xf>
    <xf numFmtId="0" fontId="25" fillId="47" borderId="46" xfId="0" applyNumberFormat="1" applyFont="1" applyFill="1" applyBorder="1" applyAlignment="1" applyProtection="1">
      <alignment horizontal="centerContinuous"/>
    </xf>
    <xf numFmtId="0" fontId="19" fillId="51" borderId="56" xfId="0" applyNumberFormat="1" applyFont="1" applyFill="1" applyBorder="1" applyAlignment="1" applyProtection="1">
      <alignment horizontal="center"/>
    </xf>
    <xf numFmtId="0" fontId="19" fillId="47" borderId="56" xfId="0" applyNumberFormat="1" applyFont="1" applyFill="1" applyBorder="1" applyAlignment="1" applyProtection="1">
      <alignment horizontal="centerContinuous"/>
    </xf>
    <xf numFmtId="0" fontId="25" fillId="47" borderId="56" xfId="0" applyNumberFormat="1" applyFont="1" applyFill="1" applyBorder="1" applyAlignment="1" applyProtection="1">
      <alignment horizontal="centerContinuous"/>
    </xf>
    <xf numFmtId="0" fontId="25" fillId="47" borderId="70" xfId="0" applyNumberFormat="1" applyFont="1" applyFill="1" applyBorder="1" applyAlignment="1" applyProtection="1">
      <alignment horizontal="centerContinuous"/>
    </xf>
    <xf numFmtId="0" fontId="16" fillId="58" borderId="57" xfId="0" applyNumberFormat="1" applyFont="1" applyFill="1" applyBorder="1" applyAlignment="1" applyProtection="1">
      <protection locked="0"/>
    </xf>
    <xf numFmtId="0" fontId="0" fillId="9" borderId="49" xfId="0" applyFill="1" applyBorder="1" applyAlignment="1">
      <alignment horizontal="center" wrapText="1"/>
    </xf>
    <xf numFmtId="0" fontId="0" fillId="9" borderId="45" xfId="0" applyNumberFormat="1" applyFill="1" applyBorder="1" applyAlignment="1" applyProtection="1">
      <alignment wrapText="1"/>
      <protection locked="0"/>
    </xf>
    <xf numFmtId="0" fontId="0" fillId="0" borderId="57" xfId="0" applyNumberFormat="1" applyBorder="1" applyProtection="1">
      <protection locked="0"/>
    </xf>
    <xf numFmtId="0" fontId="19" fillId="51" borderId="58" xfId="0" applyNumberFormat="1" applyFont="1" applyFill="1" applyBorder="1" applyAlignment="1" applyProtection="1">
      <alignment horizontal="center"/>
    </xf>
    <xf numFmtId="0" fontId="19" fillId="51" borderId="70" xfId="0" applyNumberFormat="1" applyFont="1" applyFill="1" applyBorder="1" applyAlignment="1" applyProtection="1">
      <alignment horizontal="center"/>
    </xf>
    <xf numFmtId="0" fontId="0" fillId="51" borderId="49" xfId="0" applyNumberFormat="1" applyFill="1" applyBorder="1" applyAlignment="1" applyProtection="1">
      <alignment horizontal="center"/>
      <protection locked="0"/>
    </xf>
    <xf numFmtId="0" fontId="8" fillId="2" borderId="69" xfId="0" applyNumberFormat="1" applyFont="1" applyFill="1" applyBorder="1" applyAlignment="1" applyProtection="1">
      <alignment horizontal="centerContinuous" wrapText="1"/>
    </xf>
    <xf numFmtId="0" fontId="8" fillId="9" borderId="69" xfId="0" applyNumberFormat="1" applyFont="1" applyFill="1" applyBorder="1" applyAlignment="1" applyProtection="1">
      <alignment horizontal="centerContinuous" wrapText="1"/>
    </xf>
    <xf numFmtId="0" fontId="19" fillId="2" borderId="59" xfId="0" applyNumberFormat="1" applyFont="1" applyFill="1" applyBorder="1" applyAlignment="1" applyProtection="1">
      <alignment horizontal="center"/>
    </xf>
    <xf numFmtId="0" fontId="19" fillId="9" borderId="58" xfId="0" applyNumberFormat="1" applyFont="1" applyFill="1" applyBorder="1" applyAlignment="1" applyProtection="1">
      <alignment horizontal="center"/>
    </xf>
    <xf numFmtId="0" fontId="8" fillId="2" borderId="59" xfId="0" applyNumberFormat="1" applyFont="1" applyFill="1" applyBorder="1" applyAlignment="1" applyProtection="1">
      <alignment horizontal="centerContinuous" wrapText="1"/>
    </xf>
    <xf numFmtId="0" fontId="8" fillId="9" borderId="58" xfId="0" applyNumberFormat="1" applyFont="1" applyFill="1" applyBorder="1" applyAlignment="1" applyProtection="1">
      <alignment horizontal="centerContinuous" wrapText="1"/>
    </xf>
    <xf numFmtId="0" fontId="8" fillId="2" borderId="58" xfId="0" applyNumberFormat="1" applyFont="1" applyFill="1" applyBorder="1" applyAlignment="1" applyProtection="1">
      <alignment horizontal="centerContinuous" wrapText="1"/>
    </xf>
    <xf numFmtId="0" fontId="8" fillId="2" borderId="0" xfId="0" applyNumberFormat="1" applyFont="1" applyFill="1" applyBorder="1" applyAlignment="1" applyProtection="1">
      <alignment horizontal="centerContinuous" wrapText="1"/>
    </xf>
    <xf numFmtId="0" fontId="7" fillId="2" borderId="56" xfId="0" applyNumberFormat="1" applyFont="1" applyFill="1" applyBorder="1" applyAlignment="1" applyProtection="1">
      <alignment horizontal="center"/>
      <protection locked="0"/>
    </xf>
    <xf numFmtId="0" fontId="12" fillId="2" borderId="57" xfId="0" applyNumberFormat="1" applyFont="1" applyFill="1" applyBorder="1" applyAlignment="1"/>
    <xf numFmtId="0" fontId="8" fillId="2" borderId="57" xfId="0" applyNumberFormat="1" applyFont="1" applyFill="1" applyBorder="1" applyAlignment="1" applyProtection="1">
      <alignment horizontal="centerContinuous" wrapText="1"/>
    </xf>
    <xf numFmtId="0" fontId="12" fillId="2" borderId="8" xfId="0" applyNumberFormat="1" applyFont="1" applyFill="1" applyBorder="1" applyAlignment="1"/>
    <xf numFmtId="0" fontId="43" fillId="11" borderId="69" xfId="0" applyNumberFormat="1" applyFont="1" applyFill="1" applyBorder="1" applyAlignment="1" applyProtection="1">
      <alignment wrapText="1"/>
    </xf>
    <xf numFmtId="0" fontId="0" fillId="7" borderId="57" xfId="0" applyNumberFormat="1" applyFill="1" applyBorder="1" applyProtection="1">
      <protection locked="0"/>
    </xf>
    <xf numFmtId="0" fontId="0" fillId="7" borderId="69" xfId="0" applyNumberFormat="1" applyFill="1" applyBorder="1" applyAlignment="1" applyProtection="1">
      <alignment horizontal="centerContinuous"/>
      <protection locked="0"/>
    </xf>
    <xf numFmtId="0" fontId="0" fillId="7" borderId="58" xfId="0" applyNumberFormat="1" applyFill="1" applyBorder="1" applyAlignment="1" applyProtection="1">
      <alignment horizontal="centerContinuous"/>
      <protection locked="0"/>
    </xf>
    <xf numFmtId="0" fontId="0" fillId="51" borderId="69" xfId="0" applyNumberFormat="1" applyFill="1" applyBorder="1" applyAlignment="1" applyProtection="1">
      <alignment horizontal="center"/>
      <protection locked="0"/>
    </xf>
    <xf numFmtId="0" fontId="19" fillId="2" borderId="69" xfId="0" applyNumberFormat="1" applyFont="1" applyFill="1" applyBorder="1" applyAlignment="1" applyProtection="1">
      <alignment horizontal="centerContinuous"/>
    </xf>
    <xf numFmtId="0" fontId="0" fillId="0" borderId="69" xfId="0" applyNumberFormat="1" applyBorder="1" applyAlignment="1">
      <alignment horizontal="centerContinuous"/>
    </xf>
    <xf numFmtId="0" fontId="35" fillId="11" borderId="84" xfId="0" applyNumberFormat="1" applyFont="1" applyFill="1" applyBorder="1" applyAlignment="1" applyProtection="1">
      <alignment horizontal="center"/>
      <protection locked="0"/>
    </xf>
    <xf numFmtId="49" fontId="7" fillId="0" borderId="69" xfId="0" applyNumberFormat="1" applyFont="1" applyFill="1" applyBorder="1" applyAlignment="1" applyProtection="1">
      <alignment horizontal="center"/>
      <protection locked="0"/>
    </xf>
    <xf numFmtId="49" fontId="7" fillId="2" borderId="58"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126" fillId="2" borderId="45" xfId="0" applyNumberFormat="1" applyFont="1" applyFill="1" applyBorder="1" applyAlignment="1" applyProtection="1">
      <alignment horizontal="center" wrapText="1"/>
    </xf>
    <xf numFmtId="49" fontId="8" fillId="2" borderId="49" xfId="0" applyNumberFormat="1" applyFont="1" applyFill="1" applyBorder="1" applyAlignment="1" applyProtection="1">
      <alignment horizontal="center" wrapText="1"/>
    </xf>
    <xf numFmtId="0" fontId="7" fillId="7" borderId="56" xfId="0" applyNumberFormat="1" applyFont="1" applyFill="1" applyBorder="1" applyAlignment="1" applyProtection="1">
      <alignment horizontal="center"/>
      <protection locked="0"/>
    </xf>
    <xf numFmtId="0" fontId="8" fillId="7" borderId="50" xfId="0" applyNumberFormat="1" applyFont="1" applyFill="1" applyBorder="1" applyAlignment="1" applyProtection="1"/>
    <xf numFmtId="0" fontId="8" fillId="7" borderId="70" xfId="0" applyNumberFormat="1" applyFont="1" applyFill="1" applyBorder="1" applyAlignment="1" applyProtection="1"/>
    <xf numFmtId="0" fontId="104" fillId="10" borderId="69" xfId="0" applyNumberFormat="1" applyFont="1" applyFill="1" applyBorder="1" applyAlignment="1" applyProtection="1">
      <alignment horizontal="centerContinuous" vertical="center"/>
      <protection locked="0"/>
    </xf>
    <xf numFmtId="0" fontId="104" fillId="10" borderId="58" xfId="0" applyNumberFormat="1" applyFont="1" applyFill="1" applyBorder="1" applyAlignment="1" applyProtection="1">
      <alignment horizontal="centerContinuous" vertical="center"/>
      <protection locked="0"/>
    </xf>
    <xf numFmtId="0" fontId="104" fillId="10" borderId="59" xfId="0" applyNumberFormat="1" applyFont="1" applyFill="1" applyBorder="1" applyAlignment="1" applyProtection="1">
      <alignment horizontal="centerContinuous" vertical="center" wrapText="1"/>
      <protection locked="0"/>
    </xf>
    <xf numFmtId="0" fontId="104" fillId="10" borderId="69" xfId="0" applyNumberFormat="1" applyFont="1" applyFill="1" applyBorder="1" applyAlignment="1" applyProtection="1">
      <alignment horizontal="centerContinuous" vertical="center" wrapText="1"/>
      <protection locked="0"/>
    </xf>
    <xf numFmtId="0" fontId="104" fillId="10" borderId="58" xfId="0" applyNumberFormat="1" applyFont="1" applyFill="1" applyBorder="1" applyAlignment="1" applyProtection="1">
      <alignment horizontal="centerContinuous" vertical="center" wrapText="1"/>
      <protection locked="0"/>
    </xf>
    <xf numFmtId="0" fontId="104" fillId="10" borderId="59" xfId="0" applyNumberFormat="1" applyFont="1" applyFill="1" applyBorder="1" applyAlignment="1" applyProtection="1">
      <alignment horizontal="centerContinuous" vertical="center"/>
      <protection locked="0"/>
    </xf>
    <xf numFmtId="0" fontId="19" fillId="0" borderId="59" xfId="0" applyNumberFormat="1" applyFont="1" applyFill="1" applyBorder="1" applyAlignment="1" applyProtection="1">
      <alignment horizontal="centerContinuous"/>
    </xf>
    <xf numFmtId="0" fontId="19" fillId="0" borderId="58" xfId="0" applyNumberFormat="1" applyFont="1" applyFill="1" applyBorder="1" applyAlignment="1" applyProtection="1">
      <alignment horizontal="centerContinuous"/>
    </xf>
    <xf numFmtId="0" fontId="19" fillId="7" borderId="59" xfId="0" applyNumberFormat="1" applyFont="1" applyFill="1" applyBorder="1" applyAlignment="1" applyProtection="1">
      <alignment horizontal="centerContinuous"/>
    </xf>
    <xf numFmtId="0" fontId="19" fillId="7" borderId="58" xfId="0" applyNumberFormat="1" applyFont="1" applyFill="1" applyBorder="1" applyAlignment="1" applyProtection="1">
      <alignment horizontal="centerContinuous"/>
    </xf>
    <xf numFmtId="0" fontId="19" fillId="7" borderId="69" xfId="0" applyNumberFormat="1" applyFont="1" applyFill="1" applyBorder="1" applyAlignment="1" applyProtection="1">
      <alignment horizontal="centerContinuous"/>
    </xf>
    <xf numFmtId="0" fontId="8" fillId="7" borderId="69" xfId="0" applyNumberFormat="1" applyFont="1" applyFill="1" applyBorder="1" applyAlignment="1" applyProtection="1">
      <alignment horizontal="centerContinuous"/>
    </xf>
    <xf numFmtId="0" fontId="36" fillId="10" borderId="57" xfId="0" applyNumberFormat="1" applyFont="1" applyFill="1" applyBorder="1" applyAlignment="1" applyProtection="1">
      <alignment horizontal="centerContinuous" wrapText="1"/>
    </xf>
    <xf numFmtId="0" fontId="4" fillId="10" borderId="0" xfId="0" applyNumberFormat="1" applyFont="1" applyFill="1" applyBorder="1" applyAlignment="1" applyProtection="1">
      <alignment horizontal="centerContinuous" vertical="center" wrapText="1"/>
    </xf>
    <xf numFmtId="0" fontId="98"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6" fillId="2" borderId="56"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center"/>
      <protection locked="0"/>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49" fontId="96" fillId="10" borderId="56" xfId="0" applyNumberFormat="1" applyFont="1" applyFill="1" applyBorder="1" applyAlignment="1" applyProtection="1">
      <alignment horizontal="left" wrapText="1"/>
    </xf>
    <xf numFmtId="14" fontId="96" fillId="10" borderId="56" xfId="0" applyNumberFormat="1" applyFont="1" applyFill="1" applyBorder="1" applyAlignment="1" applyProtection="1">
      <alignment horizontal="left" vertical="top" wrapText="1"/>
    </xf>
    <xf numFmtId="14" fontId="96"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170" fontId="109" fillId="51" borderId="0" xfId="0" applyNumberFormat="1" applyFont="1" applyFill="1" applyBorder="1" applyAlignment="1" applyProtection="1">
      <alignment horizontal="center" vertical="center" wrapText="1"/>
      <protection locked="0"/>
    </xf>
    <xf numFmtId="0" fontId="109" fillId="51"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0" fontId="4" fillId="2" borderId="0" xfId="0" applyNumberFormat="1" applyFont="1" applyFill="1" applyBorder="1" applyAlignment="1" applyProtection="1">
      <alignment horizontal="center" vertical="center" wrapText="1"/>
      <protection locked="0"/>
    </xf>
    <xf numFmtId="1" fontId="109" fillId="51" borderId="0" xfId="0" applyNumberFormat="1" applyFont="1" applyFill="1" applyBorder="1" applyAlignment="1" applyProtection="1">
      <alignment horizontal="center" vertical="center" wrapText="1"/>
      <protection locked="0"/>
    </xf>
    <xf numFmtId="0" fontId="19" fillId="2" borderId="56"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45" xfId="0" applyNumberFormat="1" applyFont="1" applyFill="1" applyBorder="1" applyAlignment="1" applyProtection="1">
      <alignment horizontal="center" vertic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19" fillId="0" borderId="50" xfId="0" applyNumberFormat="1" applyFont="1" applyFill="1" applyBorder="1" applyAlignment="1" applyProtection="1">
      <alignment horizontal="center" wrapText="1"/>
    </xf>
    <xf numFmtId="0" fontId="19" fillId="0" borderId="39" xfId="0" applyNumberFormat="1" applyFont="1" applyFill="1" applyBorder="1" applyAlignment="1" applyProtection="1">
      <alignment horizontal="center" wrapText="1"/>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69"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1" fillId="7" borderId="59" xfId="0" applyNumberFormat="1" applyFont="1" applyFill="1" applyBorder="1" applyAlignment="1" applyProtection="1">
      <alignment horizontal="center"/>
    </xf>
    <xf numFmtId="0" fontId="11" fillId="7" borderId="69" xfId="0" applyNumberFormat="1" applyFont="1" applyFill="1" applyBorder="1" applyAlignment="1" applyProtection="1">
      <alignment horizontal="center"/>
    </xf>
    <xf numFmtId="0" fontId="11" fillId="7" borderId="58"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0" fontId="19" fillId="7" borderId="69" xfId="0" applyNumberFormat="1" applyFont="1" applyFill="1" applyBorder="1" applyAlignment="1" applyProtection="1">
      <alignment horizontal="center"/>
    </xf>
    <xf numFmtId="0" fontId="8" fillId="7" borderId="69" xfId="0" applyNumberFormat="1" applyFont="1" applyFill="1" applyBorder="1" applyAlignment="1" applyProtection="1">
      <alignment horizontal="center"/>
    </xf>
    <xf numFmtId="0" fontId="8" fillId="7" borderId="59" xfId="0" applyNumberFormat="1" applyFont="1" applyFill="1" applyBorder="1" applyAlignment="1" applyProtection="1">
      <alignment horizontal="center"/>
    </xf>
    <xf numFmtId="0" fontId="8" fillId="7" borderId="58" xfId="0" applyNumberFormat="1" applyFont="1" applyFill="1" applyBorder="1" applyAlignment="1" applyProtection="1">
      <alignment horizontal="center"/>
    </xf>
    <xf numFmtId="0" fontId="8" fillId="7" borderId="50"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0" fillId="7" borderId="56" xfId="0" applyNumberFormat="1" applyFill="1" applyBorder="1" applyAlignment="1" applyProtection="1">
      <alignment horizontal="center" vertical="top"/>
      <protection locked="0"/>
    </xf>
    <xf numFmtId="0" fontId="0" fillId="7" borderId="70" xfId="0" applyNumberFormat="1" applyFill="1" applyBorder="1" applyAlignment="1" applyProtection="1">
      <alignment horizontal="center" vertical="top"/>
      <protection locked="0"/>
    </xf>
    <xf numFmtId="0" fontId="104" fillId="10" borderId="69" xfId="0" applyNumberFormat="1" applyFont="1" applyFill="1" applyBorder="1" applyAlignment="1" applyProtection="1">
      <alignment horizontal="center" vertical="center"/>
      <protection locked="0"/>
    </xf>
    <xf numFmtId="49" fontId="104" fillId="7" borderId="59" xfId="0" applyNumberFormat="1" applyFont="1" applyFill="1" applyBorder="1" applyAlignment="1">
      <alignment horizontal="center" wrapText="1"/>
    </xf>
    <xf numFmtId="49" fontId="104" fillId="7" borderId="69" xfId="0" applyNumberFormat="1" applyFont="1" applyFill="1" applyBorder="1" applyAlignment="1">
      <alignment horizontal="center" wrapText="1"/>
    </xf>
    <xf numFmtId="49" fontId="104" fillId="7" borderId="58" xfId="0" applyNumberFormat="1" applyFont="1" applyFill="1" applyBorder="1" applyAlignment="1">
      <alignment horizontal="center" wrapText="1"/>
    </xf>
    <xf numFmtId="49" fontId="96" fillId="10" borderId="16" xfId="0" applyNumberFormat="1" applyFont="1" applyFill="1" applyBorder="1" applyAlignment="1" applyProtection="1">
      <alignment horizontal="center" wrapText="1"/>
      <protection locked="0"/>
    </xf>
    <xf numFmtId="49" fontId="96" fillId="10" borderId="0" xfId="0" applyNumberFormat="1" applyFont="1" applyFill="1" applyBorder="1" applyAlignment="1" applyProtection="1">
      <alignment horizontal="center" wrapText="1"/>
      <protection locked="0"/>
    </xf>
    <xf numFmtId="49" fontId="96" fillId="10" borderId="57" xfId="0" applyNumberFormat="1" applyFont="1" applyFill="1" applyBorder="1" applyAlignment="1" applyProtection="1">
      <alignment horizontal="center" wrapText="1"/>
      <protection locked="0"/>
    </xf>
    <xf numFmtId="49" fontId="96" fillId="10" borderId="39" xfId="0" applyNumberFormat="1" applyFont="1" applyFill="1" applyBorder="1" applyAlignment="1" applyProtection="1">
      <alignment horizontal="center" wrapText="1"/>
      <protection locked="0"/>
    </xf>
    <xf numFmtId="49" fontId="96" fillId="10" borderId="8" xfId="0" applyNumberFormat="1" applyFont="1" applyFill="1" applyBorder="1" applyAlignment="1" applyProtection="1">
      <alignment horizontal="center" wrapText="1"/>
      <protection locked="0"/>
    </xf>
    <xf numFmtId="49" fontId="96" fillId="10" borderId="46" xfId="0" applyNumberFormat="1" applyFont="1" applyFill="1" applyBorder="1" applyAlignment="1" applyProtection="1">
      <alignment horizontal="center" wrapText="1"/>
      <protection locked="0"/>
    </xf>
    <xf numFmtId="49" fontId="104" fillId="7" borderId="16" xfId="0" applyNumberFormat="1" applyFont="1" applyFill="1" applyBorder="1" applyAlignment="1">
      <alignment horizontal="center" wrapText="1"/>
    </xf>
    <xf numFmtId="49" fontId="104" fillId="7" borderId="0" xfId="0" applyNumberFormat="1" applyFont="1" applyFill="1" applyBorder="1" applyAlignment="1">
      <alignment horizontal="center" wrapText="1"/>
    </xf>
    <xf numFmtId="49" fontId="104" fillId="7" borderId="57" xfId="0" applyNumberFormat="1" applyFont="1" applyFill="1" applyBorder="1" applyAlignment="1">
      <alignment horizontal="center" wrapText="1"/>
    </xf>
    <xf numFmtId="0" fontId="8" fillId="2" borderId="59" xfId="0" applyNumberFormat="1" applyFont="1" applyFill="1" applyBorder="1" applyAlignment="1" applyProtection="1">
      <alignment horizontal="center"/>
    </xf>
    <xf numFmtId="0" fontId="8" fillId="2" borderId="63" xfId="0" applyNumberFormat="1" applyFont="1" applyFill="1" applyBorder="1" applyAlignment="1" applyProtection="1">
      <alignment horizontal="center"/>
    </xf>
    <xf numFmtId="0" fontId="8" fillId="2" borderId="39" xfId="0" applyNumberFormat="1" applyFont="1" applyFill="1" applyBorder="1" applyAlignment="1" applyProtection="1">
      <alignment horizontal="center"/>
    </xf>
    <xf numFmtId="0" fontId="8" fillId="2" borderId="46" xfId="0" applyNumberFormat="1" applyFont="1" applyFill="1" applyBorder="1" applyAlignment="1" applyProtection="1">
      <alignment horizontal="center"/>
    </xf>
    <xf numFmtId="0" fontId="8" fillId="2" borderId="56" xfId="0" applyNumberFormat="1" applyFont="1" applyFill="1" applyBorder="1" applyAlignment="1" applyProtection="1">
      <alignment horizontal="center" wrapText="1"/>
    </xf>
    <xf numFmtId="0" fontId="8" fillId="2" borderId="56" xfId="0" applyNumberFormat="1" applyFont="1" applyFill="1" applyBorder="1" applyAlignment="1" applyProtection="1">
      <alignment horizontal="center"/>
    </xf>
    <xf numFmtId="0" fontId="19" fillId="7" borderId="59" xfId="0" applyNumberFormat="1" applyFont="1" applyFill="1" applyBorder="1" applyAlignment="1" applyProtection="1">
      <alignment horizontal="center"/>
    </xf>
    <xf numFmtId="0" fontId="19" fillId="7" borderId="58" xfId="0" applyNumberFormat="1" applyFont="1" applyFill="1" applyBorder="1" applyAlignment="1" applyProtection="1">
      <alignment horizontal="center"/>
    </xf>
    <xf numFmtId="0" fontId="8" fillId="7" borderId="70"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8" fillId="2" borderId="69" xfId="0" applyNumberFormat="1" applyFont="1" applyFill="1" applyBorder="1" applyAlignment="1" applyProtection="1">
      <alignment horizontal="center"/>
    </xf>
    <xf numFmtId="0" fontId="19" fillId="2" borderId="58" xfId="0" applyNumberFormat="1" applyFont="1" applyFill="1" applyBorder="1" applyAlignment="1" applyProtection="1">
      <alignment horizontal="center"/>
    </xf>
    <xf numFmtId="0" fontId="8" fillId="2" borderId="0"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4" fillId="2" borderId="56" xfId="0" applyNumberFormat="1" applyFont="1" applyFill="1" applyBorder="1" applyAlignment="1" applyProtection="1">
      <alignment horizontal="center" vertical="center" wrapText="1"/>
      <protection locked="0"/>
    </xf>
    <xf numFmtId="0" fontId="4" fillId="2" borderId="8" xfId="0" applyNumberFormat="1" applyFont="1" applyFill="1" applyBorder="1" applyAlignment="1" applyProtection="1">
      <alignment horizontal="center" vertical="center" wrapText="1"/>
      <protection locked="0"/>
    </xf>
    <xf numFmtId="0" fontId="4" fillId="10" borderId="0" xfId="0" applyNumberFormat="1" applyFont="1" applyFill="1" applyBorder="1" applyAlignment="1" applyProtection="1">
      <alignment horizontal="center" wrapText="1"/>
    </xf>
    <xf numFmtId="0" fontId="8" fillId="51" borderId="0" xfId="0" applyNumberFormat="1" applyFont="1" applyFill="1" applyBorder="1" applyAlignment="1" applyProtection="1">
      <alignment horizontal="center"/>
    </xf>
    <xf numFmtId="0" fontId="8" fillId="51" borderId="57" xfId="0" applyNumberFormat="1" applyFont="1" applyFill="1" applyBorder="1" applyAlignment="1" applyProtection="1">
      <alignment horizontal="center"/>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36" fillId="2" borderId="0" xfId="0" applyNumberFormat="1" applyFont="1" applyFill="1" applyBorder="1" applyAlignment="1" applyProtection="1">
      <alignment horizontal="center" wrapText="1"/>
      <protection locked="0"/>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25" fillId="7" borderId="8" xfId="0" applyNumberFormat="1" applyFont="1" applyFill="1" applyBorder="1" applyAlignment="1" applyProtection="1">
      <alignment horizontal="left"/>
    </xf>
    <xf numFmtId="0" fontId="8" fillId="0" borderId="59" xfId="0" applyNumberFormat="1" applyFont="1" applyFill="1" applyBorder="1" applyAlignment="1" applyProtection="1">
      <alignment horizontal="center"/>
    </xf>
    <xf numFmtId="0" fontId="8" fillId="0" borderId="69" xfId="0" applyNumberFormat="1" applyFont="1" applyFill="1" applyBorder="1" applyAlignment="1" applyProtection="1">
      <alignment horizontal="center"/>
    </xf>
    <xf numFmtId="0" fontId="127" fillId="2" borderId="69" xfId="0" applyNumberFormat="1" applyFont="1" applyFill="1" applyBorder="1" applyAlignment="1">
      <alignment horizontal="center"/>
    </xf>
    <xf numFmtId="0" fontId="127" fillId="2" borderId="58" xfId="0" applyNumberFormat="1" applyFont="1" applyFill="1" applyBorder="1" applyAlignment="1">
      <alignment horizontal="center"/>
    </xf>
    <xf numFmtId="0" fontId="36" fillId="2" borderId="8" xfId="0" applyNumberFormat="1" applyFont="1" applyFill="1" applyBorder="1" applyAlignment="1" applyProtection="1">
      <alignment horizontal="center" wrapText="1"/>
      <protection locked="0"/>
    </xf>
    <xf numFmtId="0" fontId="4" fillId="59" borderId="0" xfId="0" applyNumberFormat="1" applyFont="1" applyFill="1" applyBorder="1" applyAlignment="1" applyProtection="1">
      <alignment horizontal="center" vertical="center" wrapText="1"/>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49" fontId="4" fillId="2" borderId="8" xfId="0" applyNumberFormat="1" applyFont="1" applyFill="1" applyBorder="1" applyAlignment="1" applyProtection="1">
      <alignment horizontal="center" vertical="center"/>
      <protection locked="0"/>
    </xf>
    <xf numFmtId="0" fontId="8" fillId="0" borderId="59" xfId="0" applyNumberFormat="1" applyFont="1" applyBorder="1" applyAlignment="1">
      <alignment horizontal="center"/>
    </xf>
    <xf numFmtId="0" fontId="8" fillId="0" borderId="69" xfId="0" applyNumberFormat="1" applyFont="1" applyBorder="1" applyAlignment="1">
      <alignment horizontal="center"/>
    </xf>
    <xf numFmtId="0" fontId="0" fillId="0" borderId="69" xfId="0" applyNumberFormat="1" applyBorder="1" applyAlignment="1">
      <alignment horizontal="center"/>
    </xf>
    <xf numFmtId="0" fontId="0" fillId="0" borderId="58" xfId="0" applyNumberFormat="1" applyBorder="1" applyAlignment="1">
      <alignment horizontal="center"/>
    </xf>
    <xf numFmtId="0" fontId="8" fillId="7" borderId="59" xfId="0" applyNumberFormat="1" applyFont="1" applyFill="1" applyBorder="1" applyAlignment="1">
      <alignment horizontal="center"/>
    </xf>
    <xf numFmtId="0" fontId="8" fillId="7" borderId="69" xfId="0" applyNumberFormat="1" applyFont="1" applyFill="1" applyBorder="1" applyAlignment="1">
      <alignment horizontal="center"/>
    </xf>
    <xf numFmtId="0" fontId="8" fillId="7" borderId="58" xfId="0" applyNumberFormat="1" applyFont="1" applyFill="1" applyBorder="1" applyAlignment="1">
      <alignment horizontal="center"/>
    </xf>
    <xf numFmtId="0" fontId="8" fillId="60" borderId="0" xfId="0" applyNumberFormat="1" applyFont="1" applyFill="1" applyBorder="1" applyAlignment="1" applyProtection="1">
      <alignment horizontal="center"/>
    </xf>
    <xf numFmtId="0" fontId="8" fillId="60" borderId="57" xfId="0" applyNumberFormat="1" applyFont="1" applyFill="1" applyBorder="1" applyAlignment="1" applyProtection="1">
      <alignment horizontal="center"/>
    </xf>
    <xf numFmtId="0" fontId="66" fillId="60" borderId="0" xfId="0" applyNumberFormat="1" applyFont="1" applyFill="1" applyBorder="1" applyAlignment="1" applyProtection="1">
      <alignment horizontal="center"/>
    </xf>
    <xf numFmtId="0" fontId="66" fillId="60" borderId="57" xfId="0" applyNumberFormat="1" applyFont="1" applyFill="1" applyBorder="1" applyAlignment="1" applyProtection="1">
      <alignment horizontal="center"/>
    </xf>
    <xf numFmtId="0" fontId="19" fillId="10" borderId="56" xfId="0" applyNumberFormat="1" applyFont="1" applyFill="1" applyBorder="1" applyAlignment="1" applyProtection="1">
      <alignment horizontal="center" wrapText="1"/>
    </xf>
    <xf numFmtId="0" fontId="19" fillId="10" borderId="70"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0" fontId="11" fillId="7" borderId="59" xfId="0" applyNumberFormat="1" applyFont="1" applyFill="1" applyBorder="1" applyAlignment="1" applyProtection="1">
      <alignment horizontal="left"/>
    </xf>
    <xf numFmtId="0" fontId="11" fillId="7" borderId="69" xfId="0" applyNumberFormat="1" applyFont="1" applyFill="1" applyBorder="1" applyAlignment="1" applyProtection="1">
      <alignment horizontal="left"/>
    </xf>
    <xf numFmtId="0" fontId="11" fillId="7" borderId="58" xfId="0" applyNumberFormat="1" applyFont="1" applyFill="1" applyBorder="1" applyAlignment="1" applyProtection="1">
      <alignment horizontal="left"/>
    </xf>
    <xf numFmtId="0" fontId="130" fillId="9" borderId="0" xfId="0" applyFont="1" applyFill="1" applyBorder="1" applyAlignment="1">
      <alignment horizontal="center"/>
    </xf>
    <xf numFmtId="0" fontId="130" fillId="9" borderId="57" xfId="0" applyFont="1" applyFill="1" applyBorder="1" applyAlignment="1">
      <alignment horizontal="center"/>
    </xf>
    <xf numFmtId="0" fontId="131" fillId="9" borderId="0" xfId="0" applyFont="1" applyFill="1" applyBorder="1" applyAlignment="1">
      <alignment wrapText="1"/>
    </xf>
    <xf numFmtId="0" fontId="129" fillId="9" borderId="0" xfId="0" applyFont="1" applyFill="1" applyBorder="1" applyAlignment="1">
      <alignment horizontal="center" wrapText="1"/>
    </xf>
    <xf numFmtId="0" fontId="129" fillId="9" borderId="57" xfId="0" applyFont="1" applyFill="1" applyBorder="1" applyAlignment="1">
      <alignment horizontal="center" wrapText="1"/>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100">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C2D69A"/>
        </patternFill>
      </fill>
    </dxf>
    <dxf>
      <font>
        <color rgb="FF000000"/>
      </font>
      <fill>
        <patternFill>
          <fgColor indexed="64"/>
          <bgColor rgb="FFFFC7CE"/>
        </patternFill>
      </fill>
    </dxf>
  </dxfs>
  <tableStyles count="0" defaultTableStyle="TableStyleMedium9" defaultPivotStyle="PivotStyleLight16"/>
  <colors>
    <mruColors>
      <color rgb="FFFFFF66"/>
      <color rgb="FF0000FF"/>
      <color rgb="FF993300"/>
      <color rgb="FFD9D9D9"/>
      <color rgb="FFD8D8D8"/>
      <color rgb="FFFFFF99"/>
      <color rgb="FFFFC000"/>
      <color rgb="FF00FF00"/>
      <color rgb="FF00FFFF"/>
      <color rgb="FF204D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xmlns=""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61</xdr:row>
          <xdr:rowOff>99060</xdr:rowOff>
        </xdr:from>
        <xdr:to>
          <xdr:col>2</xdr:col>
          <xdr:colOff>1127760</xdr:colOff>
          <xdr:row>63</xdr:row>
          <xdr:rowOff>7620</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xmlns=""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a16="http://schemas.microsoft.com/office/drawing/2014/main" xmlns=""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a16="http://schemas.microsoft.com/office/drawing/2014/main" xmlns=""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a16="http://schemas.microsoft.com/office/drawing/2014/main" xmlns=""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a16="http://schemas.microsoft.com/office/drawing/2014/main" xmlns=""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a16="http://schemas.microsoft.com/office/drawing/2014/main" xmlns=""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a16="http://schemas.microsoft.com/office/drawing/2014/main" xmlns=""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 uri="{FF2B5EF4-FFF2-40B4-BE49-F238E27FC236}">
                  <a16:creationId xmlns:a16="http://schemas.microsoft.com/office/drawing/2014/main" xmlns=""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a16="http://schemas.microsoft.com/office/drawing/2014/main" xmlns=""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a16="http://schemas.microsoft.com/office/drawing/2014/main" xmlns=""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52</xdr:row>
          <xdr:rowOff>7620</xdr:rowOff>
        </xdr:to>
        <xdr:sp macro="" textlink="">
          <xdr:nvSpPr>
            <xdr:cNvPr id="128012" name="Check Box 12" hidden="1">
              <a:extLst>
                <a:ext uri="{63B3BB69-23CF-44E3-9099-C40C66FF867C}">
                  <a14:compatExt spid="_x0000_s128012"/>
                </a:ext>
                <a:ext uri="{FF2B5EF4-FFF2-40B4-BE49-F238E27FC236}">
                  <a16:creationId xmlns:a16="http://schemas.microsoft.com/office/drawing/2014/main" xmlns=""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53</xdr:row>
          <xdr:rowOff>7620</xdr:rowOff>
        </xdr:to>
        <xdr:sp macro="" textlink="">
          <xdr:nvSpPr>
            <xdr:cNvPr id="128013" name="Check Box 13" hidden="1">
              <a:extLst>
                <a:ext uri="{63B3BB69-23CF-44E3-9099-C40C66FF867C}">
                  <a14:compatExt spid="_x0000_s128013"/>
                </a:ext>
                <a:ext uri="{FF2B5EF4-FFF2-40B4-BE49-F238E27FC236}">
                  <a16:creationId xmlns:a16="http://schemas.microsoft.com/office/drawing/2014/main" xmlns=""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4" name="Check Box 14" hidden="1">
              <a:extLst>
                <a:ext uri="{63B3BB69-23CF-44E3-9099-C40C66FF867C}">
                  <a14:compatExt spid="_x0000_s128014"/>
                </a:ext>
                <a:ext uri="{FF2B5EF4-FFF2-40B4-BE49-F238E27FC236}">
                  <a16:creationId xmlns:a16="http://schemas.microsoft.com/office/drawing/2014/main" xmlns=""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5" name="Check Box 15" hidden="1">
              <a:extLst>
                <a:ext uri="{63B3BB69-23CF-44E3-9099-C40C66FF867C}">
                  <a14:compatExt spid="_x0000_s128015"/>
                </a:ext>
                <a:ext uri="{FF2B5EF4-FFF2-40B4-BE49-F238E27FC236}">
                  <a16:creationId xmlns:a16="http://schemas.microsoft.com/office/drawing/2014/main" xmlns=""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6" name="Check Box 16" hidden="1">
              <a:extLst>
                <a:ext uri="{63B3BB69-23CF-44E3-9099-C40C66FF867C}">
                  <a14:compatExt spid="_x0000_s128016"/>
                </a:ext>
                <a:ext uri="{FF2B5EF4-FFF2-40B4-BE49-F238E27FC236}">
                  <a16:creationId xmlns:a16="http://schemas.microsoft.com/office/drawing/2014/main" xmlns=""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 uri="{FF2B5EF4-FFF2-40B4-BE49-F238E27FC236}">
                  <a16:creationId xmlns:a16="http://schemas.microsoft.com/office/drawing/2014/main" xmlns=""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 uri="{FF2B5EF4-FFF2-40B4-BE49-F238E27FC236}">
                  <a16:creationId xmlns:a16="http://schemas.microsoft.com/office/drawing/2014/main" xmlns=""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 uri="{FF2B5EF4-FFF2-40B4-BE49-F238E27FC236}">
                  <a16:creationId xmlns:a16="http://schemas.microsoft.com/office/drawing/2014/main" xmlns=""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 uri="{FF2B5EF4-FFF2-40B4-BE49-F238E27FC236}">
                  <a16:creationId xmlns:a16="http://schemas.microsoft.com/office/drawing/2014/main" xmlns=""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0</xdr:colOff>
      <xdr:row>12</xdr:row>
      <xdr:rowOff>129540</xdr:rowOff>
    </xdr:from>
    <xdr:ext cx="184731" cy="264560"/>
    <xdr:sp macro="" textlink="">
      <xdr:nvSpPr>
        <xdr:cNvPr id="2" name="TextBox 1">
          <a:extLst>
            <a:ext uri="{FF2B5EF4-FFF2-40B4-BE49-F238E27FC236}">
              <a16:creationId xmlns:a16="http://schemas.microsoft.com/office/drawing/2014/main" xmlns="" id="{00000000-0008-0000-0D00-000002000000}"/>
            </a:ext>
          </a:extLst>
        </xdr:cNvPr>
        <xdr:cNvSpPr txBox="1"/>
      </xdr:nvSpPr>
      <xdr:spPr>
        <a:xfrm>
          <a:off x="6461760" y="29108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30</xdr:row>
          <xdr:rowOff>22860</xdr:rowOff>
        </xdr:from>
        <xdr:to>
          <xdr:col>1</xdr:col>
          <xdr:colOff>0</xdr:colOff>
          <xdr:row>30</xdr:row>
          <xdr:rowOff>220980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xmlns="" id="{00000000-0008-0000-0F00-00000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1</xdr:col>
          <xdr:colOff>0</xdr:colOff>
          <xdr:row>31</xdr:row>
          <xdr:rowOff>220980</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xmlns="" id="{00000000-0008-0000-0F00-00000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1</xdr:col>
          <xdr:colOff>0</xdr:colOff>
          <xdr:row>32</xdr:row>
          <xdr:rowOff>220980</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xmlns="" id="{00000000-0008-0000-0F00-00000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1</xdr:col>
          <xdr:colOff>0</xdr:colOff>
          <xdr:row>33</xdr:row>
          <xdr:rowOff>220980</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xmlns="" id="{00000000-0008-0000-0F00-00000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1</xdr:col>
          <xdr:colOff>0</xdr:colOff>
          <xdr:row>34</xdr:row>
          <xdr:rowOff>220980</xdr:rowOff>
        </xdr:to>
        <xdr:sp macro="" textlink="">
          <xdr:nvSpPr>
            <xdr:cNvPr id="206853" name="Button 5" hidden="1">
              <a:extLst>
                <a:ext uri="{63B3BB69-23CF-44E3-9099-C40C66FF867C}">
                  <a14:compatExt spid="_x0000_s206853"/>
                </a:ext>
                <a:ext uri="{FF2B5EF4-FFF2-40B4-BE49-F238E27FC236}">
                  <a16:creationId xmlns:a16="http://schemas.microsoft.com/office/drawing/2014/main" xmlns="" id="{00000000-0008-0000-0F00-00000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1</xdr:col>
          <xdr:colOff>0</xdr:colOff>
          <xdr:row>35</xdr:row>
          <xdr:rowOff>220980</xdr:rowOff>
        </xdr:to>
        <xdr:sp macro="" textlink="">
          <xdr:nvSpPr>
            <xdr:cNvPr id="206854" name="Button 6" hidden="1">
              <a:extLst>
                <a:ext uri="{63B3BB69-23CF-44E3-9099-C40C66FF867C}">
                  <a14:compatExt spid="_x0000_s206854"/>
                </a:ext>
                <a:ext uri="{FF2B5EF4-FFF2-40B4-BE49-F238E27FC236}">
                  <a16:creationId xmlns:a16="http://schemas.microsoft.com/office/drawing/2014/main" xmlns="" id="{00000000-0008-0000-0F00-00000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1</xdr:col>
          <xdr:colOff>0</xdr:colOff>
          <xdr:row>36</xdr:row>
          <xdr:rowOff>220980</xdr:rowOff>
        </xdr:to>
        <xdr:sp macro="" textlink="">
          <xdr:nvSpPr>
            <xdr:cNvPr id="206855" name="Button 7" hidden="1">
              <a:extLst>
                <a:ext uri="{63B3BB69-23CF-44E3-9099-C40C66FF867C}">
                  <a14:compatExt spid="_x0000_s206855"/>
                </a:ext>
                <a:ext uri="{FF2B5EF4-FFF2-40B4-BE49-F238E27FC236}">
                  <a16:creationId xmlns:a16="http://schemas.microsoft.com/office/drawing/2014/main" xmlns="" id="{00000000-0008-0000-0F00-00000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1</xdr:col>
          <xdr:colOff>0</xdr:colOff>
          <xdr:row>37</xdr:row>
          <xdr:rowOff>220980</xdr:rowOff>
        </xdr:to>
        <xdr:sp macro="" textlink="">
          <xdr:nvSpPr>
            <xdr:cNvPr id="206856" name="Button 8" hidden="1">
              <a:extLst>
                <a:ext uri="{63B3BB69-23CF-44E3-9099-C40C66FF867C}">
                  <a14:compatExt spid="_x0000_s206856"/>
                </a:ext>
                <a:ext uri="{FF2B5EF4-FFF2-40B4-BE49-F238E27FC236}">
                  <a16:creationId xmlns:a16="http://schemas.microsoft.com/office/drawing/2014/main" xmlns="" id="{00000000-0008-0000-0F00-00000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1</xdr:col>
          <xdr:colOff>0</xdr:colOff>
          <xdr:row>38</xdr:row>
          <xdr:rowOff>220980</xdr:rowOff>
        </xdr:to>
        <xdr:sp macro="" textlink="">
          <xdr:nvSpPr>
            <xdr:cNvPr id="206857" name="Button 9" hidden="1">
              <a:extLst>
                <a:ext uri="{63B3BB69-23CF-44E3-9099-C40C66FF867C}">
                  <a14:compatExt spid="_x0000_s206857"/>
                </a:ext>
                <a:ext uri="{FF2B5EF4-FFF2-40B4-BE49-F238E27FC236}">
                  <a16:creationId xmlns:a16="http://schemas.microsoft.com/office/drawing/2014/main" xmlns="" id="{00000000-0008-0000-0F00-00000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1</xdr:col>
          <xdr:colOff>0</xdr:colOff>
          <xdr:row>39</xdr:row>
          <xdr:rowOff>220980</xdr:rowOff>
        </xdr:to>
        <xdr:sp macro="" textlink="">
          <xdr:nvSpPr>
            <xdr:cNvPr id="206858" name="Button 10" hidden="1">
              <a:extLst>
                <a:ext uri="{63B3BB69-23CF-44E3-9099-C40C66FF867C}">
                  <a14:compatExt spid="_x0000_s206858"/>
                </a:ext>
                <a:ext uri="{FF2B5EF4-FFF2-40B4-BE49-F238E27FC236}">
                  <a16:creationId xmlns:a16="http://schemas.microsoft.com/office/drawing/2014/main" xmlns="" id="{00000000-0008-0000-0F00-00000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1</xdr:col>
          <xdr:colOff>0</xdr:colOff>
          <xdr:row>40</xdr:row>
          <xdr:rowOff>220980</xdr:rowOff>
        </xdr:to>
        <xdr:sp macro="" textlink="">
          <xdr:nvSpPr>
            <xdr:cNvPr id="206859" name="Button 11" hidden="1">
              <a:extLst>
                <a:ext uri="{63B3BB69-23CF-44E3-9099-C40C66FF867C}">
                  <a14:compatExt spid="_x0000_s206859"/>
                </a:ext>
                <a:ext uri="{FF2B5EF4-FFF2-40B4-BE49-F238E27FC236}">
                  <a16:creationId xmlns:a16="http://schemas.microsoft.com/office/drawing/2014/main" xmlns="" id="{00000000-0008-0000-0F00-00000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1</xdr:col>
          <xdr:colOff>0</xdr:colOff>
          <xdr:row>41</xdr:row>
          <xdr:rowOff>220980</xdr:rowOff>
        </xdr:to>
        <xdr:sp macro="" textlink="">
          <xdr:nvSpPr>
            <xdr:cNvPr id="206860" name="Button 12" hidden="1">
              <a:extLst>
                <a:ext uri="{63B3BB69-23CF-44E3-9099-C40C66FF867C}">
                  <a14:compatExt spid="_x0000_s206860"/>
                </a:ext>
                <a:ext uri="{FF2B5EF4-FFF2-40B4-BE49-F238E27FC236}">
                  <a16:creationId xmlns:a16="http://schemas.microsoft.com/office/drawing/2014/main" xmlns="" id="{00000000-0008-0000-0F00-00000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1</xdr:col>
          <xdr:colOff>0</xdr:colOff>
          <xdr:row>42</xdr:row>
          <xdr:rowOff>220980</xdr:rowOff>
        </xdr:to>
        <xdr:sp macro="" textlink="">
          <xdr:nvSpPr>
            <xdr:cNvPr id="206861" name="Button 13" hidden="1">
              <a:extLst>
                <a:ext uri="{63B3BB69-23CF-44E3-9099-C40C66FF867C}">
                  <a14:compatExt spid="_x0000_s206861"/>
                </a:ext>
                <a:ext uri="{FF2B5EF4-FFF2-40B4-BE49-F238E27FC236}">
                  <a16:creationId xmlns:a16="http://schemas.microsoft.com/office/drawing/2014/main" xmlns="" id="{00000000-0008-0000-0F00-00000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1</xdr:col>
          <xdr:colOff>0</xdr:colOff>
          <xdr:row>43</xdr:row>
          <xdr:rowOff>220980</xdr:rowOff>
        </xdr:to>
        <xdr:sp macro="" textlink="">
          <xdr:nvSpPr>
            <xdr:cNvPr id="206862" name="Button 14" hidden="1">
              <a:extLst>
                <a:ext uri="{63B3BB69-23CF-44E3-9099-C40C66FF867C}">
                  <a14:compatExt spid="_x0000_s206862"/>
                </a:ext>
                <a:ext uri="{FF2B5EF4-FFF2-40B4-BE49-F238E27FC236}">
                  <a16:creationId xmlns:a16="http://schemas.microsoft.com/office/drawing/2014/main" xmlns="" id="{00000000-0008-0000-0F00-00000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1</xdr:col>
          <xdr:colOff>0</xdr:colOff>
          <xdr:row>44</xdr:row>
          <xdr:rowOff>220980</xdr:rowOff>
        </xdr:to>
        <xdr:sp macro="" textlink="">
          <xdr:nvSpPr>
            <xdr:cNvPr id="206863" name="Button 15" hidden="1">
              <a:extLst>
                <a:ext uri="{63B3BB69-23CF-44E3-9099-C40C66FF867C}">
                  <a14:compatExt spid="_x0000_s206863"/>
                </a:ext>
                <a:ext uri="{FF2B5EF4-FFF2-40B4-BE49-F238E27FC236}">
                  <a16:creationId xmlns:a16="http://schemas.microsoft.com/office/drawing/2014/main" xmlns="" id="{00000000-0008-0000-0F00-00000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1</xdr:col>
          <xdr:colOff>0</xdr:colOff>
          <xdr:row>45</xdr:row>
          <xdr:rowOff>220980</xdr:rowOff>
        </xdr:to>
        <xdr:sp macro="" textlink="">
          <xdr:nvSpPr>
            <xdr:cNvPr id="206864" name="Button 16" hidden="1">
              <a:extLst>
                <a:ext uri="{63B3BB69-23CF-44E3-9099-C40C66FF867C}">
                  <a14:compatExt spid="_x0000_s206864"/>
                </a:ext>
                <a:ext uri="{FF2B5EF4-FFF2-40B4-BE49-F238E27FC236}">
                  <a16:creationId xmlns:a16="http://schemas.microsoft.com/office/drawing/2014/main" xmlns="" id="{00000000-0008-0000-0F00-00001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1</xdr:col>
          <xdr:colOff>0</xdr:colOff>
          <xdr:row>46</xdr:row>
          <xdr:rowOff>220980</xdr:rowOff>
        </xdr:to>
        <xdr:sp macro="" textlink="">
          <xdr:nvSpPr>
            <xdr:cNvPr id="206865" name="Button 17" hidden="1">
              <a:extLst>
                <a:ext uri="{63B3BB69-23CF-44E3-9099-C40C66FF867C}">
                  <a14:compatExt spid="_x0000_s206865"/>
                </a:ext>
                <a:ext uri="{FF2B5EF4-FFF2-40B4-BE49-F238E27FC236}">
                  <a16:creationId xmlns:a16="http://schemas.microsoft.com/office/drawing/2014/main" xmlns="" id="{00000000-0008-0000-0F00-00001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1</xdr:col>
          <xdr:colOff>0</xdr:colOff>
          <xdr:row>47</xdr:row>
          <xdr:rowOff>220980</xdr:rowOff>
        </xdr:to>
        <xdr:sp macro="" textlink="">
          <xdr:nvSpPr>
            <xdr:cNvPr id="206866" name="Button 18" hidden="1">
              <a:extLst>
                <a:ext uri="{63B3BB69-23CF-44E3-9099-C40C66FF867C}">
                  <a14:compatExt spid="_x0000_s206866"/>
                </a:ext>
                <a:ext uri="{FF2B5EF4-FFF2-40B4-BE49-F238E27FC236}">
                  <a16:creationId xmlns:a16="http://schemas.microsoft.com/office/drawing/2014/main" xmlns="" id="{00000000-0008-0000-0F00-00001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1</xdr:col>
          <xdr:colOff>0</xdr:colOff>
          <xdr:row>48</xdr:row>
          <xdr:rowOff>220980</xdr:rowOff>
        </xdr:to>
        <xdr:sp macro="" textlink="">
          <xdr:nvSpPr>
            <xdr:cNvPr id="206867" name="Button 19" hidden="1">
              <a:extLst>
                <a:ext uri="{63B3BB69-23CF-44E3-9099-C40C66FF867C}">
                  <a14:compatExt spid="_x0000_s206867"/>
                </a:ext>
                <a:ext uri="{FF2B5EF4-FFF2-40B4-BE49-F238E27FC236}">
                  <a16:creationId xmlns:a16="http://schemas.microsoft.com/office/drawing/2014/main" xmlns="" id="{00000000-0008-0000-0F00-00001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1</xdr:col>
          <xdr:colOff>0</xdr:colOff>
          <xdr:row>49</xdr:row>
          <xdr:rowOff>220980</xdr:rowOff>
        </xdr:to>
        <xdr:sp macro="" textlink="">
          <xdr:nvSpPr>
            <xdr:cNvPr id="206868" name="Button 20" hidden="1">
              <a:extLst>
                <a:ext uri="{63B3BB69-23CF-44E3-9099-C40C66FF867C}">
                  <a14:compatExt spid="_x0000_s206868"/>
                </a:ext>
                <a:ext uri="{FF2B5EF4-FFF2-40B4-BE49-F238E27FC236}">
                  <a16:creationId xmlns:a16="http://schemas.microsoft.com/office/drawing/2014/main" xmlns="" id="{00000000-0008-0000-0F00-00001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1</xdr:col>
          <xdr:colOff>0</xdr:colOff>
          <xdr:row>50</xdr:row>
          <xdr:rowOff>220980</xdr:rowOff>
        </xdr:to>
        <xdr:sp macro="" textlink="">
          <xdr:nvSpPr>
            <xdr:cNvPr id="206869" name="Button 21" hidden="1">
              <a:extLst>
                <a:ext uri="{63B3BB69-23CF-44E3-9099-C40C66FF867C}">
                  <a14:compatExt spid="_x0000_s206869"/>
                </a:ext>
                <a:ext uri="{FF2B5EF4-FFF2-40B4-BE49-F238E27FC236}">
                  <a16:creationId xmlns:a16="http://schemas.microsoft.com/office/drawing/2014/main" xmlns="" id="{00000000-0008-0000-0F00-00001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1</xdr:col>
          <xdr:colOff>0</xdr:colOff>
          <xdr:row>51</xdr:row>
          <xdr:rowOff>220980</xdr:rowOff>
        </xdr:to>
        <xdr:sp macro="" textlink="">
          <xdr:nvSpPr>
            <xdr:cNvPr id="206870" name="Button 22" hidden="1">
              <a:extLst>
                <a:ext uri="{63B3BB69-23CF-44E3-9099-C40C66FF867C}">
                  <a14:compatExt spid="_x0000_s206870"/>
                </a:ext>
                <a:ext uri="{FF2B5EF4-FFF2-40B4-BE49-F238E27FC236}">
                  <a16:creationId xmlns:a16="http://schemas.microsoft.com/office/drawing/2014/main" xmlns="" id="{00000000-0008-0000-0F00-00001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1</xdr:col>
          <xdr:colOff>0</xdr:colOff>
          <xdr:row>52</xdr:row>
          <xdr:rowOff>220980</xdr:rowOff>
        </xdr:to>
        <xdr:sp macro="" textlink="">
          <xdr:nvSpPr>
            <xdr:cNvPr id="206871" name="Button 23" hidden="1">
              <a:extLst>
                <a:ext uri="{63B3BB69-23CF-44E3-9099-C40C66FF867C}">
                  <a14:compatExt spid="_x0000_s206871"/>
                </a:ext>
                <a:ext uri="{FF2B5EF4-FFF2-40B4-BE49-F238E27FC236}">
                  <a16:creationId xmlns:a16="http://schemas.microsoft.com/office/drawing/2014/main" xmlns="" id="{00000000-0008-0000-0F00-00001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1</xdr:col>
          <xdr:colOff>0</xdr:colOff>
          <xdr:row>53</xdr:row>
          <xdr:rowOff>220980</xdr:rowOff>
        </xdr:to>
        <xdr:sp macro="" textlink="">
          <xdr:nvSpPr>
            <xdr:cNvPr id="206872" name="Button 24" hidden="1">
              <a:extLst>
                <a:ext uri="{63B3BB69-23CF-44E3-9099-C40C66FF867C}">
                  <a14:compatExt spid="_x0000_s206872"/>
                </a:ext>
                <a:ext uri="{FF2B5EF4-FFF2-40B4-BE49-F238E27FC236}">
                  <a16:creationId xmlns:a16="http://schemas.microsoft.com/office/drawing/2014/main" xmlns="" id="{00000000-0008-0000-0F00-00001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1</xdr:col>
          <xdr:colOff>0</xdr:colOff>
          <xdr:row>54</xdr:row>
          <xdr:rowOff>220980</xdr:rowOff>
        </xdr:to>
        <xdr:sp macro="" textlink="">
          <xdr:nvSpPr>
            <xdr:cNvPr id="206873" name="Button 25" hidden="1">
              <a:extLst>
                <a:ext uri="{63B3BB69-23CF-44E3-9099-C40C66FF867C}">
                  <a14:compatExt spid="_x0000_s206873"/>
                </a:ext>
                <a:ext uri="{FF2B5EF4-FFF2-40B4-BE49-F238E27FC236}">
                  <a16:creationId xmlns:a16="http://schemas.microsoft.com/office/drawing/2014/main" xmlns="" id="{00000000-0008-0000-0F00-00001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1</xdr:col>
          <xdr:colOff>0</xdr:colOff>
          <xdr:row>55</xdr:row>
          <xdr:rowOff>220980</xdr:rowOff>
        </xdr:to>
        <xdr:sp macro="" textlink="">
          <xdr:nvSpPr>
            <xdr:cNvPr id="206874" name="Button 26" hidden="1">
              <a:extLst>
                <a:ext uri="{63B3BB69-23CF-44E3-9099-C40C66FF867C}">
                  <a14:compatExt spid="_x0000_s206874"/>
                </a:ext>
                <a:ext uri="{FF2B5EF4-FFF2-40B4-BE49-F238E27FC236}">
                  <a16:creationId xmlns:a16="http://schemas.microsoft.com/office/drawing/2014/main" xmlns="" id="{00000000-0008-0000-0F00-00001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1</xdr:col>
          <xdr:colOff>0</xdr:colOff>
          <xdr:row>56</xdr:row>
          <xdr:rowOff>220980</xdr:rowOff>
        </xdr:to>
        <xdr:sp macro="" textlink="">
          <xdr:nvSpPr>
            <xdr:cNvPr id="206875" name="Button 27" hidden="1">
              <a:extLst>
                <a:ext uri="{63B3BB69-23CF-44E3-9099-C40C66FF867C}">
                  <a14:compatExt spid="_x0000_s206875"/>
                </a:ext>
                <a:ext uri="{FF2B5EF4-FFF2-40B4-BE49-F238E27FC236}">
                  <a16:creationId xmlns:a16="http://schemas.microsoft.com/office/drawing/2014/main" xmlns="" id="{00000000-0008-0000-0F00-00001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1</xdr:col>
          <xdr:colOff>0</xdr:colOff>
          <xdr:row>57</xdr:row>
          <xdr:rowOff>220980</xdr:rowOff>
        </xdr:to>
        <xdr:sp macro="" textlink="">
          <xdr:nvSpPr>
            <xdr:cNvPr id="206876" name="Button 28" hidden="1">
              <a:extLst>
                <a:ext uri="{63B3BB69-23CF-44E3-9099-C40C66FF867C}">
                  <a14:compatExt spid="_x0000_s206876"/>
                </a:ext>
                <a:ext uri="{FF2B5EF4-FFF2-40B4-BE49-F238E27FC236}">
                  <a16:creationId xmlns:a16="http://schemas.microsoft.com/office/drawing/2014/main" xmlns="" id="{00000000-0008-0000-0F00-00001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1</xdr:col>
          <xdr:colOff>0</xdr:colOff>
          <xdr:row>58</xdr:row>
          <xdr:rowOff>220980</xdr:rowOff>
        </xdr:to>
        <xdr:sp macro="" textlink="">
          <xdr:nvSpPr>
            <xdr:cNvPr id="206877" name="Button 29" hidden="1">
              <a:extLst>
                <a:ext uri="{63B3BB69-23CF-44E3-9099-C40C66FF867C}">
                  <a14:compatExt spid="_x0000_s206877"/>
                </a:ext>
                <a:ext uri="{FF2B5EF4-FFF2-40B4-BE49-F238E27FC236}">
                  <a16:creationId xmlns:a16="http://schemas.microsoft.com/office/drawing/2014/main" xmlns="" id="{00000000-0008-0000-0F00-00001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1</xdr:col>
          <xdr:colOff>0</xdr:colOff>
          <xdr:row>59</xdr:row>
          <xdr:rowOff>220980</xdr:rowOff>
        </xdr:to>
        <xdr:sp macro="" textlink="">
          <xdr:nvSpPr>
            <xdr:cNvPr id="206878" name="Button 30" hidden="1">
              <a:extLst>
                <a:ext uri="{63B3BB69-23CF-44E3-9099-C40C66FF867C}">
                  <a14:compatExt spid="_x0000_s206878"/>
                </a:ext>
                <a:ext uri="{FF2B5EF4-FFF2-40B4-BE49-F238E27FC236}">
                  <a16:creationId xmlns:a16="http://schemas.microsoft.com/office/drawing/2014/main" xmlns="" id="{00000000-0008-0000-0F00-00001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1</xdr:col>
          <xdr:colOff>0</xdr:colOff>
          <xdr:row>60</xdr:row>
          <xdr:rowOff>220980</xdr:rowOff>
        </xdr:to>
        <xdr:sp macro="" textlink="">
          <xdr:nvSpPr>
            <xdr:cNvPr id="206879" name="Button 31" hidden="1">
              <a:extLst>
                <a:ext uri="{63B3BB69-23CF-44E3-9099-C40C66FF867C}">
                  <a14:compatExt spid="_x0000_s206879"/>
                </a:ext>
                <a:ext uri="{FF2B5EF4-FFF2-40B4-BE49-F238E27FC236}">
                  <a16:creationId xmlns:a16="http://schemas.microsoft.com/office/drawing/2014/main" xmlns="" id="{00000000-0008-0000-0F00-00001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1</xdr:col>
          <xdr:colOff>0</xdr:colOff>
          <xdr:row>61</xdr:row>
          <xdr:rowOff>220980</xdr:rowOff>
        </xdr:to>
        <xdr:sp macro="" textlink="">
          <xdr:nvSpPr>
            <xdr:cNvPr id="206880" name="Button 32" hidden="1">
              <a:extLst>
                <a:ext uri="{63B3BB69-23CF-44E3-9099-C40C66FF867C}">
                  <a14:compatExt spid="_x0000_s206880"/>
                </a:ext>
                <a:ext uri="{FF2B5EF4-FFF2-40B4-BE49-F238E27FC236}">
                  <a16:creationId xmlns:a16="http://schemas.microsoft.com/office/drawing/2014/main" xmlns="" id="{00000000-0008-0000-0F00-00002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1</xdr:col>
          <xdr:colOff>0</xdr:colOff>
          <xdr:row>62</xdr:row>
          <xdr:rowOff>220980</xdr:rowOff>
        </xdr:to>
        <xdr:sp macro="" textlink="">
          <xdr:nvSpPr>
            <xdr:cNvPr id="206881" name="Button 33" hidden="1">
              <a:extLst>
                <a:ext uri="{63B3BB69-23CF-44E3-9099-C40C66FF867C}">
                  <a14:compatExt spid="_x0000_s206881"/>
                </a:ext>
                <a:ext uri="{FF2B5EF4-FFF2-40B4-BE49-F238E27FC236}">
                  <a16:creationId xmlns:a16="http://schemas.microsoft.com/office/drawing/2014/main" xmlns="" id="{00000000-0008-0000-0F00-00002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1</xdr:col>
          <xdr:colOff>0</xdr:colOff>
          <xdr:row>63</xdr:row>
          <xdr:rowOff>220980</xdr:rowOff>
        </xdr:to>
        <xdr:sp macro="" textlink="">
          <xdr:nvSpPr>
            <xdr:cNvPr id="206882" name="Button 34" hidden="1">
              <a:extLst>
                <a:ext uri="{63B3BB69-23CF-44E3-9099-C40C66FF867C}">
                  <a14:compatExt spid="_x0000_s206882"/>
                </a:ext>
                <a:ext uri="{FF2B5EF4-FFF2-40B4-BE49-F238E27FC236}">
                  <a16:creationId xmlns:a16="http://schemas.microsoft.com/office/drawing/2014/main" xmlns="" id="{00000000-0008-0000-0F00-00002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1</xdr:col>
          <xdr:colOff>0</xdr:colOff>
          <xdr:row>64</xdr:row>
          <xdr:rowOff>220980</xdr:rowOff>
        </xdr:to>
        <xdr:sp macro="" textlink="">
          <xdr:nvSpPr>
            <xdr:cNvPr id="206883" name="Button 35" hidden="1">
              <a:extLst>
                <a:ext uri="{63B3BB69-23CF-44E3-9099-C40C66FF867C}">
                  <a14:compatExt spid="_x0000_s206883"/>
                </a:ext>
                <a:ext uri="{FF2B5EF4-FFF2-40B4-BE49-F238E27FC236}">
                  <a16:creationId xmlns:a16="http://schemas.microsoft.com/office/drawing/2014/main" xmlns="" id="{00000000-0008-0000-0F00-00002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1</xdr:col>
          <xdr:colOff>0</xdr:colOff>
          <xdr:row>65</xdr:row>
          <xdr:rowOff>220980</xdr:rowOff>
        </xdr:to>
        <xdr:sp macro="" textlink="">
          <xdr:nvSpPr>
            <xdr:cNvPr id="206884" name="Button 36" hidden="1">
              <a:extLst>
                <a:ext uri="{63B3BB69-23CF-44E3-9099-C40C66FF867C}">
                  <a14:compatExt spid="_x0000_s206884"/>
                </a:ext>
                <a:ext uri="{FF2B5EF4-FFF2-40B4-BE49-F238E27FC236}">
                  <a16:creationId xmlns:a16="http://schemas.microsoft.com/office/drawing/2014/main" xmlns="" id="{00000000-0008-0000-0F00-00002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1</xdr:col>
          <xdr:colOff>0</xdr:colOff>
          <xdr:row>66</xdr:row>
          <xdr:rowOff>220980</xdr:rowOff>
        </xdr:to>
        <xdr:sp macro="" textlink="">
          <xdr:nvSpPr>
            <xdr:cNvPr id="206885" name="Button 37" hidden="1">
              <a:extLst>
                <a:ext uri="{63B3BB69-23CF-44E3-9099-C40C66FF867C}">
                  <a14:compatExt spid="_x0000_s206885"/>
                </a:ext>
                <a:ext uri="{FF2B5EF4-FFF2-40B4-BE49-F238E27FC236}">
                  <a16:creationId xmlns:a16="http://schemas.microsoft.com/office/drawing/2014/main" xmlns="" id="{00000000-0008-0000-0F00-00002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1</xdr:col>
          <xdr:colOff>0</xdr:colOff>
          <xdr:row>67</xdr:row>
          <xdr:rowOff>220980</xdr:rowOff>
        </xdr:to>
        <xdr:sp macro="" textlink="">
          <xdr:nvSpPr>
            <xdr:cNvPr id="206886" name="Button 38" hidden="1">
              <a:extLst>
                <a:ext uri="{63B3BB69-23CF-44E3-9099-C40C66FF867C}">
                  <a14:compatExt spid="_x0000_s206886"/>
                </a:ext>
                <a:ext uri="{FF2B5EF4-FFF2-40B4-BE49-F238E27FC236}">
                  <a16:creationId xmlns:a16="http://schemas.microsoft.com/office/drawing/2014/main" xmlns="" id="{00000000-0008-0000-0F00-00002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1</xdr:col>
          <xdr:colOff>0</xdr:colOff>
          <xdr:row>68</xdr:row>
          <xdr:rowOff>220980</xdr:rowOff>
        </xdr:to>
        <xdr:sp macro="" textlink="">
          <xdr:nvSpPr>
            <xdr:cNvPr id="206887" name="Button 39" hidden="1">
              <a:extLst>
                <a:ext uri="{63B3BB69-23CF-44E3-9099-C40C66FF867C}">
                  <a14:compatExt spid="_x0000_s206887"/>
                </a:ext>
                <a:ext uri="{FF2B5EF4-FFF2-40B4-BE49-F238E27FC236}">
                  <a16:creationId xmlns:a16="http://schemas.microsoft.com/office/drawing/2014/main" xmlns="" id="{00000000-0008-0000-0F00-00002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1</xdr:col>
          <xdr:colOff>0</xdr:colOff>
          <xdr:row>69</xdr:row>
          <xdr:rowOff>220980</xdr:rowOff>
        </xdr:to>
        <xdr:sp macro="" textlink="">
          <xdr:nvSpPr>
            <xdr:cNvPr id="206888" name="Button 40" hidden="1">
              <a:extLst>
                <a:ext uri="{63B3BB69-23CF-44E3-9099-C40C66FF867C}">
                  <a14:compatExt spid="_x0000_s206888"/>
                </a:ext>
                <a:ext uri="{FF2B5EF4-FFF2-40B4-BE49-F238E27FC236}">
                  <a16:creationId xmlns:a16="http://schemas.microsoft.com/office/drawing/2014/main" xmlns="" id="{00000000-0008-0000-0F00-00002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1</xdr:col>
          <xdr:colOff>0</xdr:colOff>
          <xdr:row>70</xdr:row>
          <xdr:rowOff>220980</xdr:rowOff>
        </xdr:to>
        <xdr:sp macro="" textlink="">
          <xdr:nvSpPr>
            <xdr:cNvPr id="206889" name="Button 41" hidden="1">
              <a:extLst>
                <a:ext uri="{63B3BB69-23CF-44E3-9099-C40C66FF867C}">
                  <a14:compatExt spid="_x0000_s206889"/>
                </a:ext>
                <a:ext uri="{FF2B5EF4-FFF2-40B4-BE49-F238E27FC236}">
                  <a16:creationId xmlns:a16="http://schemas.microsoft.com/office/drawing/2014/main" xmlns="" id="{00000000-0008-0000-0F00-00002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1</xdr:col>
          <xdr:colOff>0</xdr:colOff>
          <xdr:row>71</xdr:row>
          <xdr:rowOff>220980</xdr:rowOff>
        </xdr:to>
        <xdr:sp macro="" textlink="">
          <xdr:nvSpPr>
            <xdr:cNvPr id="206890" name="Button 42" hidden="1">
              <a:extLst>
                <a:ext uri="{63B3BB69-23CF-44E3-9099-C40C66FF867C}">
                  <a14:compatExt spid="_x0000_s206890"/>
                </a:ext>
                <a:ext uri="{FF2B5EF4-FFF2-40B4-BE49-F238E27FC236}">
                  <a16:creationId xmlns:a16="http://schemas.microsoft.com/office/drawing/2014/main" xmlns="" id="{00000000-0008-0000-0F00-00002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1</xdr:col>
          <xdr:colOff>0</xdr:colOff>
          <xdr:row>72</xdr:row>
          <xdr:rowOff>220980</xdr:rowOff>
        </xdr:to>
        <xdr:sp macro="" textlink="">
          <xdr:nvSpPr>
            <xdr:cNvPr id="206891" name="Button 43" hidden="1">
              <a:extLst>
                <a:ext uri="{63B3BB69-23CF-44E3-9099-C40C66FF867C}">
                  <a14:compatExt spid="_x0000_s206891"/>
                </a:ext>
                <a:ext uri="{FF2B5EF4-FFF2-40B4-BE49-F238E27FC236}">
                  <a16:creationId xmlns:a16="http://schemas.microsoft.com/office/drawing/2014/main" xmlns="" id="{00000000-0008-0000-0F00-00002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1</xdr:col>
          <xdr:colOff>0</xdr:colOff>
          <xdr:row>73</xdr:row>
          <xdr:rowOff>220980</xdr:rowOff>
        </xdr:to>
        <xdr:sp macro="" textlink="">
          <xdr:nvSpPr>
            <xdr:cNvPr id="206892" name="Button 44" hidden="1">
              <a:extLst>
                <a:ext uri="{63B3BB69-23CF-44E3-9099-C40C66FF867C}">
                  <a14:compatExt spid="_x0000_s206892"/>
                </a:ext>
                <a:ext uri="{FF2B5EF4-FFF2-40B4-BE49-F238E27FC236}">
                  <a16:creationId xmlns:a16="http://schemas.microsoft.com/office/drawing/2014/main" xmlns="" id="{00000000-0008-0000-0F00-00002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1</xdr:col>
          <xdr:colOff>0</xdr:colOff>
          <xdr:row>74</xdr:row>
          <xdr:rowOff>220980</xdr:rowOff>
        </xdr:to>
        <xdr:sp macro="" textlink="">
          <xdr:nvSpPr>
            <xdr:cNvPr id="206893" name="Button 45" hidden="1">
              <a:extLst>
                <a:ext uri="{63B3BB69-23CF-44E3-9099-C40C66FF867C}">
                  <a14:compatExt spid="_x0000_s206893"/>
                </a:ext>
                <a:ext uri="{FF2B5EF4-FFF2-40B4-BE49-F238E27FC236}">
                  <a16:creationId xmlns:a16="http://schemas.microsoft.com/office/drawing/2014/main" xmlns="" id="{00000000-0008-0000-0F00-00002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1</xdr:col>
          <xdr:colOff>0</xdr:colOff>
          <xdr:row>75</xdr:row>
          <xdr:rowOff>220980</xdr:rowOff>
        </xdr:to>
        <xdr:sp macro="" textlink="">
          <xdr:nvSpPr>
            <xdr:cNvPr id="206894" name="Button 46" hidden="1">
              <a:extLst>
                <a:ext uri="{63B3BB69-23CF-44E3-9099-C40C66FF867C}">
                  <a14:compatExt spid="_x0000_s206894"/>
                </a:ext>
                <a:ext uri="{FF2B5EF4-FFF2-40B4-BE49-F238E27FC236}">
                  <a16:creationId xmlns:a16="http://schemas.microsoft.com/office/drawing/2014/main" xmlns="" id="{00000000-0008-0000-0F00-00002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1</xdr:col>
          <xdr:colOff>0</xdr:colOff>
          <xdr:row>76</xdr:row>
          <xdr:rowOff>220980</xdr:rowOff>
        </xdr:to>
        <xdr:sp macro="" textlink="">
          <xdr:nvSpPr>
            <xdr:cNvPr id="206895" name="Button 47" hidden="1">
              <a:extLst>
                <a:ext uri="{63B3BB69-23CF-44E3-9099-C40C66FF867C}">
                  <a14:compatExt spid="_x0000_s206895"/>
                </a:ext>
                <a:ext uri="{FF2B5EF4-FFF2-40B4-BE49-F238E27FC236}">
                  <a16:creationId xmlns:a16="http://schemas.microsoft.com/office/drawing/2014/main" xmlns="" id="{00000000-0008-0000-0F00-00002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1</xdr:col>
          <xdr:colOff>0</xdr:colOff>
          <xdr:row>77</xdr:row>
          <xdr:rowOff>220980</xdr:rowOff>
        </xdr:to>
        <xdr:sp macro="" textlink="">
          <xdr:nvSpPr>
            <xdr:cNvPr id="206896" name="Button 48" hidden="1">
              <a:extLst>
                <a:ext uri="{63B3BB69-23CF-44E3-9099-C40C66FF867C}">
                  <a14:compatExt spid="_x0000_s206896"/>
                </a:ext>
                <a:ext uri="{FF2B5EF4-FFF2-40B4-BE49-F238E27FC236}">
                  <a16:creationId xmlns:a16="http://schemas.microsoft.com/office/drawing/2014/main" xmlns="" id="{00000000-0008-0000-0F00-00003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1</xdr:col>
          <xdr:colOff>0</xdr:colOff>
          <xdr:row>78</xdr:row>
          <xdr:rowOff>220980</xdr:rowOff>
        </xdr:to>
        <xdr:sp macro="" textlink="">
          <xdr:nvSpPr>
            <xdr:cNvPr id="206897" name="Button 49" hidden="1">
              <a:extLst>
                <a:ext uri="{63B3BB69-23CF-44E3-9099-C40C66FF867C}">
                  <a14:compatExt spid="_x0000_s206897"/>
                </a:ext>
                <a:ext uri="{FF2B5EF4-FFF2-40B4-BE49-F238E27FC236}">
                  <a16:creationId xmlns:a16="http://schemas.microsoft.com/office/drawing/2014/main" xmlns="" id="{00000000-0008-0000-0F00-00003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1</xdr:col>
          <xdr:colOff>0</xdr:colOff>
          <xdr:row>79</xdr:row>
          <xdr:rowOff>220980</xdr:rowOff>
        </xdr:to>
        <xdr:sp macro="" textlink="">
          <xdr:nvSpPr>
            <xdr:cNvPr id="206898" name="Button 50" hidden="1">
              <a:extLst>
                <a:ext uri="{63B3BB69-23CF-44E3-9099-C40C66FF867C}">
                  <a14:compatExt spid="_x0000_s206898"/>
                </a:ext>
                <a:ext uri="{FF2B5EF4-FFF2-40B4-BE49-F238E27FC236}">
                  <a16:creationId xmlns:a16="http://schemas.microsoft.com/office/drawing/2014/main" xmlns="" id="{00000000-0008-0000-0F00-00003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1</xdr:col>
          <xdr:colOff>0</xdr:colOff>
          <xdr:row>80</xdr:row>
          <xdr:rowOff>220980</xdr:rowOff>
        </xdr:to>
        <xdr:sp macro="" textlink="">
          <xdr:nvSpPr>
            <xdr:cNvPr id="206899" name="Button 51" hidden="1">
              <a:extLst>
                <a:ext uri="{63B3BB69-23CF-44E3-9099-C40C66FF867C}">
                  <a14:compatExt spid="_x0000_s206899"/>
                </a:ext>
                <a:ext uri="{FF2B5EF4-FFF2-40B4-BE49-F238E27FC236}">
                  <a16:creationId xmlns:a16="http://schemas.microsoft.com/office/drawing/2014/main" xmlns="" id="{00000000-0008-0000-0F00-00003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1</xdr:col>
          <xdr:colOff>0</xdr:colOff>
          <xdr:row>81</xdr:row>
          <xdr:rowOff>220980</xdr:rowOff>
        </xdr:to>
        <xdr:sp macro="" textlink="">
          <xdr:nvSpPr>
            <xdr:cNvPr id="206900" name="Button 52" hidden="1">
              <a:extLst>
                <a:ext uri="{63B3BB69-23CF-44E3-9099-C40C66FF867C}">
                  <a14:compatExt spid="_x0000_s206900"/>
                </a:ext>
                <a:ext uri="{FF2B5EF4-FFF2-40B4-BE49-F238E27FC236}">
                  <a16:creationId xmlns:a16="http://schemas.microsoft.com/office/drawing/2014/main" xmlns="" id="{00000000-0008-0000-0F00-00003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1</xdr:col>
          <xdr:colOff>0</xdr:colOff>
          <xdr:row>82</xdr:row>
          <xdr:rowOff>220980</xdr:rowOff>
        </xdr:to>
        <xdr:sp macro="" textlink="">
          <xdr:nvSpPr>
            <xdr:cNvPr id="206901" name="Button 53" hidden="1">
              <a:extLst>
                <a:ext uri="{63B3BB69-23CF-44E3-9099-C40C66FF867C}">
                  <a14:compatExt spid="_x0000_s206901"/>
                </a:ext>
                <a:ext uri="{FF2B5EF4-FFF2-40B4-BE49-F238E27FC236}">
                  <a16:creationId xmlns:a16="http://schemas.microsoft.com/office/drawing/2014/main" xmlns="" id="{00000000-0008-0000-0F00-00003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1</xdr:col>
          <xdr:colOff>0</xdr:colOff>
          <xdr:row>83</xdr:row>
          <xdr:rowOff>220980</xdr:rowOff>
        </xdr:to>
        <xdr:sp macro="" textlink="">
          <xdr:nvSpPr>
            <xdr:cNvPr id="206902" name="Button 54" hidden="1">
              <a:extLst>
                <a:ext uri="{63B3BB69-23CF-44E3-9099-C40C66FF867C}">
                  <a14:compatExt spid="_x0000_s206902"/>
                </a:ext>
                <a:ext uri="{FF2B5EF4-FFF2-40B4-BE49-F238E27FC236}">
                  <a16:creationId xmlns:a16="http://schemas.microsoft.com/office/drawing/2014/main" xmlns="" id="{00000000-0008-0000-0F00-00003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1</xdr:col>
          <xdr:colOff>0</xdr:colOff>
          <xdr:row>84</xdr:row>
          <xdr:rowOff>220980</xdr:rowOff>
        </xdr:to>
        <xdr:sp macro="" textlink="">
          <xdr:nvSpPr>
            <xdr:cNvPr id="206903" name="Button 55" hidden="1">
              <a:extLst>
                <a:ext uri="{63B3BB69-23CF-44E3-9099-C40C66FF867C}">
                  <a14:compatExt spid="_x0000_s206903"/>
                </a:ext>
                <a:ext uri="{FF2B5EF4-FFF2-40B4-BE49-F238E27FC236}">
                  <a16:creationId xmlns:a16="http://schemas.microsoft.com/office/drawing/2014/main" xmlns="" id="{00000000-0008-0000-0F00-00003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1</xdr:col>
          <xdr:colOff>0</xdr:colOff>
          <xdr:row>85</xdr:row>
          <xdr:rowOff>220980</xdr:rowOff>
        </xdr:to>
        <xdr:sp macro="" textlink="">
          <xdr:nvSpPr>
            <xdr:cNvPr id="206904" name="Button 56" hidden="1">
              <a:extLst>
                <a:ext uri="{63B3BB69-23CF-44E3-9099-C40C66FF867C}">
                  <a14:compatExt spid="_x0000_s206904"/>
                </a:ext>
                <a:ext uri="{FF2B5EF4-FFF2-40B4-BE49-F238E27FC236}">
                  <a16:creationId xmlns:a16="http://schemas.microsoft.com/office/drawing/2014/main" xmlns="" id="{00000000-0008-0000-0F00-00003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1</xdr:col>
          <xdr:colOff>0</xdr:colOff>
          <xdr:row>86</xdr:row>
          <xdr:rowOff>220980</xdr:rowOff>
        </xdr:to>
        <xdr:sp macro="" textlink="">
          <xdr:nvSpPr>
            <xdr:cNvPr id="206905" name="Button 57" hidden="1">
              <a:extLst>
                <a:ext uri="{63B3BB69-23CF-44E3-9099-C40C66FF867C}">
                  <a14:compatExt spid="_x0000_s206905"/>
                </a:ext>
                <a:ext uri="{FF2B5EF4-FFF2-40B4-BE49-F238E27FC236}">
                  <a16:creationId xmlns:a16="http://schemas.microsoft.com/office/drawing/2014/main" xmlns="" id="{00000000-0008-0000-0F00-00003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1</xdr:col>
          <xdr:colOff>0</xdr:colOff>
          <xdr:row>87</xdr:row>
          <xdr:rowOff>220980</xdr:rowOff>
        </xdr:to>
        <xdr:sp macro="" textlink="">
          <xdr:nvSpPr>
            <xdr:cNvPr id="206906" name="Button 58" hidden="1">
              <a:extLst>
                <a:ext uri="{63B3BB69-23CF-44E3-9099-C40C66FF867C}">
                  <a14:compatExt spid="_x0000_s206906"/>
                </a:ext>
                <a:ext uri="{FF2B5EF4-FFF2-40B4-BE49-F238E27FC236}">
                  <a16:creationId xmlns:a16="http://schemas.microsoft.com/office/drawing/2014/main" xmlns="" id="{00000000-0008-0000-0F00-00003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1</xdr:col>
          <xdr:colOff>0</xdr:colOff>
          <xdr:row>88</xdr:row>
          <xdr:rowOff>220980</xdr:rowOff>
        </xdr:to>
        <xdr:sp macro="" textlink="">
          <xdr:nvSpPr>
            <xdr:cNvPr id="206907" name="Button 59" hidden="1">
              <a:extLst>
                <a:ext uri="{63B3BB69-23CF-44E3-9099-C40C66FF867C}">
                  <a14:compatExt spid="_x0000_s206907"/>
                </a:ext>
                <a:ext uri="{FF2B5EF4-FFF2-40B4-BE49-F238E27FC236}">
                  <a16:creationId xmlns:a16="http://schemas.microsoft.com/office/drawing/2014/main" xmlns="" id="{00000000-0008-0000-0F00-00003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1</xdr:col>
          <xdr:colOff>0</xdr:colOff>
          <xdr:row>89</xdr:row>
          <xdr:rowOff>220980</xdr:rowOff>
        </xdr:to>
        <xdr:sp macro="" textlink="">
          <xdr:nvSpPr>
            <xdr:cNvPr id="206908" name="Button 60" hidden="1">
              <a:extLst>
                <a:ext uri="{63B3BB69-23CF-44E3-9099-C40C66FF867C}">
                  <a14:compatExt spid="_x0000_s206908"/>
                </a:ext>
                <a:ext uri="{FF2B5EF4-FFF2-40B4-BE49-F238E27FC236}">
                  <a16:creationId xmlns:a16="http://schemas.microsoft.com/office/drawing/2014/main" xmlns="" id="{00000000-0008-0000-0F00-00003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1</xdr:col>
          <xdr:colOff>0</xdr:colOff>
          <xdr:row>90</xdr:row>
          <xdr:rowOff>220980</xdr:rowOff>
        </xdr:to>
        <xdr:sp macro="" textlink="">
          <xdr:nvSpPr>
            <xdr:cNvPr id="206909" name="Button 61" hidden="1">
              <a:extLst>
                <a:ext uri="{63B3BB69-23CF-44E3-9099-C40C66FF867C}">
                  <a14:compatExt spid="_x0000_s206909"/>
                </a:ext>
                <a:ext uri="{FF2B5EF4-FFF2-40B4-BE49-F238E27FC236}">
                  <a16:creationId xmlns:a16="http://schemas.microsoft.com/office/drawing/2014/main" xmlns="" id="{00000000-0008-0000-0F00-00003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1</xdr:col>
          <xdr:colOff>0</xdr:colOff>
          <xdr:row>91</xdr:row>
          <xdr:rowOff>220980</xdr:rowOff>
        </xdr:to>
        <xdr:sp macro="" textlink="">
          <xdr:nvSpPr>
            <xdr:cNvPr id="206910" name="Button 62" hidden="1">
              <a:extLst>
                <a:ext uri="{63B3BB69-23CF-44E3-9099-C40C66FF867C}">
                  <a14:compatExt spid="_x0000_s206910"/>
                </a:ext>
                <a:ext uri="{FF2B5EF4-FFF2-40B4-BE49-F238E27FC236}">
                  <a16:creationId xmlns:a16="http://schemas.microsoft.com/office/drawing/2014/main" xmlns="" id="{00000000-0008-0000-0F00-00003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1</xdr:col>
          <xdr:colOff>0</xdr:colOff>
          <xdr:row>92</xdr:row>
          <xdr:rowOff>220980</xdr:rowOff>
        </xdr:to>
        <xdr:sp macro="" textlink="">
          <xdr:nvSpPr>
            <xdr:cNvPr id="206911" name="Button 63" hidden="1">
              <a:extLst>
                <a:ext uri="{63B3BB69-23CF-44E3-9099-C40C66FF867C}">
                  <a14:compatExt spid="_x0000_s206911"/>
                </a:ext>
                <a:ext uri="{FF2B5EF4-FFF2-40B4-BE49-F238E27FC236}">
                  <a16:creationId xmlns:a16="http://schemas.microsoft.com/office/drawing/2014/main" xmlns="" id="{00000000-0008-0000-0F00-00003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1</xdr:col>
          <xdr:colOff>0</xdr:colOff>
          <xdr:row>93</xdr:row>
          <xdr:rowOff>220980</xdr:rowOff>
        </xdr:to>
        <xdr:sp macro="" textlink="">
          <xdr:nvSpPr>
            <xdr:cNvPr id="206912" name="Button 64" hidden="1">
              <a:extLst>
                <a:ext uri="{63B3BB69-23CF-44E3-9099-C40C66FF867C}">
                  <a14:compatExt spid="_x0000_s206912"/>
                </a:ext>
                <a:ext uri="{FF2B5EF4-FFF2-40B4-BE49-F238E27FC236}">
                  <a16:creationId xmlns:a16="http://schemas.microsoft.com/office/drawing/2014/main" xmlns="" id="{00000000-0008-0000-0F00-00004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1</xdr:col>
          <xdr:colOff>0</xdr:colOff>
          <xdr:row>94</xdr:row>
          <xdr:rowOff>220980</xdr:rowOff>
        </xdr:to>
        <xdr:sp macro="" textlink="">
          <xdr:nvSpPr>
            <xdr:cNvPr id="206913" name="Button 65" hidden="1">
              <a:extLst>
                <a:ext uri="{63B3BB69-23CF-44E3-9099-C40C66FF867C}">
                  <a14:compatExt spid="_x0000_s206913"/>
                </a:ext>
                <a:ext uri="{FF2B5EF4-FFF2-40B4-BE49-F238E27FC236}">
                  <a16:creationId xmlns:a16="http://schemas.microsoft.com/office/drawing/2014/main" xmlns="" id="{00000000-0008-0000-0F00-00004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1</xdr:col>
          <xdr:colOff>0</xdr:colOff>
          <xdr:row>95</xdr:row>
          <xdr:rowOff>220980</xdr:rowOff>
        </xdr:to>
        <xdr:sp macro="" textlink="">
          <xdr:nvSpPr>
            <xdr:cNvPr id="206914" name="Button 66" hidden="1">
              <a:extLst>
                <a:ext uri="{63B3BB69-23CF-44E3-9099-C40C66FF867C}">
                  <a14:compatExt spid="_x0000_s206914"/>
                </a:ext>
                <a:ext uri="{FF2B5EF4-FFF2-40B4-BE49-F238E27FC236}">
                  <a16:creationId xmlns:a16="http://schemas.microsoft.com/office/drawing/2014/main" xmlns="" id="{00000000-0008-0000-0F00-00004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1</xdr:col>
          <xdr:colOff>0</xdr:colOff>
          <xdr:row>96</xdr:row>
          <xdr:rowOff>220980</xdr:rowOff>
        </xdr:to>
        <xdr:sp macro="" textlink="">
          <xdr:nvSpPr>
            <xdr:cNvPr id="206915" name="Button 67" hidden="1">
              <a:extLst>
                <a:ext uri="{63B3BB69-23CF-44E3-9099-C40C66FF867C}">
                  <a14:compatExt spid="_x0000_s206915"/>
                </a:ext>
                <a:ext uri="{FF2B5EF4-FFF2-40B4-BE49-F238E27FC236}">
                  <a16:creationId xmlns:a16="http://schemas.microsoft.com/office/drawing/2014/main" xmlns="" id="{00000000-0008-0000-0F00-00004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1</xdr:col>
          <xdr:colOff>0</xdr:colOff>
          <xdr:row>97</xdr:row>
          <xdr:rowOff>220980</xdr:rowOff>
        </xdr:to>
        <xdr:sp macro="" textlink="">
          <xdr:nvSpPr>
            <xdr:cNvPr id="206916" name="Button 68" hidden="1">
              <a:extLst>
                <a:ext uri="{63B3BB69-23CF-44E3-9099-C40C66FF867C}">
                  <a14:compatExt spid="_x0000_s206916"/>
                </a:ext>
                <a:ext uri="{FF2B5EF4-FFF2-40B4-BE49-F238E27FC236}">
                  <a16:creationId xmlns:a16="http://schemas.microsoft.com/office/drawing/2014/main" xmlns="" id="{00000000-0008-0000-0F00-00004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1</xdr:col>
          <xdr:colOff>0</xdr:colOff>
          <xdr:row>98</xdr:row>
          <xdr:rowOff>220980</xdr:rowOff>
        </xdr:to>
        <xdr:sp macro="" textlink="">
          <xdr:nvSpPr>
            <xdr:cNvPr id="206917" name="Button 69" hidden="1">
              <a:extLst>
                <a:ext uri="{63B3BB69-23CF-44E3-9099-C40C66FF867C}">
                  <a14:compatExt spid="_x0000_s206917"/>
                </a:ext>
                <a:ext uri="{FF2B5EF4-FFF2-40B4-BE49-F238E27FC236}">
                  <a16:creationId xmlns:a16="http://schemas.microsoft.com/office/drawing/2014/main" xmlns="" id="{00000000-0008-0000-0F00-00004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1</xdr:col>
          <xdr:colOff>0</xdr:colOff>
          <xdr:row>99</xdr:row>
          <xdr:rowOff>220980</xdr:rowOff>
        </xdr:to>
        <xdr:sp macro="" textlink="">
          <xdr:nvSpPr>
            <xdr:cNvPr id="206918" name="Button 70" hidden="1">
              <a:extLst>
                <a:ext uri="{63B3BB69-23CF-44E3-9099-C40C66FF867C}">
                  <a14:compatExt spid="_x0000_s206918"/>
                </a:ext>
                <a:ext uri="{FF2B5EF4-FFF2-40B4-BE49-F238E27FC236}">
                  <a16:creationId xmlns:a16="http://schemas.microsoft.com/office/drawing/2014/main" xmlns="" id="{00000000-0008-0000-0F00-00004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1</xdr:col>
          <xdr:colOff>0</xdr:colOff>
          <xdr:row>100</xdr:row>
          <xdr:rowOff>220980</xdr:rowOff>
        </xdr:to>
        <xdr:sp macro="" textlink="">
          <xdr:nvSpPr>
            <xdr:cNvPr id="206919" name="Button 71" hidden="1">
              <a:extLst>
                <a:ext uri="{63B3BB69-23CF-44E3-9099-C40C66FF867C}">
                  <a14:compatExt spid="_x0000_s206919"/>
                </a:ext>
                <a:ext uri="{FF2B5EF4-FFF2-40B4-BE49-F238E27FC236}">
                  <a16:creationId xmlns:a16="http://schemas.microsoft.com/office/drawing/2014/main" xmlns="" id="{00000000-0008-0000-0F00-00004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1</xdr:col>
          <xdr:colOff>0</xdr:colOff>
          <xdr:row>101</xdr:row>
          <xdr:rowOff>220980</xdr:rowOff>
        </xdr:to>
        <xdr:sp macro="" textlink="">
          <xdr:nvSpPr>
            <xdr:cNvPr id="206920" name="Button 72" hidden="1">
              <a:extLst>
                <a:ext uri="{63B3BB69-23CF-44E3-9099-C40C66FF867C}">
                  <a14:compatExt spid="_x0000_s206920"/>
                </a:ext>
                <a:ext uri="{FF2B5EF4-FFF2-40B4-BE49-F238E27FC236}">
                  <a16:creationId xmlns:a16="http://schemas.microsoft.com/office/drawing/2014/main" xmlns="" id="{00000000-0008-0000-0F00-00004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1</xdr:col>
          <xdr:colOff>0</xdr:colOff>
          <xdr:row>102</xdr:row>
          <xdr:rowOff>220980</xdr:rowOff>
        </xdr:to>
        <xdr:sp macro="" textlink="">
          <xdr:nvSpPr>
            <xdr:cNvPr id="206921" name="Button 73" hidden="1">
              <a:extLst>
                <a:ext uri="{63B3BB69-23CF-44E3-9099-C40C66FF867C}">
                  <a14:compatExt spid="_x0000_s206921"/>
                </a:ext>
                <a:ext uri="{FF2B5EF4-FFF2-40B4-BE49-F238E27FC236}">
                  <a16:creationId xmlns:a16="http://schemas.microsoft.com/office/drawing/2014/main" xmlns="" id="{00000000-0008-0000-0F00-00004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1</xdr:col>
          <xdr:colOff>0</xdr:colOff>
          <xdr:row>103</xdr:row>
          <xdr:rowOff>220980</xdr:rowOff>
        </xdr:to>
        <xdr:sp macro="" textlink="">
          <xdr:nvSpPr>
            <xdr:cNvPr id="206922" name="Button 74" hidden="1">
              <a:extLst>
                <a:ext uri="{63B3BB69-23CF-44E3-9099-C40C66FF867C}">
                  <a14:compatExt spid="_x0000_s206922"/>
                </a:ext>
                <a:ext uri="{FF2B5EF4-FFF2-40B4-BE49-F238E27FC236}">
                  <a16:creationId xmlns:a16="http://schemas.microsoft.com/office/drawing/2014/main" xmlns="" id="{00000000-0008-0000-0F00-00004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1</xdr:col>
          <xdr:colOff>0</xdr:colOff>
          <xdr:row>104</xdr:row>
          <xdr:rowOff>220980</xdr:rowOff>
        </xdr:to>
        <xdr:sp macro="" textlink="">
          <xdr:nvSpPr>
            <xdr:cNvPr id="206923" name="Button 75" hidden="1">
              <a:extLst>
                <a:ext uri="{63B3BB69-23CF-44E3-9099-C40C66FF867C}">
                  <a14:compatExt spid="_x0000_s206923"/>
                </a:ext>
                <a:ext uri="{FF2B5EF4-FFF2-40B4-BE49-F238E27FC236}">
                  <a16:creationId xmlns:a16="http://schemas.microsoft.com/office/drawing/2014/main" xmlns="" id="{00000000-0008-0000-0F00-00004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1</xdr:col>
          <xdr:colOff>0</xdr:colOff>
          <xdr:row>105</xdr:row>
          <xdr:rowOff>220980</xdr:rowOff>
        </xdr:to>
        <xdr:sp macro="" textlink="">
          <xdr:nvSpPr>
            <xdr:cNvPr id="206924" name="Button 76" hidden="1">
              <a:extLst>
                <a:ext uri="{63B3BB69-23CF-44E3-9099-C40C66FF867C}">
                  <a14:compatExt spid="_x0000_s206924"/>
                </a:ext>
                <a:ext uri="{FF2B5EF4-FFF2-40B4-BE49-F238E27FC236}">
                  <a16:creationId xmlns:a16="http://schemas.microsoft.com/office/drawing/2014/main" xmlns="" id="{00000000-0008-0000-0F00-00004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1</xdr:col>
          <xdr:colOff>0</xdr:colOff>
          <xdr:row>106</xdr:row>
          <xdr:rowOff>220980</xdr:rowOff>
        </xdr:to>
        <xdr:sp macro="" textlink="">
          <xdr:nvSpPr>
            <xdr:cNvPr id="206925" name="Button 77" hidden="1">
              <a:extLst>
                <a:ext uri="{63B3BB69-23CF-44E3-9099-C40C66FF867C}">
                  <a14:compatExt spid="_x0000_s206925"/>
                </a:ext>
                <a:ext uri="{FF2B5EF4-FFF2-40B4-BE49-F238E27FC236}">
                  <a16:creationId xmlns:a16="http://schemas.microsoft.com/office/drawing/2014/main" xmlns="" id="{00000000-0008-0000-0F00-00004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1</xdr:col>
          <xdr:colOff>0</xdr:colOff>
          <xdr:row>107</xdr:row>
          <xdr:rowOff>220980</xdr:rowOff>
        </xdr:to>
        <xdr:sp macro="" textlink="">
          <xdr:nvSpPr>
            <xdr:cNvPr id="206926" name="Button 78" hidden="1">
              <a:extLst>
                <a:ext uri="{63B3BB69-23CF-44E3-9099-C40C66FF867C}">
                  <a14:compatExt spid="_x0000_s206926"/>
                </a:ext>
                <a:ext uri="{FF2B5EF4-FFF2-40B4-BE49-F238E27FC236}">
                  <a16:creationId xmlns:a16="http://schemas.microsoft.com/office/drawing/2014/main" xmlns="" id="{00000000-0008-0000-0F00-00004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108</xdr:row>
          <xdr:rowOff>22860</xdr:rowOff>
        </xdr:from>
        <xdr:to>
          <xdr:col>1</xdr:col>
          <xdr:colOff>0</xdr:colOff>
          <xdr:row>108</xdr:row>
          <xdr:rowOff>220980</xdr:rowOff>
        </xdr:to>
        <xdr:sp macro="" textlink="">
          <xdr:nvSpPr>
            <xdr:cNvPr id="206927" name="Button 79" hidden="1">
              <a:extLst>
                <a:ext uri="{63B3BB69-23CF-44E3-9099-C40C66FF867C}">
                  <a14:compatExt spid="_x0000_s206927"/>
                </a:ext>
                <a:ext uri="{FF2B5EF4-FFF2-40B4-BE49-F238E27FC236}">
                  <a16:creationId xmlns:a16="http://schemas.microsoft.com/office/drawing/2014/main" xmlns="" id="{00000000-0008-0000-0F00-00004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109</xdr:row>
          <xdr:rowOff>22860</xdr:rowOff>
        </xdr:from>
        <xdr:to>
          <xdr:col>1</xdr:col>
          <xdr:colOff>0</xdr:colOff>
          <xdr:row>109</xdr:row>
          <xdr:rowOff>220980</xdr:rowOff>
        </xdr:to>
        <xdr:sp macro="" textlink="">
          <xdr:nvSpPr>
            <xdr:cNvPr id="206928" name="Button 80" hidden="1">
              <a:extLst>
                <a:ext uri="{63B3BB69-23CF-44E3-9099-C40C66FF867C}">
                  <a14:compatExt spid="_x0000_s206928"/>
                </a:ext>
                <a:ext uri="{FF2B5EF4-FFF2-40B4-BE49-F238E27FC236}">
                  <a16:creationId xmlns:a16="http://schemas.microsoft.com/office/drawing/2014/main" xmlns="" id="{00000000-0008-0000-0F00-00005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110</xdr:row>
          <xdr:rowOff>22860</xdr:rowOff>
        </xdr:from>
        <xdr:to>
          <xdr:col>1</xdr:col>
          <xdr:colOff>0</xdr:colOff>
          <xdr:row>110</xdr:row>
          <xdr:rowOff>220980</xdr:rowOff>
        </xdr:to>
        <xdr:sp macro="" textlink="">
          <xdr:nvSpPr>
            <xdr:cNvPr id="206929" name="Button 81" hidden="1">
              <a:extLst>
                <a:ext uri="{63B3BB69-23CF-44E3-9099-C40C66FF867C}">
                  <a14:compatExt spid="_x0000_s206929"/>
                </a:ext>
                <a:ext uri="{FF2B5EF4-FFF2-40B4-BE49-F238E27FC236}">
                  <a16:creationId xmlns:a16="http://schemas.microsoft.com/office/drawing/2014/main" xmlns="" id="{00000000-0008-0000-0F00-00005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111</xdr:row>
          <xdr:rowOff>22860</xdr:rowOff>
        </xdr:from>
        <xdr:to>
          <xdr:col>1</xdr:col>
          <xdr:colOff>0</xdr:colOff>
          <xdr:row>111</xdr:row>
          <xdr:rowOff>220980</xdr:rowOff>
        </xdr:to>
        <xdr:sp macro="" textlink="">
          <xdr:nvSpPr>
            <xdr:cNvPr id="206930" name="Button 82" hidden="1">
              <a:extLst>
                <a:ext uri="{63B3BB69-23CF-44E3-9099-C40C66FF867C}">
                  <a14:compatExt spid="_x0000_s206930"/>
                </a:ext>
                <a:ext uri="{FF2B5EF4-FFF2-40B4-BE49-F238E27FC236}">
                  <a16:creationId xmlns:a16="http://schemas.microsoft.com/office/drawing/2014/main" xmlns="" id="{00000000-0008-0000-0F00-00005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112</xdr:row>
          <xdr:rowOff>22860</xdr:rowOff>
        </xdr:from>
        <xdr:to>
          <xdr:col>1</xdr:col>
          <xdr:colOff>0</xdr:colOff>
          <xdr:row>112</xdr:row>
          <xdr:rowOff>220980</xdr:rowOff>
        </xdr:to>
        <xdr:sp macro="" textlink="">
          <xdr:nvSpPr>
            <xdr:cNvPr id="206931" name="Button 83" hidden="1">
              <a:extLst>
                <a:ext uri="{63B3BB69-23CF-44E3-9099-C40C66FF867C}">
                  <a14:compatExt spid="_x0000_s206931"/>
                </a:ext>
                <a:ext uri="{FF2B5EF4-FFF2-40B4-BE49-F238E27FC236}">
                  <a16:creationId xmlns:a16="http://schemas.microsoft.com/office/drawing/2014/main" xmlns="" id="{00000000-0008-0000-0F00-00005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113</xdr:row>
          <xdr:rowOff>22860</xdr:rowOff>
        </xdr:from>
        <xdr:to>
          <xdr:col>1</xdr:col>
          <xdr:colOff>0</xdr:colOff>
          <xdr:row>113</xdr:row>
          <xdr:rowOff>220980</xdr:rowOff>
        </xdr:to>
        <xdr:sp macro="" textlink="">
          <xdr:nvSpPr>
            <xdr:cNvPr id="206932" name="Button 84" hidden="1">
              <a:extLst>
                <a:ext uri="{63B3BB69-23CF-44E3-9099-C40C66FF867C}">
                  <a14:compatExt spid="_x0000_s206932"/>
                </a:ext>
                <a:ext uri="{FF2B5EF4-FFF2-40B4-BE49-F238E27FC236}">
                  <a16:creationId xmlns:a16="http://schemas.microsoft.com/office/drawing/2014/main" xmlns="" id="{00000000-0008-0000-0F00-00005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114</xdr:row>
          <xdr:rowOff>22860</xdr:rowOff>
        </xdr:from>
        <xdr:to>
          <xdr:col>1</xdr:col>
          <xdr:colOff>0</xdr:colOff>
          <xdr:row>114</xdr:row>
          <xdr:rowOff>220980</xdr:rowOff>
        </xdr:to>
        <xdr:sp macro="" textlink="">
          <xdr:nvSpPr>
            <xdr:cNvPr id="206933" name="Button 85" hidden="1">
              <a:extLst>
                <a:ext uri="{63B3BB69-23CF-44E3-9099-C40C66FF867C}">
                  <a14:compatExt spid="_x0000_s206933"/>
                </a:ext>
                <a:ext uri="{FF2B5EF4-FFF2-40B4-BE49-F238E27FC236}">
                  <a16:creationId xmlns:a16="http://schemas.microsoft.com/office/drawing/2014/main" xmlns="" id="{00000000-0008-0000-0F00-00005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115</xdr:row>
          <xdr:rowOff>22860</xdr:rowOff>
        </xdr:from>
        <xdr:to>
          <xdr:col>1</xdr:col>
          <xdr:colOff>0</xdr:colOff>
          <xdr:row>115</xdr:row>
          <xdr:rowOff>220980</xdr:rowOff>
        </xdr:to>
        <xdr:sp macro="" textlink="">
          <xdr:nvSpPr>
            <xdr:cNvPr id="206934" name="Button 86" hidden="1">
              <a:extLst>
                <a:ext uri="{63B3BB69-23CF-44E3-9099-C40C66FF867C}">
                  <a14:compatExt spid="_x0000_s206934"/>
                </a:ext>
                <a:ext uri="{FF2B5EF4-FFF2-40B4-BE49-F238E27FC236}">
                  <a16:creationId xmlns:a16="http://schemas.microsoft.com/office/drawing/2014/main" xmlns="" id="{00000000-0008-0000-0F00-00005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116</xdr:row>
          <xdr:rowOff>22860</xdr:rowOff>
        </xdr:from>
        <xdr:to>
          <xdr:col>1</xdr:col>
          <xdr:colOff>0</xdr:colOff>
          <xdr:row>116</xdr:row>
          <xdr:rowOff>220980</xdr:rowOff>
        </xdr:to>
        <xdr:sp macro="" textlink="">
          <xdr:nvSpPr>
            <xdr:cNvPr id="206935" name="Button 87" hidden="1">
              <a:extLst>
                <a:ext uri="{63B3BB69-23CF-44E3-9099-C40C66FF867C}">
                  <a14:compatExt spid="_x0000_s206935"/>
                </a:ext>
                <a:ext uri="{FF2B5EF4-FFF2-40B4-BE49-F238E27FC236}">
                  <a16:creationId xmlns:a16="http://schemas.microsoft.com/office/drawing/2014/main" xmlns="" id="{00000000-0008-0000-0F00-00005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117</xdr:row>
          <xdr:rowOff>22860</xdr:rowOff>
        </xdr:from>
        <xdr:to>
          <xdr:col>1</xdr:col>
          <xdr:colOff>0</xdr:colOff>
          <xdr:row>117</xdr:row>
          <xdr:rowOff>220980</xdr:rowOff>
        </xdr:to>
        <xdr:sp macro="" textlink="">
          <xdr:nvSpPr>
            <xdr:cNvPr id="206936" name="Button 88" hidden="1">
              <a:extLst>
                <a:ext uri="{63B3BB69-23CF-44E3-9099-C40C66FF867C}">
                  <a14:compatExt spid="_x0000_s206936"/>
                </a:ext>
                <a:ext uri="{FF2B5EF4-FFF2-40B4-BE49-F238E27FC236}">
                  <a16:creationId xmlns:a16="http://schemas.microsoft.com/office/drawing/2014/main" xmlns="" id="{00000000-0008-0000-0F00-00005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118</xdr:row>
          <xdr:rowOff>22860</xdr:rowOff>
        </xdr:from>
        <xdr:to>
          <xdr:col>1</xdr:col>
          <xdr:colOff>0</xdr:colOff>
          <xdr:row>118</xdr:row>
          <xdr:rowOff>220980</xdr:rowOff>
        </xdr:to>
        <xdr:sp macro="" textlink="">
          <xdr:nvSpPr>
            <xdr:cNvPr id="206937" name="Button 89" hidden="1">
              <a:extLst>
                <a:ext uri="{63B3BB69-23CF-44E3-9099-C40C66FF867C}">
                  <a14:compatExt spid="_x0000_s206937"/>
                </a:ext>
                <a:ext uri="{FF2B5EF4-FFF2-40B4-BE49-F238E27FC236}">
                  <a16:creationId xmlns:a16="http://schemas.microsoft.com/office/drawing/2014/main" xmlns="" id="{00000000-0008-0000-0F00-00005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119</xdr:row>
          <xdr:rowOff>22860</xdr:rowOff>
        </xdr:from>
        <xdr:to>
          <xdr:col>1</xdr:col>
          <xdr:colOff>0</xdr:colOff>
          <xdr:row>119</xdr:row>
          <xdr:rowOff>220980</xdr:rowOff>
        </xdr:to>
        <xdr:sp macro="" textlink="">
          <xdr:nvSpPr>
            <xdr:cNvPr id="206938" name="Button 90" hidden="1">
              <a:extLst>
                <a:ext uri="{63B3BB69-23CF-44E3-9099-C40C66FF867C}">
                  <a14:compatExt spid="_x0000_s206938"/>
                </a:ext>
                <a:ext uri="{FF2B5EF4-FFF2-40B4-BE49-F238E27FC236}">
                  <a16:creationId xmlns:a16="http://schemas.microsoft.com/office/drawing/2014/main" xmlns="" id="{00000000-0008-0000-0F00-00005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120</xdr:row>
          <xdr:rowOff>22860</xdr:rowOff>
        </xdr:from>
        <xdr:to>
          <xdr:col>1</xdr:col>
          <xdr:colOff>0</xdr:colOff>
          <xdr:row>120</xdr:row>
          <xdr:rowOff>220980</xdr:rowOff>
        </xdr:to>
        <xdr:sp macro="" textlink="">
          <xdr:nvSpPr>
            <xdr:cNvPr id="206939" name="Button 91" hidden="1">
              <a:extLst>
                <a:ext uri="{63B3BB69-23CF-44E3-9099-C40C66FF867C}">
                  <a14:compatExt spid="_x0000_s206939"/>
                </a:ext>
                <a:ext uri="{FF2B5EF4-FFF2-40B4-BE49-F238E27FC236}">
                  <a16:creationId xmlns:a16="http://schemas.microsoft.com/office/drawing/2014/main" xmlns="" id="{00000000-0008-0000-0F00-00005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121</xdr:row>
          <xdr:rowOff>22860</xdr:rowOff>
        </xdr:from>
        <xdr:to>
          <xdr:col>1</xdr:col>
          <xdr:colOff>0</xdr:colOff>
          <xdr:row>121</xdr:row>
          <xdr:rowOff>220980</xdr:rowOff>
        </xdr:to>
        <xdr:sp macro="" textlink="">
          <xdr:nvSpPr>
            <xdr:cNvPr id="206940" name="Button 92" hidden="1">
              <a:extLst>
                <a:ext uri="{63B3BB69-23CF-44E3-9099-C40C66FF867C}">
                  <a14:compatExt spid="_x0000_s206940"/>
                </a:ext>
                <a:ext uri="{FF2B5EF4-FFF2-40B4-BE49-F238E27FC236}">
                  <a16:creationId xmlns:a16="http://schemas.microsoft.com/office/drawing/2014/main" xmlns="" id="{00000000-0008-0000-0F00-00005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122</xdr:row>
          <xdr:rowOff>22860</xdr:rowOff>
        </xdr:from>
        <xdr:to>
          <xdr:col>1</xdr:col>
          <xdr:colOff>0</xdr:colOff>
          <xdr:row>122</xdr:row>
          <xdr:rowOff>220980</xdr:rowOff>
        </xdr:to>
        <xdr:sp macro="" textlink="">
          <xdr:nvSpPr>
            <xdr:cNvPr id="206941" name="Button 93" hidden="1">
              <a:extLst>
                <a:ext uri="{63B3BB69-23CF-44E3-9099-C40C66FF867C}">
                  <a14:compatExt spid="_x0000_s206941"/>
                </a:ext>
                <a:ext uri="{FF2B5EF4-FFF2-40B4-BE49-F238E27FC236}">
                  <a16:creationId xmlns:a16="http://schemas.microsoft.com/office/drawing/2014/main" xmlns="" id="{00000000-0008-0000-0F00-00005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123</xdr:row>
          <xdr:rowOff>22860</xdr:rowOff>
        </xdr:from>
        <xdr:to>
          <xdr:col>1</xdr:col>
          <xdr:colOff>0</xdr:colOff>
          <xdr:row>123</xdr:row>
          <xdr:rowOff>220980</xdr:rowOff>
        </xdr:to>
        <xdr:sp macro="" textlink="">
          <xdr:nvSpPr>
            <xdr:cNvPr id="206942" name="Button 94" hidden="1">
              <a:extLst>
                <a:ext uri="{63B3BB69-23CF-44E3-9099-C40C66FF867C}">
                  <a14:compatExt spid="_x0000_s206942"/>
                </a:ext>
                <a:ext uri="{FF2B5EF4-FFF2-40B4-BE49-F238E27FC236}">
                  <a16:creationId xmlns:a16="http://schemas.microsoft.com/office/drawing/2014/main" xmlns="" id="{00000000-0008-0000-0F00-00005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124</xdr:row>
          <xdr:rowOff>22860</xdr:rowOff>
        </xdr:from>
        <xdr:to>
          <xdr:col>1</xdr:col>
          <xdr:colOff>0</xdr:colOff>
          <xdr:row>124</xdr:row>
          <xdr:rowOff>220980</xdr:rowOff>
        </xdr:to>
        <xdr:sp macro="" textlink="">
          <xdr:nvSpPr>
            <xdr:cNvPr id="206943" name="Button 95" hidden="1">
              <a:extLst>
                <a:ext uri="{63B3BB69-23CF-44E3-9099-C40C66FF867C}">
                  <a14:compatExt spid="_x0000_s206943"/>
                </a:ext>
                <a:ext uri="{FF2B5EF4-FFF2-40B4-BE49-F238E27FC236}">
                  <a16:creationId xmlns:a16="http://schemas.microsoft.com/office/drawing/2014/main" xmlns="" id="{00000000-0008-0000-0F00-00005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125</xdr:row>
          <xdr:rowOff>22860</xdr:rowOff>
        </xdr:from>
        <xdr:to>
          <xdr:col>1</xdr:col>
          <xdr:colOff>0</xdr:colOff>
          <xdr:row>125</xdr:row>
          <xdr:rowOff>220980</xdr:rowOff>
        </xdr:to>
        <xdr:sp macro="" textlink="">
          <xdr:nvSpPr>
            <xdr:cNvPr id="206944" name="Button 96" hidden="1">
              <a:extLst>
                <a:ext uri="{63B3BB69-23CF-44E3-9099-C40C66FF867C}">
                  <a14:compatExt spid="_x0000_s206944"/>
                </a:ext>
                <a:ext uri="{FF2B5EF4-FFF2-40B4-BE49-F238E27FC236}">
                  <a16:creationId xmlns:a16="http://schemas.microsoft.com/office/drawing/2014/main" xmlns="" id="{00000000-0008-0000-0F00-00006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126</xdr:row>
          <xdr:rowOff>22860</xdr:rowOff>
        </xdr:from>
        <xdr:to>
          <xdr:col>1</xdr:col>
          <xdr:colOff>0</xdr:colOff>
          <xdr:row>126</xdr:row>
          <xdr:rowOff>220980</xdr:rowOff>
        </xdr:to>
        <xdr:sp macro="" textlink="">
          <xdr:nvSpPr>
            <xdr:cNvPr id="206945" name="Button 97" hidden="1">
              <a:extLst>
                <a:ext uri="{63B3BB69-23CF-44E3-9099-C40C66FF867C}">
                  <a14:compatExt spid="_x0000_s206945"/>
                </a:ext>
                <a:ext uri="{FF2B5EF4-FFF2-40B4-BE49-F238E27FC236}">
                  <a16:creationId xmlns:a16="http://schemas.microsoft.com/office/drawing/2014/main" xmlns="" id="{00000000-0008-0000-0F00-00006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127</xdr:row>
          <xdr:rowOff>22860</xdr:rowOff>
        </xdr:from>
        <xdr:to>
          <xdr:col>1</xdr:col>
          <xdr:colOff>0</xdr:colOff>
          <xdr:row>127</xdr:row>
          <xdr:rowOff>220980</xdr:rowOff>
        </xdr:to>
        <xdr:sp macro="" textlink="">
          <xdr:nvSpPr>
            <xdr:cNvPr id="206946" name="Button 98" hidden="1">
              <a:extLst>
                <a:ext uri="{63B3BB69-23CF-44E3-9099-C40C66FF867C}">
                  <a14:compatExt spid="_x0000_s206946"/>
                </a:ext>
                <a:ext uri="{FF2B5EF4-FFF2-40B4-BE49-F238E27FC236}">
                  <a16:creationId xmlns:a16="http://schemas.microsoft.com/office/drawing/2014/main" xmlns="" id="{00000000-0008-0000-0F00-00006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128</xdr:row>
          <xdr:rowOff>22860</xdr:rowOff>
        </xdr:from>
        <xdr:to>
          <xdr:col>1</xdr:col>
          <xdr:colOff>0</xdr:colOff>
          <xdr:row>128</xdr:row>
          <xdr:rowOff>220980</xdr:rowOff>
        </xdr:to>
        <xdr:sp macro="" textlink="">
          <xdr:nvSpPr>
            <xdr:cNvPr id="206947" name="Button 99" hidden="1">
              <a:extLst>
                <a:ext uri="{63B3BB69-23CF-44E3-9099-C40C66FF867C}">
                  <a14:compatExt spid="_x0000_s206947"/>
                </a:ext>
                <a:ext uri="{FF2B5EF4-FFF2-40B4-BE49-F238E27FC236}">
                  <a16:creationId xmlns:a16="http://schemas.microsoft.com/office/drawing/2014/main" xmlns="" id="{00000000-0008-0000-0F00-00006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129</xdr:row>
          <xdr:rowOff>22860</xdr:rowOff>
        </xdr:from>
        <xdr:to>
          <xdr:col>1</xdr:col>
          <xdr:colOff>0</xdr:colOff>
          <xdr:row>129</xdr:row>
          <xdr:rowOff>220980</xdr:rowOff>
        </xdr:to>
        <xdr:sp macro="" textlink="">
          <xdr:nvSpPr>
            <xdr:cNvPr id="206948" name="Button 100" hidden="1">
              <a:extLst>
                <a:ext uri="{63B3BB69-23CF-44E3-9099-C40C66FF867C}">
                  <a14:compatExt spid="_x0000_s206948"/>
                </a:ext>
                <a:ext uri="{FF2B5EF4-FFF2-40B4-BE49-F238E27FC236}">
                  <a16:creationId xmlns:a16="http://schemas.microsoft.com/office/drawing/2014/main" xmlns="" id="{00000000-0008-0000-0F00-00006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0434" name="Button 2610" hidden="1">
              <a:extLst>
                <a:ext uri="{63B3BB69-23CF-44E3-9099-C40C66FF867C}">
                  <a14:compatExt spid="_x0000_s80434"/>
                </a:ext>
                <a:ext uri="{FF2B5EF4-FFF2-40B4-BE49-F238E27FC236}">
                  <a16:creationId xmlns:a16="http://schemas.microsoft.com/office/drawing/2014/main" xmlns="" id="{00000000-0008-0000-1000-00003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0435" name="Button 2611" hidden="1">
              <a:extLst>
                <a:ext uri="{63B3BB69-23CF-44E3-9099-C40C66FF867C}">
                  <a14:compatExt spid="_x0000_s80435"/>
                </a:ext>
                <a:ext uri="{FF2B5EF4-FFF2-40B4-BE49-F238E27FC236}">
                  <a16:creationId xmlns:a16="http://schemas.microsoft.com/office/drawing/2014/main" xmlns="" id="{00000000-0008-0000-1000-00003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0436" name="Button 2612" hidden="1">
              <a:extLst>
                <a:ext uri="{63B3BB69-23CF-44E3-9099-C40C66FF867C}">
                  <a14:compatExt spid="_x0000_s80436"/>
                </a:ext>
                <a:ext uri="{FF2B5EF4-FFF2-40B4-BE49-F238E27FC236}">
                  <a16:creationId xmlns:a16="http://schemas.microsoft.com/office/drawing/2014/main" xmlns="" id="{00000000-0008-0000-1000-00003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0437" name="Button 2613" hidden="1">
              <a:extLst>
                <a:ext uri="{63B3BB69-23CF-44E3-9099-C40C66FF867C}">
                  <a14:compatExt spid="_x0000_s80437"/>
                </a:ext>
                <a:ext uri="{FF2B5EF4-FFF2-40B4-BE49-F238E27FC236}">
                  <a16:creationId xmlns:a16="http://schemas.microsoft.com/office/drawing/2014/main" xmlns="" id="{00000000-0008-0000-1000-00003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0438" name="Button 2614" hidden="1">
              <a:extLst>
                <a:ext uri="{63B3BB69-23CF-44E3-9099-C40C66FF867C}">
                  <a14:compatExt spid="_x0000_s80438"/>
                </a:ext>
                <a:ext uri="{FF2B5EF4-FFF2-40B4-BE49-F238E27FC236}">
                  <a16:creationId xmlns:a16="http://schemas.microsoft.com/office/drawing/2014/main" xmlns="" id="{00000000-0008-0000-1000-00003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0439" name="Button 2615" hidden="1">
              <a:extLst>
                <a:ext uri="{63B3BB69-23CF-44E3-9099-C40C66FF867C}">
                  <a14:compatExt spid="_x0000_s80439"/>
                </a:ext>
                <a:ext uri="{FF2B5EF4-FFF2-40B4-BE49-F238E27FC236}">
                  <a16:creationId xmlns:a16="http://schemas.microsoft.com/office/drawing/2014/main" xmlns="" id="{00000000-0008-0000-1000-00003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0440" name="Button 2616" hidden="1">
              <a:extLst>
                <a:ext uri="{63B3BB69-23CF-44E3-9099-C40C66FF867C}">
                  <a14:compatExt spid="_x0000_s80440"/>
                </a:ext>
                <a:ext uri="{FF2B5EF4-FFF2-40B4-BE49-F238E27FC236}">
                  <a16:creationId xmlns:a16="http://schemas.microsoft.com/office/drawing/2014/main" xmlns="" id="{00000000-0008-0000-1000-00003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0441" name="Button 2617" hidden="1">
              <a:extLst>
                <a:ext uri="{63B3BB69-23CF-44E3-9099-C40C66FF867C}">
                  <a14:compatExt spid="_x0000_s80441"/>
                </a:ext>
                <a:ext uri="{FF2B5EF4-FFF2-40B4-BE49-F238E27FC236}">
                  <a16:creationId xmlns:a16="http://schemas.microsoft.com/office/drawing/2014/main" xmlns="" id="{00000000-0008-0000-1000-00003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0442" name="Button 2618" hidden="1">
              <a:extLst>
                <a:ext uri="{63B3BB69-23CF-44E3-9099-C40C66FF867C}">
                  <a14:compatExt spid="_x0000_s80442"/>
                </a:ext>
                <a:ext uri="{FF2B5EF4-FFF2-40B4-BE49-F238E27FC236}">
                  <a16:creationId xmlns:a16="http://schemas.microsoft.com/office/drawing/2014/main" xmlns="" id="{00000000-0008-0000-1000-00003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0443" name="Button 2619" hidden="1">
              <a:extLst>
                <a:ext uri="{63B3BB69-23CF-44E3-9099-C40C66FF867C}">
                  <a14:compatExt spid="_x0000_s80443"/>
                </a:ext>
                <a:ext uri="{FF2B5EF4-FFF2-40B4-BE49-F238E27FC236}">
                  <a16:creationId xmlns:a16="http://schemas.microsoft.com/office/drawing/2014/main" xmlns="" id="{00000000-0008-0000-1000-00003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0444" name="Button 2620" hidden="1">
              <a:extLst>
                <a:ext uri="{63B3BB69-23CF-44E3-9099-C40C66FF867C}">
                  <a14:compatExt spid="_x0000_s80444"/>
                </a:ext>
                <a:ext uri="{FF2B5EF4-FFF2-40B4-BE49-F238E27FC236}">
                  <a16:creationId xmlns:a16="http://schemas.microsoft.com/office/drawing/2014/main" xmlns="" id="{00000000-0008-0000-1000-00003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0445" name="Button 2621" hidden="1">
              <a:extLst>
                <a:ext uri="{63B3BB69-23CF-44E3-9099-C40C66FF867C}">
                  <a14:compatExt spid="_x0000_s80445"/>
                </a:ext>
                <a:ext uri="{FF2B5EF4-FFF2-40B4-BE49-F238E27FC236}">
                  <a16:creationId xmlns:a16="http://schemas.microsoft.com/office/drawing/2014/main" xmlns="" id="{00000000-0008-0000-1000-00003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0446" name="Button 2622" hidden="1">
              <a:extLst>
                <a:ext uri="{63B3BB69-23CF-44E3-9099-C40C66FF867C}">
                  <a14:compatExt spid="_x0000_s80446"/>
                </a:ext>
                <a:ext uri="{FF2B5EF4-FFF2-40B4-BE49-F238E27FC236}">
                  <a16:creationId xmlns:a16="http://schemas.microsoft.com/office/drawing/2014/main" xmlns="" id="{00000000-0008-0000-1000-00003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0447" name="Button 2623" hidden="1">
              <a:extLst>
                <a:ext uri="{63B3BB69-23CF-44E3-9099-C40C66FF867C}">
                  <a14:compatExt spid="_x0000_s80447"/>
                </a:ext>
                <a:ext uri="{FF2B5EF4-FFF2-40B4-BE49-F238E27FC236}">
                  <a16:creationId xmlns:a16="http://schemas.microsoft.com/office/drawing/2014/main" xmlns="" id="{00000000-0008-0000-1000-00003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0448" name="Button 2624" hidden="1">
              <a:extLst>
                <a:ext uri="{63B3BB69-23CF-44E3-9099-C40C66FF867C}">
                  <a14:compatExt spid="_x0000_s80448"/>
                </a:ext>
                <a:ext uri="{FF2B5EF4-FFF2-40B4-BE49-F238E27FC236}">
                  <a16:creationId xmlns:a16="http://schemas.microsoft.com/office/drawing/2014/main" xmlns="" id="{00000000-0008-0000-1000-00004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0449" name="Button 2625" hidden="1">
              <a:extLst>
                <a:ext uri="{63B3BB69-23CF-44E3-9099-C40C66FF867C}">
                  <a14:compatExt spid="_x0000_s80449"/>
                </a:ext>
                <a:ext uri="{FF2B5EF4-FFF2-40B4-BE49-F238E27FC236}">
                  <a16:creationId xmlns:a16="http://schemas.microsoft.com/office/drawing/2014/main" xmlns="" id="{00000000-0008-0000-1000-00004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0450" name="Button 2626" hidden="1">
              <a:extLst>
                <a:ext uri="{63B3BB69-23CF-44E3-9099-C40C66FF867C}">
                  <a14:compatExt spid="_x0000_s80450"/>
                </a:ext>
                <a:ext uri="{FF2B5EF4-FFF2-40B4-BE49-F238E27FC236}">
                  <a16:creationId xmlns:a16="http://schemas.microsoft.com/office/drawing/2014/main" xmlns="" id="{00000000-0008-0000-1000-00004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0451" name="Button 2627" hidden="1">
              <a:extLst>
                <a:ext uri="{63B3BB69-23CF-44E3-9099-C40C66FF867C}">
                  <a14:compatExt spid="_x0000_s80451"/>
                </a:ext>
                <a:ext uri="{FF2B5EF4-FFF2-40B4-BE49-F238E27FC236}">
                  <a16:creationId xmlns:a16="http://schemas.microsoft.com/office/drawing/2014/main" xmlns="" id="{00000000-0008-0000-1000-00004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0452" name="Button 2628" hidden="1">
              <a:extLst>
                <a:ext uri="{63B3BB69-23CF-44E3-9099-C40C66FF867C}">
                  <a14:compatExt spid="_x0000_s80452"/>
                </a:ext>
                <a:ext uri="{FF2B5EF4-FFF2-40B4-BE49-F238E27FC236}">
                  <a16:creationId xmlns:a16="http://schemas.microsoft.com/office/drawing/2014/main" xmlns="" id="{00000000-0008-0000-1000-00004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0453" name="Button 2629" hidden="1">
              <a:extLst>
                <a:ext uri="{63B3BB69-23CF-44E3-9099-C40C66FF867C}">
                  <a14:compatExt spid="_x0000_s80453"/>
                </a:ext>
                <a:ext uri="{FF2B5EF4-FFF2-40B4-BE49-F238E27FC236}">
                  <a16:creationId xmlns:a16="http://schemas.microsoft.com/office/drawing/2014/main" xmlns="" id="{00000000-0008-0000-1000-00004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0454" name="Button 2630" hidden="1">
              <a:extLst>
                <a:ext uri="{63B3BB69-23CF-44E3-9099-C40C66FF867C}">
                  <a14:compatExt spid="_x0000_s80454"/>
                </a:ext>
                <a:ext uri="{FF2B5EF4-FFF2-40B4-BE49-F238E27FC236}">
                  <a16:creationId xmlns:a16="http://schemas.microsoft.com/office/drawing/2014/main" xmlns="" id="{00000000-0008-0000-1000-00004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0455" name="Button 2631" hidden="1">
              <a:extLst>
                <a:ext uri="{63B3BB69-23CF-44E3-9099-C40C66FF867C}">
                  <a14:compatExt spid="_x0000_s80455"/>
                </a:ext>
                <a:ext uri="{FF2B5EF4-FFF2-40B4-BE49-F238E27FC236}">
                  <a16:creationId xmlns:a16="http://schemas.microsoft.com/office/drawing/2014/main" xmlns="" id="{00000000-0008-0000-1000-00004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0456" name="Button 2632" hidden="1">
              <a:extLst>
                <a:ext uri="{63B3BB69-23CF-44E3-9099-C40C66FF867C}">
                  <a14:compatExt spid="_x0000_s80456"/>
                </a:ext>
                <a:ext uri="{FF2B5EF4-FFF2-40B4-BE49-F238E27FC236}">
                  <a16:creationId xmlns:a16="http://schemas.microsoft.com/office/drawing/2014/main" xmlns="" id="{00000000-0008-0000-1000-00004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0457" name="Button 2633" hidden="1">
              <a:extLst>
                <a:ext uri="{63B3BB69-23CF-44E3-9099-C40C66FF867C}">
                  <a14:compatExt spid="_x0000_s80457"/>
                </a:ext>
                <a:ext uri="{FF2B5EF4-FFF2-40B4-BE49-F238E27FC236}">
                  <a16:creationId xmlns:a16="http://schemas.microsoft.com/office/drawing/2014/main" xmlns="" id="{00000000-0008-0000-1000-00004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0458" name="Button 2634" hidden="1">
              <a:extLst>
                <a:ext uri="{63B3BB69-23CF-44E3-9099-C40C66FF867C}">
                  <a14:compatExt spid="_x0000_s80458"/>
                </a:ext>
                <a:ext uri="{FF2B5EF4-FFF2-40B4-BE49-F238E27FC236}">
                  <a16:creationId xmlns:a16="http://schemas.microsoft.com/office/drawing/2014/main" xmlns="" id="{00000000-0008-0000-1000-00004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0459" name="Button 2635" hidden="1">
              <a:extLst>
                <a:ext uri="{63B3BB69-23CF-44E3-9099-C40C66FF867C}">
                  <a14:compatExt spid="_x0000_s80459"/>
                </a:ext>
                <a:ext uri="{FF2B5EF4-FFF2-40B4-BE49-F238E27FC236}">
                  <a16:creationId xmlns:a16="http://schemas.microsoft.com/office/drawing/2014/main" xmlns="" id="{00000000-0008-0000-1000-00004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0460" name="Button 2636" hidden="1">
              <a:extLst>
                <a:ext uri="{63B3BB69-23CF-44E3-9099-C40C66FF867C}">
                  <a14:compatExt spid="_x0000_s80460"/>
                </a:ext>
                <a:ext uri="{FF2B5EF4-FFF2-40B4-BE49-F238E27FC236}">
                  <a16:creationId xmlns:a16="http://schemas.microsoft.com/office/drawing/2014/main" xmlns="" id="{00000000-0008-0000-1000-00004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0461" name="Button 2637" hidden="1">
              <a:extLst>
                <a:ext uri="{63B3BB69-23CF-44E3-9099-C40C66FF867C}">
                  <a14:compatExt spid="_x0000_s80461"/>
                </a:ext>
                <a:ext uri="{FF2B5EF4-FFF2-40B4-BE49-F238E27FC236}">
                  <a16:creationId xmlns:a16="http://schemas.microsoft.com/office/drawing/2014/main" xmlns="" id="{00000000-0008-0000-1000-00004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0462" name="Button 2638" hidden="1">
              <a:extLst>
                <a:ext uri="{63B3BB69-23CF-44E3-9099-C40C66FF867C}">
                  <a14:compatExt spid="_x0000_s80462"/>
                </a:ext>
                <a:ext uri="{FF2B5EF4-FFF2-40B4-BE49-F238E27FC236}">
                  <a16:creationId xmlns:a16="http://schemas.microsoft.com/office/drawing/2014/main" xmlns="" id="{00000000-0008-0000-1000-00004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0463" name="Button 2639" hidden="1">
              <a:extLst>
                <a:ext uri="{63B3BB69-23CF-44E3-9099-C40C66FF867C}">
                  <a14:compatExt spid="_x0000_s80463"/>
                </a:ext>
                <a:ext uri="{FF2B5EF4-FFF2-40B4-BE49-F238E27FC236}">
                  <a16:creationId xmlns:a16="http://schemas.microsoft.com/office/drawing/2014/main" xmlns="" id="{00000000-0008-0000-1000-00004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0464" name="Button 2640" hidden="1">
              <a:extLst>
                <a:ext uri="{63B3BB69-23CF-44E3-9099-C40C66FF867C}">
                  <a14:compatExt spid="_x0000_s80464"/>
                </a:ext>
                <a:ext uri="{FF2B5EF4-FFF2-40B4-BE49-F238E27FC236}">
                  <a16:creationId xmlns:a16="http://schemas.microsoft.com/office/drawing/2014/main" xmlns="" id="{00000000-0008-0000-1000-00005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0465" name="Button 2641" hidden="1">
              <a:extLst>
                <a:ext uri="{63B3BB69-23CF-44E3-9099-C40C66FF867C}">
                  <a14:compatExt spid="_x0000_s80465"/>
                </a:ext>
                <a:ext uri="{FF2B5EF4-FFF2-40B4-BE49-F238E27FC236}">
                  <a16:creationId xmlns:a16="http://schemas.microsoft.com/office/drawing/2014/main" xmlns="" id="{00000000-0008-0000-1000-00005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0466" name="Button 2642" hidden="1">
              <a:extLst>
                <a:ext uri="{63B3BB69-23CF-44E3-9099-C40C66FF867C}">
                  <a14:compatExt spid="_x0000_s80466"/>
                </a:ext>
                <a:ext uri="{FF2B5EF4-FFF2-40B4-BE49-F238E27FC236}">
                  <a16:creationId xmlns:a16="http://schemas.microsoft.com/office/drawing/2014/main" xmlns="" id="{00000000-0008-0000-1000-00005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0467" name="Button 2643" hidden="1">
              <a:extLst>
                <a:ext uri="{63B3BB69-23CF-44E3-9099-C40C66FF867C}">
                  <a14:compatExt spid="_x0000_s80467"/>
                </a:ext>
                <a:ext uri="{FF2B5EF4-FFF2-40B4-BE49-F238E27FC236}">
                  <a16:creationId xmlns:a16="http://schemas.microsoft.com/office/drawing/2014/main" xmlns="" id="{00000000-0008-0000-1000-00005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0468" name="Button 2644" hidden="1">
              <a:extLst>
                <a:ext uri="{63B3BB69-23CF-44E3-9099-C40C66FF867C}">
                  <a14:compatExt spid="_x0000_s80468"/>
                </a:ext>
                <a:ext uri="{FF2B5EF4-FFF2-40B4-BE49-F238E27FC236}">
                  <a16:creationId xmlns:a16="http://schemas.microsoft.com/office/drawing/2014/main" xmlns="" id="{00000000-0008-0000-1000-00005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0469" name="Button 2645" hidden="1">
              <a:extLst>
                <a:ext uri="{63B3BB69-23CF-44E3-9099-C40C66FF867C}">
                  <a14:compatExt spid="_x0000_s80469"/>
                </a:ext>
                <a:ext uri="{FF2B5EF4-FFF2-40B4-BE49-F238E27FC236}">
                  <a16:creationId xmlns:a16="http://schemas.microsoft.com/office/drawing/2014/main" xmlns="" id="{00000000-0008-0000-1000-00005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0470" name="Button 2646" hidden="1">
              <a:extLst>
                <a:ext uri="{63B3BB69-23CF-44E3-9099-C40C66FF867C}">
                  <a14:compatExt spid="_x0000_s80470"/>
                </a:ext>
                <a:ext uri="{FF2B5EF4-FFF2-40B4-BE49-F238E27FC236}">
                  <a16:creationId xmlns:a16="http://schemas.microsoft.com/office/drawing/2014/main" xmlns="" id="{00000000-0008-0000-1000-00005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0471" name="Button 2647" hidden="1">
              <a:extLst>
                <a:ext uri="{63B3BB69-23CF-44E3-9099-C40C66FF867C}">
                  <a14:compatExt spid="_x0000_s80471"/>
                </a:ext>
                <a:ext uri="{FF2B5EF4-FFF2-40B4-BE49-F238E27FC236}">
                  <a16:creationId xmlns:a16="http://schemas.microsoft.com/office/drawing/2014/main" xmlns="" id="{00000000-0008-0000-1000-00005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0472" name="Button 2648" hidden="1">
              <a:extLst>
                <a:ext uri="{63B3BB69-23CF-44E3-9099-C40C66FF867C}">
                  <a14:compatExt spid="_x0000_s80472"/>
                </a:ext>
                <a:ext uri="{FF2B5EF4-FFF2-40B4-BE49-F238E27FC236}">
                  <a16:creationId xmlns:a16="http://schemas.microsoft.com/office/drawing/2014/main" xmlns="" id="{00000000-0008-0000-1000-00005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0473" name="Button 2649" hidden="1">
              <a:extLst>
                <a:ext uri="{63B3BB69-23CF-44E3-9099-C40C66FF867C}">
                  <a14:compatExt spid="_x0000_s80473"/>
                </a:ext>
                <a:ext uri="{FF2B5EF4-FFF2-40B4-BE49-F238E27FC236}">
                  <a16:creationId xmlns:a16="http://schemas.microsoft.com/office/drawing/2014/main" xmlns="" id="{00000000-0008-0000-1000-00005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0474" name="Button 2650" hidden="1">
              <a:extLst>
                <a:ext uri="{63B3BB69-23CF-44E3-9099-C40C66FF867C}">
                  <a14:compatExt spid="_x0000_s80474"/>
                </a:ext>
                <a:ext uri="{FF2B5EF4-FFF2-40B4-BE49-F238E27FC236}">
                  <a16:creationId xmlns:a16="http://schemas.microsoft.com/office/drawing/2014/main" xmlns="" id="{00000000-0008-0000-1000-00005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0475" name="Button 2651" hidden="1">
              <a:extLst>
                <a:ext uri="{63B3BB69-23CF-44E3-9099-C40C66FF867C}">
                  <a14:compatExt spid="_x0000_s80475"/>
                </a:ext>
                <a:ext uri="{FF2B5EF4-FFF2-40B4-BE49-F238E27FC236}">
                  <a16:creationId xmlns:a16="http://schemas.microsoft.com/office/drawing/2014/main" xmlns="" id="{00000000-0008-0000-1000-00005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0476" name="Button 2652" hidden="1">
              <a:extLst>
                <a:ext uri="{63B3BB69-23CF-44E3-9099-C40C66FF867C}">
                  <a14:compatExt spid="_x0000_s80476"/>
                </a:ext>
                <a:ext uri="{FF2B5EF4-FFF2-40B4-BE49-F238E27FC236}">
                  <a16:creationId xmlns:a16="http://schemas.microsoft.com/office/drawing/2014/main" xmlns="" id="{00000000-0008-0000-1000-00005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0477" name="Button 2653" hidden="1">
              <a:extLst>
                <a:ext uri="{63B3BB69-23CF-44E3-9099-C40C66FF867C}">
                  <a14:compatExt spid="_x0000_s80477"/>
                </a:ext>
                <a:ext uri="{FF2B5EF4-FFF2-40B4-BE49-F238E27FC236}">
                  <a16:creationId xmlns:a16="http://schemas.microsoft.com/office/drawing/2014/main" xmlns="" id="{00000000-0008-0000-1000-00005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0478" name="Button 2654" hidden="1">
              <a:extLst>
                <a:ext uri="{63B3BB69-23CF-44E3-9099-C40C66FF867C}">
                  <a14:compatExt spid="_x0000_s80478"/>
                </a:ext>
                <a:ext uri="{FF2B5EF4-FFF2-40B4-BE49-F238E27FC236}">
                  <a16:creationId xmlns:a16="http://schemas.microsoft.com/office/drawing/2014/main" xmlns="" id="{00000000-0008-0000-1000-00005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0479" name="Button 2655" hidden="1">
              <a:extLst>
                <a:ext uri="{63B3BB69-23CF-44E3-9099-C40C66FF867C}">
                  <a14:compatExt spid="_x0000_s80479"/>
                </a:ext>
                <a:ext uri="{FF2B5EF4-FFF2-40B4-BE49-F238E27FC236}">
                  <a16:creationId xmlns:a16="http://schemas.microsoft.com/office/drawing/2014/main" xmlns="" id="{00000000-0008-0000-1000-00005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0480" name="Button 2656" hidden="1">
              <a:extLst>
                <a:ext uri="{63B3BB69-23CF-44E3-9099-C40C66FF867C}">
                  <a14:compatExt spid="_x0000_s80480"/>
                </a:ext>
                <a:ext uri="{FF2B5EF4-FFF2-40B4-BE49-F238E27FC236}">
                  <a16:creationId xmlns:a16="http://schemas.microsoft.com/office/drawing/2014/main" xmlns="" id="{00000000-0008-0000-1000-00006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0481" name="Button 2657" hidden="1">
              <a:extLst>
                <a:ext uri="{63B3BB69-23CF-44E3-9099-C40C66FF867C}">
                  <a14:compatExt spid="_x0000_s80481"/>
                </a:ext>
                <a:ext uri="{FF2B5EF4-FFF2-40B4-BE49-F238E27FC236}">
                  <a16:creationId xmlns:a16="http://schemas.microsoft.com/office/drawing/2014/main" xmlns="" id="{00000000-0008-0000-1000-00006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0482" name="Button 2658" hidden="1">
              <a:extLst>
                <a:ext uri="{63B3BB69-23CF-44E3-9099-C40C66FF867C}">
                  <a14:compatExt spid="_x0000_s80482"/>
                </a:ext>
                <a:ext uri="{FF2B5EF4-FFF2-40B4-BE49-F238E27FC236}">
                  <a16:creationId xmlns:a16="http://schemas.microsoft.com/office/drawing/2014/main" xmlns="" id="{00000000-0008-0000-1000-00006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0483" name="Button 2659" hidden="1">
              <a:extLst>
                <a:ext uri="{63B3BB69-23CF-44E3-9099-C40C66FF867C}">
                  <a14:compatExt spid="_x0000_s80483"/>
                </a:ext>
                <a:ext uri="{FF2B5EF4-FFF2-40B4-BE49-F238E27FC236}">
                  <a16:creationId xmlns:a16="http://schemas.microsoft.com/office/drawing/2014/main" xmlns="" id="{00000000-0008-0000-1000-00006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0484" name="Button 2660" hidden="1">
              <a:extLst>
                <a:ext uri="{63B3BB69-23CF-44E3-9099-C40C66FF867C}">
                  <a14:compatExt spid="_x0000_s80484"/>
                </a:ext>
                <a:ext uri="{FF2B5EF4-FFF2-40B4-BE49-F238E27FC236}">
                  <a16:creationId xmlns:a16="http://schemas.microsoft.com/office/drawing/2014/main" xmlns="" id="{00000000-0008-0000-1000-00006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0485" name="Button 2661" hidden="1">
              <a:extLst>
                <a:ext uri="{63B3BB69-23CF-44E3-9099-C40C66FF867C}">
                  <a14:compatExt spid="_x0000_s80485"/>
                </a:ext>
                <a:ext uri="{FF2B5EF4-FFF2-40B4-BE49-F238E27FC236}">
                  <a16:creationId xmlns:a16="http://schemas.microsoft.com/office/drawing/2014/main" xmlns="" id="{00000000-0008-0000-1000-00006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0486" name="Button 2662" hidden="1">
              <a:extLst>
                <a:ext uri="{63B3BB69-23CF-44E3-9099-C40C66FF867C}">
                  <a14:compatExt spid="_x0000_s80486"/>
                </a:ext>
                <a:ext uri="{FF2B5EF4-FFF2-40B4-BE49-F238E27FC236}">
                  <a16:creationId xmlns:a16="http://schemas.microsoft.com/office/drawing/2014/main" xmlns="" id="{00000000-0008-0000-1000-00006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0487" name="Button 2663" hidden="1">
              <a:extLst>
                <a:ext uri="{63B3BB69-23CF-44E3-9099-C40C66FF867C}">
                  <a14:compatExt spid="_x0000_s80487"/>
                </a:ext>
                <a:ext uri="{FF2B5EF4-FFF2-40B4-BE49-F238E27FC236}">
                  <a16:creationId xmlns:a16="http://schemas.microsoft.com/office/drawing/2014/main" xmlns="" id="{00000000-0008-0000-1000-00006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0488" name="Button 2664" hidden="1">
              <a:extLst>
                <a:ext uri="{63B3BB69-23CF-44E3-9099-C40C66FF867C}">
                  <a14:compatExt spid="_x0000_s80488"/>
                </a:ext>
                <a:ext uri="{FF2B5EF4-FFF2-40B4-BE49-F238E27FC236}">
                  <a16:creationId xmlns:a16="http://schemas.microsoft.com/office/drawing/2014/main" xmlns="" id="{00000000-0008-0000-1000-00006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0489" name="Button 2665" hidden="1">
              <a:extLst>
                <a:ext uri="{63B3BB69-23CF-44E3-9099-C40C66FF867C}">
                  <a14:compatExt spid="_x0000_s80489"/>
                </a:ext>
                <a:ext uri="{FF2B5EF4-FFF2-40B4-BE49-F238E27FC236}">
                  <a16:creationId xmlns:a16="http://schemas.microsoft.com/office/drawing/2014/main" xmlns="" id="{00000000-0008-0000-1000-00006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0490" name="Button 2666" hidden="1">
              <a:extLst>
                <a:ext uri="{63B3BB69-23CF-44E3-9099-C40C66FF867C}">
                  <a14:compatExt spid="_x0000_s80490"/>
                </a:ext>
                <a:ext uri="{FF2B5EF4-FFF2-40B4-BE49-F238E27FC236}">
                  <a16:creationId xmlns:a16="http://schemas.microsoft.com/office/drawing/2014/main" xmlns="" id="{00000000-0008-0000-1000-00006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0491" name="Button 2667" hidden="1">
              <a:extLst>
                <a:ext uri="{63B3BB69-23CF-44E3-9099-C40C66FF867C}">
                  <a14:compatExt spid="_x0000_s80491"/>
                </a:ext>
                <a:ext uri="{FF2B5EF4-FFF2-40B4-BE49-F238E27FC236}">
                  <a16:creationId xmlns:a16="http://schemas.microsoft.com/office/drawing/2014/main" xmlns="" id="{00000000-0008-0000-1000-00006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0492" name="Button 2668" hidden="1">
              <a:extLst>
                <a:ext uri="{63B3BB69-23CF-44E3-9099-C40C66FF867C}">
                  <a14:compatExt spid="_x0000_s80492"/>
                </a:ext>
                <a:ext uri="{FF2B5EF4-FFF2-40B4-BE49-F238E27FC236}">
                  <a16:creationId xmlns:a16="http://schemas.microsoft.com/office/drawing/2014/main" xmlns="" id="{00000000-0008-0000-1000-00006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0493" name="Button 2669" hidden="1">
              <a:extLst>
                <a:ext uri="{63B3BB69-23CF-44E3-9099-C40C66FF867C}">
                  <a14:compatExt spid="_x0000_s80493"/>
                </a:ext>
                <a:ext uri="{FF2B5EF4-FFF2-40B4-BE49-F238E27FC236}">
                  <a16:creationId xmlns:a16="http://schemas.microsoft.com/office/drawing/2014/main" xmlns="" id="{00000000-0008-0000-1000-00006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0494" name="Button 2670" hidden="1">
              <a:extLst>
                <a:ext uri="{63B3BB69-23CF-44E3-9099-C40C66FF867C}">
                  <a14:compatExt spid="_x0000_s80494"/>
                </a:ext>
                <a:ext uri="{FF2B5EF4-FFF2-40B4-BE49-F238E27FC236}">
                  <a16:creationId xmlns:a16="http://schemas.microsoft.com/office/drawing/2014/main" xmlns="" id="{00000000-0008-0000-1000-00006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0495" name="Button 2671" hidden="1">
              <a:extLst>
                <a:ext uri="{63B3BB69-23CF-44E3-9099-C40C66FF867C}">
                  <a14:compatExt spid="_x0000_s80495"/>
                </a:ext>
                <a:ext uri="{FF2B5EF4-FFF2-40B4-BE49-F238E27FC236}">
                  <a16:creationId xmlns:a16="http://schemas.microsoft.com/office/drawing/2014/main" xmlns="" id="{00000000-0008-0000-1000-00006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0496" name="Button 2672" hidden="1">
              <a:extLst>
                <a:ext uri="{63B3BB69-23CF-44E3-9099-C40C66FF867C}">
                  <a14:compatExt spid="_x0000_s80496"/>
                </a:ext>
                <a:ext uri="{FF2B5EF4-FFF2-40B4-BE49-F238E27FC236}">
                  <a16:creationId xmlns:a16="http://schemas.microsoft.com/office/drawing/2014/main" xmlns="" id="{00000000-0008-0000-1000-00007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0497" name="Button 2673" hidden="1">
              <a:extLst>
                <a:ext uri="{63B3BB69-23CF-44E3-9099-C40C66FF867C}">
                  <a14:compatExt spid="_x0000_s80497"/>
                </a:ext>
                <a:ext uri="{FF2B5EF4-FFF2-40B4-BE49-F238E27FC236}">
                  <a16:creationId xmlns:a16="http://schemas.microsoft.com/office/drawing/2014/main" xmlns="" id="{00000000-0008-0000-1000-00007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0498" name="Button 2674" hidden="1">
              <a:extLst>
                <a:ext uri="{63B3BB69-23CF-44E3-9099-C40C66FF867C}">
                  <a14:compatExt spid="_x0000_s80498"/>
                </a:ext>
                <a:ext uri="{FF2B5EF4-FFF2-40B4-BE49-F238E27FC236}">
                  <a16:creationId xmlns:a16="http://schemas.microsoft.com/office/drawing/2014/main" xmlns="" id="{00000000-0008-0000-1000-00007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0499" name="Button 2675" hidden="1">
              <a:extLst>
                <a:ext uri="{63B3BB69-23CF-44E3-9099-C40C66FF867C}">
                  <a14:compatExt spid="_x0000_s80499"/>
                </a:ext>
                <a:ext uri="{FF2B5EF4-FFF2-40B4-BE49-F238E27FC236}">
                  <a16:creationId xmlns:a16="http://schemas.microsoft.com/office/drawing/2014/main" xmlns="" id="{00000000-0008-0000-1000-00007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0500" name="Button 2676" hidden="1">
              <a:extLst>
                <a:ext uri="{63B3BB69-23CF-44E3-9099-C40C66FF867C}">
                  <a14:compatExt spid="_x0000_s80500"/>
                </a:ext>
                <a:ext uri="{FF2B5EF4-FFF2-40B4-BE49-F238E27FC236}">
                  <a16:creationId xmlns:a16="http://schemas.microsoft.com/office/drawing/2014/main" xmlns="" id="{00000000-0008-0000-1000-00007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0501" name="Button 2677" hidden="1">
              <a:extLst>
                <a:ext uri="{63B3BB69-23CF-44E3-9099-C40C66FF867C}">
                  <a14:compatExt spid="_x0000_s80501"/>
                </a:ext>
                <a:ext uri="{FF2B5EF4-FFF2-40B4-BE49-F238E27FC236}">
                  <a16:creationId xmlns:a16="http://schemas.microsoft.com/office/drawing/2014/main" xmlns="" id="{00000000-0008-0000-1000-00007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0502" name="Button 2678" hidden="1">
              <a:extLst>
                <a:ext uri="{63B3BB69-23CF-44E3-9099-C40C66FF867C}">
                  <a14:compatExt spid="_x0000_s80502"/>
                </a:ext>
                <a:ext uri="{FF2B5EF4-FFF2-40B4-BE49-F238E27FC236}">
                  <a16:creationId xmlns:a16="http://schemas.microsoft.com/office/drawing/2014/main" xmlns="" id="{00000000-0008-0000-1000-00007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0503" name="Button 2679" hidden="1">
              <a:extLst>
                <a:ext uri="{63B3BB69-23CF-44E3-9099-C40C66FF867C}">
                  <a14:compatExt spid="_x0000_s80503"/>
                </a:ext>
                <a:ext uri="{FF2B5EF4-FFF2-40B4-BE49-F238E27FC236}">
                  <a16:creationId xmlns:a16="http://schemas.microsoft.com/office/drawing/2014/main" xmlns="" id="{00000000-0008-0000-1000-00007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0504" name="Button 2680" hidden="1">
              <a:extLst>
                <a:ext uri="{63B3BB69-23CF-44E3-9099-C40C66FF867C}">
                  <a14:compatExt spid="_x0000_s80504"/>
                </a:ext>
                <a:ext uri="{FF2B5EF4-FFF2-40B4-BE49-F238E27FC236}">
                  <a16:creationId xmlns:a16="http://schemas.microsoft.com/office/drawing/2014/main" xmlns="" id="{00000000-0008-0000-1000-00007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0505" name="Button 2681" hidden="1">
              <a:extLst>
                <a:ext uri="{63B3BB69-23CF-44E3-9099-C40C66FF867C}">
                  <a14:compatExt spid="_x0000_s80505"/>
                </a:ext>
                <a:ext uri="{FF2B5EF4-FFF2-40B4-BE49-F238E27FC236}">
                  <a16:creationId xmlns:a16="http://schemas.microsoft.com/office/drawing/2014/main" xmlns="" id="{00000000-0008-0000-1000-00007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0506" name="Button 2682" hidden="1">
              <a:extLst>
                <a:ext uri="{63B3BB69-23CF-44E3-9099-C40C66FF867C}">
                  <a14:compatExt spid="_x0000_s80506"/>
                </a:ext>
                <a:ext uri="{FF2B5EF4-FFF2-40B4-BE49-F238E27FC236}">
                  <a16:creationId xmlns:a16="http://schemas.microsoft.com/office/drawing/2014/main" xmlns="" id="{00000000-0008-0000-1000-00007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0507" name="Button 2683" hidden="1">
              <a:extLst>
                <a:ext uri="{63B3BB69-23CF-44E3-9099-C40C66FF867C}">
                  <a14:compatExt spid="_x0000_s80507"/>
                </a:ext>
                <a:ext uri="{FF2B5EF4-FFF2-40B4-BE49-F238E27FC236}">
                  <a16:creationId xmlns:a16="http://schemas.microsoft.com/office/drawing/2014/main" xmlns="" id="{00000000-0008-0000-1000-00007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0508" name="Button 2684" hidden="1">
              <a:extLst>
                <a:ext uri="{63B3BB69-23CF-44E3-9099-C40C66FF867C}">
                  <a14:compatExt spid="_x0000_s80508"/>
                </a:ext>
                <a:ext uri="{FF2B5EF4-FFF2-40B4-BE49-F238E27FC236}">
                  <a16:creationId xmlns:a16="http://schemas.microsoft.com/office/drawing/2014/main" xmlns="" id="{00000000-0008-0000-1000-00007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0509" name="Button 2685" hidden="1">
              <a:extLst>
                <a:ext uri="{63B3BB69-23CF-44E3-9099-C40C66FF867C}">
                  <a14:compatExt spid="_x0000_s80509"/>
                </a:ext>
                <a:ext uri="{FF2B5EF4-FFF2-40B4-BE49-F238E27FC236}">
                  <a16:creationId xmlns:a16="http://schemas.microsoft.com/office/drawing/2014/main" xmlns="" id="{00000000-0008-0000-1000-00007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0510" name="Button 2686" hidden="1">
              <a:extLst>
                <a:ext uri="{63B3BB69-23CF-44E3-9099-C40C66FF867C}">
                  <a14:compatExt spid="_x0000_s80510"/>
                </a:ext>
                <a:ext uri="{FF2B5EF4-FFF2-40B4-BE49-F238E27FC236}">
                  <a16:creationId xmlns:a16="http://schemas.microsoft.com/office/drawing/2014/main" xmlns="" id="{00000000-0008-0000-1000-00007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0511" name="Button 2687" hidden="1">
              <a:extLst>
                <a:ext uri="{63B3BB69-23CF-44E3-9099-C40C66FF867C}">
                  <a14:compatExt spid="_x0000_s80511"/>
                </a:ext>
                <a:ext uri="{FF2B5EF4-FFF2-40B4-BE49-F238E27FC236}">
                  <a16:creationId xmlns:a16="http://schemas.microsoft.com/office/drawing/2014/main" xmlns="" id="{00000000-0008-0000-1000-00007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0512" name="Button 2688" hidden="1">
              <a:extLst>
                <a:ext uri="{63B3BB69-23CF-44E3-9099-C40C66FF867C}">
                  <a14:compatExt spid="_x0000_s80512"/>
                </a:ext>
                <a:ext uri="{FF2B5EF4-FFF2-40B4-BE49-F238E27FC236}">
                  <a16:creationId xmlns:a16="http://schemas.microsoft.com/office/drawing/2014/main" xmlns="" id="{00000000-0008-0000-1000-00008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0513" name="Button 2689" hidden="1">
              <a:extLst>
                <a:ext uri="{63B3BB69-23CF-44E3-9099-C40C66FF867C}">
                  <a14:compatExt spid="_x0000_s80513"/>
                </a:ext>
                <a:ext uri="{FF2B5EF4-FFF2-40B4-BE49-F238E27FC236}">
                  <a16:creationId xmlns:a16="http://schemas.microsoft.com/office/drawing/2014/main" xmlns="" id="{00000000-0008-0000-1000-00008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0514" name="Button 2690" hidden="1">
              <a:extLst>
                <a:ext uri="{63B3BB69-23CF-44E3-9099-C40C66FF867C}">
                  <a14:compatExt spid="_x0000_s80514"/>
                </a:ext>
                <a:ext uri="{FF2B5EF4-FFF2-40B4-BE49-F238E27FC236}">
                  <a16:creationId xmlns:a16="http://schemas.microsoft.com/office/drawing/2014/main" xmlns="" id="{00000000-0008-0000-1000-00008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0515" name="Button 2691" hidden="1">
              <a:extLst>
                <a:ext uri="{63B3BB69-23CF-44E3-9099-C40C66FF867C}">
                  <a14:compatExt spid="_x0000_s80515"/>
                </a:ext>
                <a:ext uri="{FF2B5EF4-FFF2-40B4-BE49-F238E27FC236}">
                  <a16:creationId xmlns:a16="http://schemas.microsoft.com/office/drawing/2014/main" xmlns="" id="{00000000-0008-0000-1000-00008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0516" name="Button 2692" hidden="1">
              <a:extLst>
                <a:ext uri="{63B3BB69-23CF-44E3-9099-C40C66FF867C}">
                  <a14:compatExt spid="_x0000_s80516"/>
                </a:ext>
                <a:ext uri="{FF2B5EF4-FFF2-40B4-BE49-F238E27FC236}">
                  <a16:creationId xmlns:a16="http://schemas.microsoft.com/office/drawing/2014/main" xmlns="" id="{00000000-0008-0000-1000-00008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0517" name="Button 2693" hidden="1">
              <a:extLst>
                <a:ext uri="{63B3BB69-23CF-44E3-9099-C40C66FF867C}">
                  <a14:compatExt spid="_x0000_s80517"/>
                </a:ext>
                <a:ext uri="{FF2B5EF4-FFF2-40B4-BE49-F238E27FC236}">
                  <a16:creationId xmlns:a16="http://schemas.microsoft.com/office/drawing/2014/main" xmlns="" id="{00000000-0008-0000-1000-00008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0518" name="Button 2694" hidden="1">
              <a:extLst>
                <a:ext uri="{63B3BB69-23CF-44E3-9099-C40C66FF867C}">
                  <a14:compatExt spid="_x0000_s80518"/>
                </a:ext>
                <a:ext uri="{FF2B5EF4-FFF2-40B4-BE49-F238E27FC236}">
                  <a16:creationId xmlns:a16="http://schemas.microsoft.com/office/drawing/2014/main" xmlns="" id="{00000000-0008-0000-1000-00008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0519" name="Button 2695" hidden="1">
              <a:extLst>
                <a:ext uri="{63B3BB69-23CF-44E3-9099-C40C66FF867C}">
                  <a14:compatExt spid="_x0000_s80519"/>
                </a:ext>
                <a:ext uri="{FF2B5EF4-FFF2-40B4-BE49-F238E27FC236}">
                  <a16:creationId xmlns:a16="http://schemas.microsoft.com/office/drawing/2014/main" xmlns="" id="{00000000-0008-0000-1000-00008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0520" name="Button 2696" hidden="1">
              <a:extLst>
                <a:ext uri="{63B3BB69-23CF-44E3-9099-C40C66FF867C}">
                  <a14:compatExt spid="_x0000_s80520"/>
                </a:ext>
                <a:ext uri="{FF2B5EF4-FFF2-40B4-BE49-F238E27FC236}">
                  <a16:creationId xmlns:a16="http://schemas.microsoft.com/office/drawing/2014/main" xmlns="" id="{00000000-0008-0000-1000-00008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0521" name="Button 2697" hidden="1">
              <a:extLst>
                <a:ext uri="{63B3BB69-23CF-44E3-9099-C40C66FF867C}">
                  <a14:compatExt spid="_x0000_s80521"/>
                </a:ext>
                <a:ext uri="{FF2B5EF4-FFF2-40B4-BE49-F238E27FC236}">
                  <a16:creationId xmlns:a16="http://schemas.microsoft.com/office/drawing/2014/main" xmlns="" id="{00000000-0008-0000-1000-00008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0522" name="Button 2698" hidden="1">
              <a:extLst>
                <a:ext uri="{63B3BB69-23CF-44E3-9099-C40C66FF867C}">
                  <a14:compatExt spid="_x0000_s80522"/>
                </a:ext>
                <a:ext uri="{FF2B5EF4-FFF2-40B4-BE49-F238E27FC236}">
                  <a16:creationId xmlns:a16="http://schemas.microsoft.com/office/drawing/2014/main" xmlns="" id="{00000000-0008-0000-1000-00008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0523" name="Button 2699" hidden="1">
              <a:extLst>
                <a:ext uri="{63B3BB69-23CF-44E3-9099-C40C66FF867C}">
                  <a14:compatExt spid="_x0000_s80523"/>
                </a:ext>
                <a:ext uri="{FF2B5EF4-FFF2-40B4-BE49-F238E27FC236}">
                  <a16:creationId xmlns:a16="http://schemas.microsoft.com/office/drawing/2014/main" xmlns="" id="{00000000-0008-0000-1000-00008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0524" name="Button 2700" hidden="1">
              <a:extLst>
                <a:ext uri="{63B3BB69-23CF-44E3-9099-C40C66FF867C}">
                  <a14:compatExt spid="_x0000_s80524"/>
                </a:ext>
                <a:ext uri="{FF2B5EF4-FFF2-40B4-BE49-F238E27FC236}">
                  <a16:creationId xmlns:a16="http://schemas.microsoft.com/office/drawing/2014/main" xmlns="" id="{00000000-0008-0000-1000-00008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0525" name="Button 2701" hidden="1">
              <a:extLst>
                <a:ext uri="{63B3BB69-23CF-44E3-9099-C40C66FF867C}">
                  <a14:compatExt spid="_x0000_s80525"/>
                </a:ext>
                <a:ext uri="{FF2B5EF4-FFF2-40B4-BE49-F238E27FC236}">
                  <a16:creationId xmlns:a16="http://schemas.microsoft.com/office/drawing/2014/main" xmlns="" id="{00000000-0008-0000-1000-00008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0526" name="Button 2702" hidden="1">
              <a:extLst>
                <a:ext uri="{63B3BB69-23CF-44E3-9099-C40C66FF867C}">
                  <a14:compatExt spid="_x0000_s80526"/>
                </a:ext>
                <a:ext uri="{FF2B5EF4-FFF2-40B4-BE49-F238E27FC236}">
                  <a16:creationId xmlns:a16="http://schemas.microsoft.com/office/drawing/2014/main" xmlns="" id="{00000000-0008-0000-1000-00008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0527" name="Button 2703" hidden="1">
              <a:extLst>
                <a:ext uri="{63B3BB69-23CF-44E3-9099-C40C66FF867C}">
                  <a14:compatExt spid="_x0000_s80527"/>
                </a:ext>
                <a:ext uri="{FF2B5EF4-FFF2-40B4-BE49-F238E27FC236}">
                  <a16:creationId xmlns:a16="http://schemas.microsoft.com/office/drawing/2014/main" xmlns="" id="{00000000-0008-0000-1000-00008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0528" name="Button 2704" hidden="1">
              <a:extLst>
                <a:ext uri="{63B3BB69-23CF-44E3-9099-C40C66FF867C}">
                  <a14:compatExt spid="_x0000_s80528"/>
                </a:ext>
                <a:ext uri="{FF2B5EF4-FFF2-40B4-BE49-F238E27FC236}">
                  <a16:creationId xmlns:a16="http://schemas.microsoft.com/office/drawing/2014/main" xmlns="" id="{00000000-0008-0000-1000-00009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0529" name="Button 2705" hidden="1">
              <a:extLst>
                <a:ext uri="{63B3BB69-23CF-44E3-9099-C40C66FF867C}">
                  <a14:compatExt spid="_x0000_s80529"/>
                </a:ext>
                <a:ext uri="{FF2B5EF4-FFF2-40B4-BE49-F238E27FC236}">
                  <a16:creationId xmlns:a16="http://schemas.microsoft.com/office/drawing/2014/main" xmlns="" id="{00000000-0008-0000-1000-00009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0530" name="Button 2706" hidden="1">
              <a:extLst>
                <a:ext uri="{63B3BB69-23CF-44E3-9099-C40C66FF867C}">
                  <a14:compatExt spid="_x0000_s80530"/>
                </a:ext>
                <a:ext uri="{FF2B5EF4-FFF2-40B4-BE49-F238E27FC236}">
                  <a16:creationId xmlns:a16="http://schemas.microsoft.com/office/drawing/2014/main" xmlns="" id="{00000000-0008-0000-1000-00009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0531" name="Button 2707" hidden="1">
              <a:extLst>
                <a:ext uri="{63B3BB69-23CF-44E3-9099-C40C66FF867C}">
                  <a14:compatExt spid="_x0000_s80531"/>
                </a:ext>
                <a:ext uri="{FF2B5EF4-FFF2-40B4-BE49-F238E27FC236}">
                  <a16:creationId xmlns:a16="http://schemas.microsoft.com/office/drawing/2014/main" xmlns="" id="{00000000-0008-0000-1000-00009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0532" name="Button 2708" hidden="1">
              <a:extLst>
                <a:ext uri="{63B3BB69-23CF-44E3-9099-C40C66FF867C}">
                  <a14:compatExt spid="_x0000_s80532"/>
                </a:ext>
                <a:ext uri="{FF2B5EF4-FFF2-40B4-BE49-F238E27FC236}">
                  <a16:creationId xmlns:a16="http://schemas.microsoft.com/office/drawing/2014/main" xmlns="" id="{00000000-0008-0000-1000-00009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0533" name="Button 2709" hidden="1">
              <a:extLst>
                <a:ext uri="{63B3BB69-23CF-44E3-9099-C40C66FF867C}">
                  <a14:compatExt spid="_x0000_s80533"/>
                </a:ext>
                <a:ext uri="{FF2B5EF4-FFF2-40B4-BE49-F238E27FC236}">
                  <a16:creationId xmlns:a16="http://schemas.microsoft.com/office/drawing/2014/main" xmlns="" id="{00000000-0008-0000-1000-00009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78485" name="Button 2709" hidden="1">
              <a:extLst>
                <a:ext uri="{63B3BB69-23CF-44E3-9099-C40C66FF867C}">
                  <a14:compatExt spid="_x0000_s78485"/>
                </a:ext>
                <a:ext uri="{FF2B5EF4-FFF2-40B4-BE49-F238E27FC236}">
                  <a16:creationId xmlns:a16="http://schemas.microsoft.com/office/drawing/2014/main" xmlns="" id="{00000000-0008-0000-1100-00009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78486" name="Button 2710" hidden="1">
              <a:extLst>
                <a:ext uri="{63B3BB69-23CF-44E3-9099-C40C66FF867C}">
                  <a14:compatExt spid="_x0000_s78486"/>
                </a:ext>
                <a:ext uri="{FF2B5EF4-FFF2-40B4-BE49-F238E27FC236}">
                  <a16:creationId xmlns:a16="http://schemas.microsoft.com/office/drawing/2014/main" xmlns="" id="{00000000-0008-0000-1100-00009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78487" name="Button 2711" hidden="1">
              <a:extLst>
                <a:ext uri="{63B3BB69-23CF-44E3-9099-C40C66FF867C}">
                  <a14:compatExt spid="_x0000_s78487"/>
                </a:ext>
                <a:ext uri="{FF2B5EF4-FFF2-40B4-BE49-F238E27FC236}">
                  <a16:creationId xmlns:a16="http://schemas.microsoft.com/office/drawing/2014/main" xmlns="" id="{00000000-0008-0000-1100-00009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78488" name="Button 2712" hidden="1">
              <a:extLst>
                <a:ext uri="{63B3BB69-23CF-44E3-9099-C40C66FF867C}">
                  <a14:compatExt spid="_x0000_s78488"/>
                </a:ext>
                <a:ext uri="{FF2B5EF4-FFF2-40B4-BE49-F238E27FC236}">
                  <a16:creationId xmlns:a16="http://schemas.microsoft.com/office/drawing/2014/main" xmlns="" id="{00000000-0008-0000-1100-00009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78489" name="Button 2713" hidden="1">
              <a:extLst>
                <a:ext uri="{63B3BB69-23CF-44E3-9099-C40C66FF867C}">
                  <a14:compatExt spid="_x0000_s78489"/>
                </a:ext>
                <a:ext uri="{FF2B5EF4-FFF2-40B4-BE49-F238E27FC236}">
                  <a16:creationId xmlns:a16="http://schemas.microsoft.com/office/drawing/2014/main" xmlns="" id="{00000000-0008-0000-1100-00009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78490" name="Button 2714" hidden="1">
              <a:extLst>
                <a:ext uri="{63B3BB69-23CF-44E3-9099-C40C66FF867C}">
                  <a14:compatExt spid="_x0000_s78490"/>
                </a:ext>
                <a:ext uri="{FF2B5EF4-FFF2-40B4-BE49-F238E27FC236}">
                  <a16:creationId xmlns:a16="http://schemas.microsoft.com/office/drawing/2014/main" xmlns="" id="{00000000-0008-0000-1100-00009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78491" name="Button 2715" hidden="1">
              <a:extLst>
                <a:ext uri="{63B3BB69-23CF-44E3-9099-C40C66FF867C}">
                  <a14:compatExt spid="_x0000_s78491"/>
                </a:ext>
                <a:ext uri="{FF2B5EF4-FFF2-40B4-BE49-F238E27FC236}">
                  <a16:creationId xmlns:a16="http://schemas.microsoft.com/office/drawing/2014/main" xmlns="" id="{00000000-0008-0000-1100-00009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78492" name="Button 2716" hidden="1">
              <a:extLst>
                <a:ext uri="{63B3BB69-23CF-44E3-9099-C40C66FF867C}">
                  <a14:compatExt spid="_x0000_s78492"/>
                </a:ext>
                <a:ext uri="{FF2B5EF4-FFF2-40B4-BE49-F238E27FC236}">
                  <a16:creationId xmlns:a16="http://schemas.microsoft.com/office/drawing/2014/main" xmlns="" id="{00000000-0008-0000-1100-00009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78493" name="Button 2717" hidden="1">
              <a:extLst>
                <a:ext uri="{63B3BB69-23CF-44E3-9099-C40C66FF867C}">
                  <a14:compatExt spid="_x0000_s78493"/>
                </a:ext>
                <a:ext uri="{FF2B5EF4-FFF2-40B4-BE49-F238E27FC236}">
                  <a16:creationId xmlns:a16="http://schemas.microsoft.com/office/drawing/2014/main" xmlns="" id="{00000000-0008-0000-1100-00009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78494" name="Button 2718" hidden="1">
              <a:extLst>
                <a:ext uri="{63B3BB69-23CF-44E3-9099-C40C66FF867C}">
                  <a14:compatExt spid="_x0000_s78494"/>
                </a:ext>
                <a:ext uri="{FF2B5EF4-FFF2-40B4-BE49-F238E27FC236}">
                  <a16:creationId xmlns:a16="http://schemas.microsoft.com/office/drawing/2014/main" xmlns="" id="{00000000-0008-0000-1100-00009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78495" name="Button 2719" hidden="1">
              <a:extLst>
                <a:ext uri="{63B3BB69-23CF-44E3-9099-C40C66FF867C}">
                  <a14:compatExt spid="_x0000_s78495"/>
                </a:ext>
                <a:ext uri="{FF2B5EF4-FFF2-40B4-BE49-F238E27FC236}">
                  <a16:creationId xmlns:a16="http://schemas.microsoft.com/office/drawing/2014/main" xmlns="" id="{00000000-0008-0000-1100-00009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78496" name="Button 2720" hidden="1">
              <a:extLst>
                <a:ext uri="{63B3BB69-23CF-44E3-9099-C40C66FF867C}">
                  <a14:compatExt spid="_x0000_s78496"/>
                </a:ext>
                <a:ext uri="{FF2B5EF4-FFF2-40B4-BE49-F238E27FC236}">
                  <a16:creationId xmlns:a16="http://schemas.microsoft.com/office/drawing/2014/main" xmlns="" id="{00000000-0008-0000-1100-0000A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78497" name="Button 2721" hidden="1">
              <a:extLst>
                <a:ext uri="{63B3BB69-23CF-44E3-9099-C40C66FF867C}">
                  <a14:compatExt spid="_x0000_s78497"/>
                </a:ext>
                <a:ext uri="{FF2B5EF4-FFF2-40B4-BE49-F238E27FC236}">
                  <a16:creationId xmlns:a16="http://schemas.microsoft.com/office/drawing/2014/main" xmlns="" id="{00000000-0008-0000-1100-0000A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78498" name="Button 2722" hidden="1">
              <a:extLst>
                <a:ext uri="{63B3BB69-23CF-44E3-9099-C40C66FF867C}">
                  <a14:compatExt spid="_x0000_s78498"/>
                </a:ext>
                <a:ext uri="{FF2B5EF4-FFF2-40B4-BE49-F238E27FC236}">
                  <a16:creationId xmlns:a16="http://schemas.microsoft.com/office/drawing/2014/main" xmlns="" id="{00000000-0008-0000-1100-0000A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78499" name="Button 2723" hidden="1">
              <a:extLst>
                <a:ext uri="{63B3BB69-23CF-44E3-9099-C40C66FF867C}">
                  <a14:compatExt spid="_x0000_s78499"/>
                </a:ext>
                <a:ext uri="{FF2B5EF4-FFF2-40B4-BE49-F238E27FC236}">
                  <a16:creationId xmlns:a16="http://schemas.microsoft.com/office/drawing/2014/main" xmlns="" id="{00000000-0008-0000-1100-0000A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78500" name="Button 2724" hidden="1">
              <a:extLst>
                <a:ext uri="{63B3BB69-23CF-44E3-9099-C40C66FF867C}">
                  <a14:compatExt spid="_x0000_s78500"/>
                </a:ext>
                <a:ext uri="{FF2B5EF4-FFF2-40B4-BE49-F238E27FC236}">
                  <a16:creationId xmlns:a16="http://schemas.microsoft.com/office/drawing/2014/main" xmlns="" id="{00000000-0008-0000-1100-0000A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78501" name="Button 2725" hidden="1">
              <a:extLst>
                <a:ext uri="{63B3BB69-23CF-44E3-9099-C40C66FF867C}">
                  <a14:compatExt spid="_x0000_s78501"/>
                </a:ext>
                <a:ext uri="{FF2B5EF4-FFF2-40B4-BE49-F238E27FC236}">
                  <a16:creationId xmlns:a16="http://schemas.microsoft.com/office/drawing/2014/main" xmlns="" id="{00000000-0008-0000-1100-0000A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78502" name="Button 2726" hidden="1">
              <a:extLst>
                <a:ext uri="{63B3BB69-23CF-44E3-9099-C40C66FF867C}">
                  <a14:compatExt spid="_x0000_s78502"/>
                </a:ext>
                <a:ext uri="{FF2B5EF4-FFF2-40B4-BE49-F238E27FC236}">
                  <a16:creationId xmlns:a16="http://schemas.microsoft.com/office/drawing/2014/main" xmlns="" id="{00000000-0008-0000-1100-0000A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78503" name="Button 2727" hidden="1">
              <a:extLst>
                <a:ext uri="{63B3BB69-23CF-44E3-9099-C40C66FF867C}">
                  <a14:compatExt spid="_x0000_s78503"/>
                </a:ext>
                <a:ext uri="{FF2B5EF4-FFF2-40B4-BE49-F238E27FC236}">
                  <a16:creationId xmlns:a16="http://schemas.microsoft.com/office/drawing/2014/main" xmlns="" id="{00000000-0008-0000-1100-0000A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78504" name="Button 2728" hidden="1">
              <a:extLst>
                <a:ext uri="{63B3BB69-23CF-44E3-9099-C40C66FF867C}">
                  <a14:compatExt spid="_x0000_s78504"/>
                </a:ext>
                <a:ext uri="{FF2B5EF4-FFF2-40B4-BE49-F238E27FC236}">
                  <a16:creationId xmlns:a16="http://schemas.microsoft.com/office/drawing/2014/main" xmlns="" id="{00000000-0008-0000-1100-0000A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78505" name="Button 2729" hidden="1">
              <a:extLst>
                <a:ext uri="{63B3BB69-23CF-44E3-9099-C40C66FF867C}">
                  <a14:compatExt spid="_x0000_s78505"/>
                </a:ext>
                <a:ext uri="{FF2B5EF4-FFF2-40B4-BE49-F238E27FC236}">
                  <a16:creationId xmlns:a16="http://schemas.microsoft.com/office/drawing/2014/main" xmlns="" id="{00000000-0008-0000-1100-0000A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78506" name="Button 2730" hidden="1">
              <a:extLst>
                <a:ext uri="{63B3BB69-23CF-44E3-9099-C40C66FF867C}">
                  <a14:compatExt spid="_x0000_s78506"/>
                </a:ext>
                <a:ext uri="{FF2B5EF4-FFF2-40B4-BE49-F238E27FC236}">
                  <a16:creationId xmlns:a16="http://schemas.microsoft.com/office/drawing/2014/main" xmlns="" id="{00000000-0008-0000-1100-0000A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78507" name="Button 2731" hidden="1">
              <a:extLst>
                <a:ext uri="{63B3BB69-23CF-44E3-9099-C40C66FF867C}">
                  <a14:compatExt spid="_x0000_s78507"/>
                </a:ext>
                <a:ext uri="{FF2B5EF4-FFF2-40B4-BE49-F238E27FC236}">
                  <a16:creationId xmlns:a16="http://schemas.microsoft.com/office/drawing/2014/main" xmlns="" id="{00000000-0008-0000-1100-0000A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78508" name="Button 2732" hidden="1">
              <a:extLst>
                <a:ext uri="{63B3BB69-23CF-44E3-9099-C40C66FF867C}">
                  <a14:compatExt spid="_x0000_s78508"/>
                </a:ext>
                <a:ext uri="{FF2B5EF4-FFF2-40B4-BE49-F238E27FC236}">
                  <a16:creationId xmlns:a16="http://schemas.microsoft.com/office/drawing/2014/main" xmlns="" id="{00000000-0008-0000-1100-0000A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78509" name="Button 2733" hidden="1">
              <a:extLst>
                <a:ext uri="{63B3BB69-23CF-44E3-9099-C40C66FF867C}">
                  <a14:compatExt spid="_x0000_s78509"/>
                </a:ext>
                <a:ext uri="{FF2B5EF4-FFF2-40B4-BE49-F238E27FC236}">
                  <a16:creationId xmlns:a16="http://schemas.microsoft.com/office/drawing/2014/main" xmlns="" id="{00000000-0008-0000-1100-0000A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78510" name="Button 2734" hidden="1">
              <a:extLst>
                <a:ext uri="{63B3BB69-23CF-44E3-9099-C40C66FF867C}">
                  <a14:compatExt spid="_x0000_s78510"/>
                </a:ext>
                <a:ext uri="{FF2B5EF4-FFF2-40B4-BE49-F238E27FC236}">
                  <a16:creationId xmlns:a16="http://schemas.microsoft.com/office/drawing/2014/main" xmlns="" id="{00000000-0008-0000-1100-0000A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78511" name="Button 2735" hidden="1">
              <a:extLst>
                <a:ext uri="{63B3BB69-23CF-44E3-9099-C40C66FF867C}">
                  <a14:compatExt spid="_x0000_s78511"/>
                </a:ext>
                <a:ext uri="{FF2B5EF4-FFF2-40B4-BE49-F238E27FC236}">
                  <a16:creationId xmlns:a16="http://schemas.microsoft.com/office/drawing/2014/main" xmlns="" id="{00000000-0008-0000-1100-0000A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78512" name="Button 2736" hidden="1">
              <a:extLst>
                <a:ext uri="{63B3BB69-23CF-44E3-9099-C40C66FF867C}">
                  <a14:compatExt spid="_x0000_s78512"/>
                </a:ext>
                <a:ext uri="{FF2B5EF4-FFF2-40B4-BE49-F238E27FC236}">
                  <a16:creationId xmlns:a16="http://schemas.microsoft.com/office/drawing/2014/main" xmlns="" id="{00000000-0008-0000-1100-0000B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78513" name="Button 2737" hidden="1">
              <a:extLst>
                <a:ext uri="{63B3BB69-23CF-44E3-9099-C40C66FF867C}">
                  <a14:compatExt spid="_x0000_s78513"/>
                </a:ext>
                <a:ext uri="{FF2B5EF4-FFF2-40B4-BE49-F238E27FC236}">
                  <a16:creationId xmlns:a16="http://schemas.microsoft.com/office/drawing/2014/main" xmlns="" id="{00000000-0008-0000-1100-0000B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78514" name="Button 2738" hidden="1">
              <a:extLst>
                <a:ext uri="{63B3BB69-23CF-44E3-9099-C40C66FF867C}">
                  <a14:compatExt spid="_x0000_s78514"/>
                </a:ext>
                <a:ext uri="{FF2B5EF4-FFF2-40B4-BE49-F238E27FC236}">
                  <a16:creationId xmlns:a16="http://schemas.microsoft.com/office/drawing/2014/main" xmlns="" id="{00000000-0008-0000-1100-0000B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78515" name="Button 2739" hidden="1">
              <a:extLst>
                <a:ext uri="{63B3BB69-23CF-44E3-9099-C40C66FF867C}">
                  <a14:compatExt spid="_x0000_s78515"/>
                </a:ext>
                <a:ext uri="{FF2B5EF4-FFF2-40B4-BE49-F238E27FC236}">
                  <a16:creationId xmlns:a16="http://schemas.microsoft.com/office/drawing/2014/main" xmlns="" id="{00000000-0008-0000-1100-0000B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78516" name="Button 2740" hidden="1">
              <a:extLst>
                <a:ext uri="{63B3BB69-23CF-44E3-9099-C40C66FF867C}">
                  <a14:compatExt spid="_x0000_s78516"/>
                </a:ext>
                <a:ext uri="{FF2B5EF4-FFF2-40B4-BE49-F238E27FC236}">
                  <a16:creationId xmlns:a16="http://schemas.microsoft.com/office/drawing/2014/main" xmlns="" id="{00000000-0008-0000-1100-0000B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78517" name="Button 2741" hidden="1">
              <a:extLst>
                <a:ext uri="{63B3BB69-23CF-44E3-9099-C40C66FF867C}">
                  <a14:compatExt spid="_x0000_s78517"/>
                </a:ext>
                <a:ext uri="{FF2B5EF4-FFF2-40B4-BE49-F238E27FC236}">
                  <a16:creationId xmlns:a16="http://schemas.microsoft.com/office/drawing/2014/main" xmlns="" id="{00000000-0008-0000-1100-0000B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78518" name="Button 2742" hidden="1">
              <a:extLst>
                <a:ext uri="{63B3BB69-23CF-44E3-9099-C40C66FF867C}">
                  <a14:compatExt spid="_x0000_s78518"/>
                </a:ext>
                <a:ext uri="{FF2B5EF4-FFF2-40B4-BE49-F238E27FC236}">
                  <a16:creationId xmlns:a16="http://schemas.microsoft.com/office/drawing/2014/main" xmlns="" id="{00000000-0008-0000-1100-0000B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78519" name="Button 2743" hidden="1">
              <a:extLst>
                <a:ext uri="{63B3BB69-23CF-44E3-9099-C40C66FF867C}">
                  <a14:compatExt spid="_x0000_s78519"/>
                </a:ext>
                <a:ext uri="{FF2B5EF4-FFF2-40B4-BE49-F238E27FC236}">
                  <a16:creationId xmlns:a16="http://schemas.microsoft.com/office/drawing/2014/main" xmlns="" id="{00000000-0008-0000-1100-0000B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78520" name="Button 2744" hidden="1">
              <a:extLst>
                <a:ext uri="{63B3BB69-23CF-44E3-9099-C40C66FF867C}">
                  <a14:compatExt spid="_x0000_s78520"/>
                </a:ext>
                <a:ext uri="{FF2B5EF4-FFF2-40B4-BE49-F238E27FC236}">
                  <a16:creationId xmlns:a16="http://schemas.microsoft.com/office/drawing/2014/main" xmlns="" id="{00000000-0008-0000-1100-0000B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78521" name="Button 2745" hidden="1">
              <a:extLst>
                <a:ext uri="{63B3BB69-23CF-44E3-9099-C40C66FF867C}">
                  <a14:compatExt spid="_x0000_s78521"/>
                </a:ext>
                <a:ext uri="{FF2B5EF4-FFF2-40B4-BE49-F238E27FC236}">
                  <a16:creationId xmlns:a16="http://schemas.microsoft.com/office/drawing/2014/main" xmlns="" id="{00000000-0008-0000-1100-0000B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78522" name="Button 2746" hidden="1">
              <a:extLst>
                <a:ext uri="{63B3BB69-23CF-44E3-9099-C40C66FF867C}">
                  <a14:compatExt spid="_x0000_s78522"/>
                </a:ext>
                <a:ext uri="{FF2B5EF4-FFF2-40B4-BE49-F238E27FC236}">
                  <a16:creationId xmlns:a16="http://schemas.microsoft.com/office/drawing/2014/main" xmlns="" id="{00000000-0008-0000-1100-0000B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78523" name="Button 2747" hidden="1">
              <a:extLst>
                <a:ext uri="{63B3BB69-23CF-44E3-9099-C40C66FF867C}">
                  <a14:compatExt spid="_x0000_s78523"/>
                </a:ext>
                <a:ext uri="{FF2B5EF4-FFF2-40B4-BE49-F238E27FC236}">
                  <a16:creationId xmlns:a16="http://schemas.microsoft.com/office/drawing/2014/main" xmlns="" id="{00000000-0008-0000-1100-0000B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78524" name="Button 2748" hidden="1">
              <a:extLst>
                <a:ext uri="{63B3BB69-23CF-44E3-9099-C40C66FF867C}">
                  <a14:compatExt spid="_x0000_s78524"/>
                </a:ext>
                <a:ext uri="{FF2B5EF4-FFF2-40B4-BE49-F238E27FC236}">
                  <a16:creationId xmlns:a16="http://schemas.microsoft.com/office/drawing/2014/main" xmlns="" id="{00000000-0008-0000-1100-0000B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78525" name="Button 2749" hidden="1">
              <a:extLst>
                <a:ext uri="{63B3BB69-23CF-44E3-9099-C40C66FF867C}">
                  <a14:compatExt spid="_x0000_s78525"/>
                </a:ext>
                <a:ext uri="{FF2B5EF4-FFF2-40B4-BE49-F238E27FC236}">
                  <a16:creationId xmlns:a16="http://schemas.microsoft.com/office/drawing/2014/main" xmlns="" id="{00000000-0008-0000-1100-0000B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78526" name="Button 2750" hidden="1">
              <a:extLst>
                <a:ext uri="{63B3BB69-23CF-44E3-9099-C40C66FF867C}">
                  <a14:compatExt spid="_x0000_s78526"/>
                </a:ext>
                <a:ext uri="{FF2B5EF4-FFF2-40B4-BE49-F238E27FC236}">
                  <a16:creationId xmlns:a16="http://schemas.microsoft.com/office/drawing/2014/main" xmlns="" id="{00000000-0008-0000-1100-0000B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78527" name="Button 2751" hidden="1">
              <a:extLst>
                <a:ext uri="{63B3BB69-23CF-44E3-9099-C40C66FF867C}">
                  <a14:compatExt spid="_x0000_s78527"/>
                </a:ext>
                <a:ext uri="{FF2B5EF4-FFF2-40B4-BE49-F238E27FC236}">
                  <a16:creationId xmlns:a16="http://schemas.microsoft.com/office/drawing/2014/main" xmlns="" id="{00000000-0008-0000-1100-0000B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78528" name="Button 2752" hidden="1">
              <a:extLst>
                <a:ext uri="{63B3BB69-23CF-44E3-9099-C40C66FF867C}">
                  <a14:compatExt spid="_x0000_s78528"/>
                </a:ext>
                <a:ext uri="{FF2B5EF4-FFF2-40B4-BE49-F238E27FC236}">
                  <a16:creationId xmlns:a16="http://schemas.microsoft.com/office/drawing/2014/main" xmlns="" id="{00000000-0008-0000-1100-0000C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78529" name="Button 2753" hidden="1">
              <a:extLst>
                <a:ext uri="{63B3BB69-23CF-44E3-9099-C40C66FF867C}">
                  <a14:compatExt spid="_x0000_s78529"/>
                </a:ext>
                <a:ext uri="{FF2B5EF4-FFF2-40B4-BE49-F238E27FC236}">
                  <a16:creationId xmlns:a16="http://schemas.microsoft.com/office/drawing/2014/main" xmlns="" id="{00000000-0008-0000-1100-0000C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78530" name="Button 2754" hidden="1">
              <a:extLst>
                <a:ext uri="{63B3BB69-23CF-44E3-9099-C40C66FF867C}">
                  <a14:compatExt spid="_x0000_s78530"/>
                </a:ext>
                <a:ext uri="{FF2B5EF4-FFF2-40B4-BE49-F238E27FC236}">
                  <a16:creationId xmlns:a16="http://schemas.microsoft.com/office/drawing/2014/main" xmlns="" id="{00000000-0008-0000-1100-0000C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78531" name="Button 2755" hidden="1">
              <a:extLst>
                <a:ext uri="{63B3BB69-23CF-44E3-9099-C40C66FF867C}">
                  <a14:compatExt spid="_x0000_s78531"/>
                </a:ext>
                <a:ext uri="{FF2B5EF4-FFF2-40B4-BE49-F238E27FC236}">
                  <a16:creationId xmlns:a16="http://schemas.microsoft.com/office/drawing/2014/main" xmlns="" id="{00000000-0008-0000-1100-0000C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78532" name="Button 2756" hidden="1">
              <a:extLst>
                <a:ext uri="{63B3BB69-23CF-44E3-9099-C40C66FF867C}">
                  <a14:compatExt spid="_x0000_s78532"/>
                </a:ext>
                <a:ext uri="{FF2B5EF4-FFF2-40B4-BE49-F238E27FC236}">
                  <a16:creationId xmlns:a16="http://schemas.microsoft.com/office/drawing/2014/main" xmlns="" id="{00000000-0008-0000-1100-0000C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78533" name="Button 2757" hidden="1">
              <a:extLst>
                <a:ext uri="{63B3BB69-23CF-44E3-9099-C40C66FF867C}">
                  <a14:compatExt spid="_x0000_s78533"/>
                </a:ext>
                <a:ext uri="{FF2B5EF4-FFF2-40B4-BE49-F238E27FC236}">
                  <a16:creationId xmlns:a16="http://schemas.microsoft.com/office/drawing/2014/main" xmlns="" id="{00000000-0008-0000-1100-0000C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78534" name="Button 2758" hidden="1">
              <a:extLst>
                <a:ext uri="{63B3BB69-23CF-44E3-9099-C40C66FF867C}">
                  <a14:compatExt spid="_x0000_s78534"/>
                </a:ext>
                <a:ext uri="{FF2B5EF4-FFF2-40B4-BE49-F238E27FC236}">
                  <a16:creationId xmlns:a16="http://schemas.microsoft.com/office/drawing/2014/main" xmlns="" id="{00000000-0008-0000-1100-0000C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78535" name="Button 2759" hidden="1">
              <a:extLst>
                <a:ext uri="{63B3BB69-23CF-44E3-9099-C40C66FF867C}">
                  <a14:compatExt spid="_x0000_s78535"/>
                </a:ext>
                <a:ext uri="{FF2B5EF4-FFF2-40B4-BE49-F238E27FC236}">
                  <a16:creationId xmlns:a16="http://schemas.microsoft.com/office/drawing/2014/main" xmlns="" id="{00000000-0008-0000-1100-0000C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78536" name="Button 2760" hidden="1">
              <a:extLst>
                <a:ext uri="{63B3BB69-23CF-44E3-9099-C40C66FF867C}">
                  <a14:compatExt spid="_x0000_s78536"/>
                </a:ext>
                <a:ext uri="{FF2B5EF4-FFF2-40B4-BE49-F238E27FC236}">
                  <a16:creationId xmlns:a16="http://schemas.microsoft.com/office/drawing/2014/main" xmlns="" id="{00000000-0008-0000-1100-0000C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78537" name="Button 2761" hidden="1">
              <a:extLst>
                <a:ext uri="{63B3BB69-23CF-44E3-9099-C40C66FF867C}">
                  <a14:compatExt spid="_x0000_s78537"/>
                </a:ext>
                <a:ext uri="{FF2B5EF4-FFF2-40B4-BE49-F238E27FC236}">
                  <a16:creationId xmlns:a16="http://schemas.microsoft.com/office/drawing/2014/main" xmlns="" id="{00000000-0008-0000-1100-0000C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78538" name="Button 2762" hidden="1">
              <a:extLst>
                <a:ext uri="{63B3BB69-23CF-44E3-9099-C40C66FF867C}">
                  <a14:compatExt spid="_x0000_s78538"/>
                </a:ext>
                <a:ext uri="{FF2B5EF4-FFF2-40B4-BE49-F238E27FC236}">
                  <a16:creationId xmlns:a16="http://schemas.microsoft.com/office/drawing/2014/main" xmlns="" id="{00000000-0008-0000-1100-0000C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78539" name="Button 2763" hidden="1">
              <a:extLst>
                <a:ext uri="{63B3BB69-23CF-44E3-9099-C40C66FF867C}">
                  <a14:compatExt spid="_x0000_s78539"/>
                </a:ext>
                <a:ext uri="{FF2B5EF4-FFF2-40B4-BE49-F238E27FC236}">
                  <a16:creationId xmlns:a16="http://schemas.microsoft.com/office/drawing/2014/main" xmlns="" id="{00000000-0008-0000-1100-0000C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78540" name="Button 2764" hidden="1">
              <a:extLst>
                <a:ext uri="{63B3BB69-23CF-44E3-9099-C40C66FF867C}">
                  <a14:compatExt spid="_x0000_s78540"/>
                </a:ext>
                <a:ext uri="{FF2B5EF4-FFF2-40B4-BE49-F238E27FC236}">
                  <a16:creationId xmlns:a16="http://schemas.microsoft.com/office/drawing/2014/main" xmlns="" id="{00000000-0008-0000-1100-0000C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78541" name="Button 2765" hidden="1">
              <a:extLst>
                <a:ext uri="{63B3BB69-23CF-44E3-9099-C40C66FF867C}">
                  <a14:compatExt spid="_x0000_s78541"/>
                </a:ext>
                <a:ext uri="{FF2B5EF4-FFF2-40B4-BE49-F238E27FC236}">
                  <a16:creationId xmlns:a16="http://schemas.microsoft.com/office/drawing/2014/main" xmlns="" id="{00000000-0008-0000-1100-0000C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78542" name="Button 2766" hidden="1">
              <a:extLst>
                <a:ext uri="{63B3BB69-23CF-44E3-9099-C40C66FF867C}">
                  <a14:compatExt spid="_x0000_s78542"/>
                </a:ext>
                <a:ext uri="{FF2B5EF4-FFF2-40B4-BE49-F238E27FC236}">
                  <a16:creationId xmlns:a16="http://schemas.microsoft.com/office/drawing/2014/main" xmlns="" id="{00000000-0008-0000-1100-0000C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78543" name="Button 2767" hidden="1">
              <a:extLst>
                <a:ext uri="{63B3BB69-23CF-44E3-9099-C40C66FF867C}">
                  <a14:compatExt spid="_x0000_s78543"/>
                </a:ext>
                <a:ext uri="{FF2B5EF4-FFF2-40B4-BE49-F238E27FC236}">
                  <a16:creationId xmlns:a16="http://schemas.microsoft.com/office/drawing/2014/main" xmlns="" id="{00000000-0008-0000-1100-0000C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78544" name="Button 2768" hidden="1">
              <a:extLst>
                <a:ext uri="{63B3BB69-23CF-44E3-9099-C40C66FF867C}">
                  <a14:compatExt spid="_x0000_s78544"/>
                </a:ext>
                <a:ext uri="{FF2B5EF4-FFF2-40B4-BE49-F238E27FC236}">
                  <a16:creationId xmlns:a16="http://schemas.microsoft.com/office/drawing/2014/main" xmlns="" id="{00000000-0008-0000-1100-0000D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78545" name="Button 2769" hidden="1">
              <a:extLst>
                <a:ext uri="{63B3BB69-23CF-44E3-9099-C40C66FF867C}">
                  <a14:compatExt spid="_x0000_s78545"/>
                </a:ext>
                <a:ext uri="{FF2B5EF4-FFF2-40B4-BE49-F238E27FC236}">
                  <a16:creationId xmlns:a16="http://schemas.microsoft.com/office/drawing/2014/main" xmlns="" id="{00000000-0008-0000-1100-0000D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78546" name="Button 2770" hidden="1">
              <a:extLst>
                <a:ext uri="{63B3BB69-23CF-44E3-9099-C40C66FF867C}">
                  <a14:compatExt spid="_x0000_s78546"/>
                </a:ext>
                <a:ext uri="{FF2B5EF4-FFF2-40B4-BE49-F238E27FC236}">
                  <a16:creationId xmlns:a16="http://schemas.microsoft.com/office/drawing/2014/main" xmlns="" id="{00000000-0008-0000-1100-0000D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78547" name="Button 2771" hidden="1">
              <a:extLst>
                <a:ext uri="{63B3BB69-23CF-44E3-9099-C40C66FF867C}">
                  <a14:compatExt spid="_x0000_s78547"/>
                </a:ext>
                <a:ext uri="{FF2B5EF4-FFF2-40B4-BE49-F238E27FC236}">
                  <a16:creationId xmlns:a16="http://schemas.microsoft.com/office/drawing/2014/main" xmlns="" id="{00000000-0008-0000-1100-0000D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78548" name="Button 2772" hidden="1">
              <a:extLst>
                <a:ext uri="{63B3BB69-23CF-44E3-9099-C40C66FF867C}">
                  <a14:compatExt spid="_x0000_s78548"/>
                </a:ext>
                <a:ext uri="{FF2B5EF4-FFF2-40B4-BE49-F238E27FC236}">
                  <a16:creationId xmlns:a16="http://schemas.microsoft.com/office/drawing/2014/main" xmlns="" id="{00000000-0008-0000-1100-0000D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78549" name="Button 2773" hidden="1">
              <a:extLst>
                <a:ext uri="{63B3BB69-23CF-44E3-9099-C40C66FF867C}">
                  <a14:compatExt spid="_x0000_s78549"/>
                </a:ext>
                <a:ext uri="{FF2B5EF4-FFF2-40B4-BE49-F238E27FC236}">
                  <a16:creationId xmlns:a16="http://schemas.microsoft.com/office/drawing/2014/main" xmlns="" id="{00000000-0008-0000-1100-0000D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78550" name="Button 2774" hidden="1">
              <a:extLst>
                <a:ext uri="{63B3BB69-23CF-44E3-9099-C40C66FF867C}">
                  <a14:compatExt spid="_x0000_s78550"/>
                </a:ext>
                <a:ext uri="{FF2B5EF4-FFF2-40B4-BE49-F238E27FC236}">
                  <a16:creationId xmlns:a16="http://schemas.microsoft.com/office/drawing/2014/main" xmlns="" id="{00000000-0008-0000-1100-0000D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78551" name="Button 2775" hidden="1">
              <a:extLst>
                <a:ext uri="{63B3BB69-23CF-44E3-9099-C40C66FF867C}">
                  <a14:compatExt spid="_x0000_s78551"/>
                </a:ext>
                <a:ext uri="{FF2B5EF4-FFF2-40B4-BE49-F238E27FC236}">
                  <a16:creationId xmlns:a16="http://schemas.microsoft.com/office/drawing/2014/main" xmlns="" id="{00000000-0008-0000-1100-0000D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78552" name="Button 2776" hidden="1">
              <a:extLst>
                <a:ext uri="{63B3BB69-23CF-44E3-9099-C40C66FF867C}">
                  <a14:compatExt spid="_x0000_s78552"/>
                </a:ext>
                <a:ext uri="{FF2B5EF4-FFF2-40B4-BE49-F238E27FC236}">
                  <a16:creationId xmlns:a16="http://schemas.microsoft.com/office/drawing/2014/main" xmlns="" id="{00000000-0008-0000-1100-0000D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78553" name="Button 2777" hidden="1">
              <a:extLst>
                <a:ext uri="{63B3BB69-23CF-44E3-9099-C40C66FF867C}">
                  <a14:compatExt spid="_x0000_s78553"/>
                </a:ext>
                <a:ext uri="{FF2B5EF4-FFF2-40B4-BE49-F238E27FC236}">
                  <a16:creationId xmlns:a16="http://schemas.microsoft.com/office/drawing/2014/main" xmlns="" id="{00000000-0008-0000-1100-0000D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78554" name="Button 2778" hidden="1">
              <a:extLst>
                <a:ext uri="{63B3BB69-23CF-44E3-9099-C40C66FF867C}">
                  <a14:compatExt spid="_x0000_s78554"/>
                </a:ext>
                <a:ext uri="{FF2B5EF4-FFF2-40B4-BE49-F238E27FC236}">
                  <a16:creationId xmlns:a16="http://schemas.microsoft.com/office/drawing/2014/main" xmlns="" id="{00000000-0008-0000-1100-0000D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78555" name="Button 2779" hidden="1">
              <a:extLst>
                <a:ext uri="{63B3BB69-23CF-44E3-9099-C40C66FF867C}">
                  <a14:compatExt spid="_x0000_s78555"/>
                </a:ext>
                <a:ext uri="{FF2B5EF4-FFF2-40B4-BE49-F238E27FC236}">
                  <a16:creationId xmlns:a16="http://schemas.microsoft.com/office/drawing/2014/main" xmlns="" id="{00000000-0008-0000-1100-0000D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78556" name="Button 2780" hidden="1">
              <a:extLst>
                <a:ext uri="{63B3BB69-23CF-44E3-9099-C40C66FF867C}">
                  <a14:compatExt spid="_x0000_s78556"/>
                </a:ext>
                <a:ext uri="{FF2B5EF4-FFF2-40B4-BE49-F238E27FC236}">
                  <a16:creationId xmlns:a16="http://schemas.microsoft.com/office/drawing/2014/main" xmlns="" id="{00000000-0008-0000-1100-0000D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78557" name="Button 2781" hidden="1">
              <a:extLst>
                <a:ext uri="{63B3BB69-23CF-44E3-9099-C40C66FF867C}">
                  <a14:compatExt spid="_x0000_s78557"/>
                </a:ext>
                <a:ext uri="{FF2B5EF4-FFF2-40B4-BE49-F238E27FC236}">
                  <a16:creationId xmlns:a16="http://schemas.microsoft.com/office/drawing/2014/main" xmlns="" id="{00000000-0008-0000-1100-0000D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78558" name="Button 2782" hidden="1">
              <a:extLst>
                <a:ext uri="{63B3BB69-23CF-44E3-9099-C40C66FF867C}">
                  <a14:compatExt spid="_x0000_s78558"/>
                </a:ext>
                <a:ext uri="{FF2B5EF4-FFF2-40B4-BE49-F238E27FC236}">
                  <a16:creationId xmlns:a16="http://schemas.microsoft.com/office/drawing/2014/main" xmlns="" id="{00000000-0008-0000-1100-0000D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78559" name="Button 2783" hidden="1">
              <a:extLst>
                <a:ext uri="{63B3BB69-23CF-44E3-9099-C40C66FF867C}">
                  <a14:compatExt spid="_x0000_s78559"/>
                </a:ext>
                <a:ext uri="{FF2B5EF4-FFF2-40B4-BE49-F238E27FC236}">
                  <a16:creationId xmlns:a16="http://schemas.microsoft.com/office/drawing/2014/main" xmlns="" id="{00000000-0008-0000-1100-0000D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78560" name="Button 2784" hidden="1">
              <a:extLst>
                <a:ext uri="{63B3BB69-23CF-44E3-9099-C40C66FF867C}">
                  <a14:compatExt spid="_x0000_s78560"/>
                </a:ext>
                <a:ext uri="{FF2B5EF4-FFF2-40B4-BE49-F238E27FC236}">
                  <a16:creationId xmlns:a16="http://schemas.microsoft.com/office/drawing/2014/main" xmlns="" id="{00000000-0008-0000-1100-0000E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78561" name="Button 2785" hidden="1">
              <a:extLst>
                <a:ext uri="{63B3BB69-23CF-44E3-9099-C40C66FF867C}">
                  <a14:compatExt spid="_x0000_s78561"/>
                </a:ext>
                <a:ext uri="{FF2B5EF4-FFF2-40B4-BE49-F238E27FC236}">
                  <a16:creationId xmlns:a16="http://schemas.microsoft.com/office/drawing/2014/main" xmlns="" id="{00000000-0008-0000-1100-0000E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78562" name="Button 2786" hidden="1">
              <a:extLst>
                <a:ext uri="{63B3BB69-23CF-44E3-9099-C40C66FF867C}">
                  <a14:compatExt spid="_x0000_s78562"/>
                </a:ext>
                <a:ext uri="{FF2B5EF4-FFF2-40B4-BE49-F238E27FC236}">
                  <a16:creationId xmlns:a16="http://schemas.microsoft.com/office/drawing/2014/main" xmlns="" id="{00000000-0008-0000-1100-0000E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78563" name="Button 2787" hidden="1">
              <a:extLst>
                <a:ext uri="{63B3BB69-23CF-44E3-9099-C40C66FF867C}">
                  <a14:compatExt spid="_x0000_s78563"/>
                </a:ext>
                <a:ext uri="{FF2B5EF4-FFF2-40B4-BE49-F238E27FC236}">
                  <a16:creationId xmlns:a16="http://schemas.microsoft.com/office/drawing/2014/main" xmlns="" id="{00000000-0008-0000-1100-0000E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78564" name="Button 2788" hidden="1">
              <a:extLst>
                <a:ext uri="{63B3BB69-23CF-44E3-9099-C40C66FF867C}">
                  <a14:compatExt spid="_x0000_s78564"/>
                </a:ext>
                <a:ext uri="{FF2B5EF4-FFF2-40B4-BE49-F238E27FC236}">
                  <a16:creationId xmlns:a16="http://schemas.microsoft.com/office/drawing/2014/main" xmlns="" id="{00000000-0008-0000-1100-0000E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78565" name="Button 2789" hidden="1">
              <a:extLst>
                <a:ext uri="{63B3BB69-23CF-44E3-9099-C40C66FF867C}">
                  <a14:compatExt spid="_x0000_s78565"/>
                </a:ext>
                <a:ext uri="{FF2B5EF4-FFF2-40B4-BE49-F238E27FC236}">
                  <a16:creationId xmlns:a16="http://schemas.microsoft.com/office/drawing/2014/main" xmlns="" id="{00000000-0008-0000-1100-0000E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78566" name="Button 2790" hidden="1">
              <a:extLst>
                <a:ext uri="{63B3BB69-23CF-44E3-9099-C40C66FF867C}">
                  <a14:compatExt spid="_x0000_s78566"/>
                </a:ext>
                <a:ext uri="{FF2B5EF4-FFF2-40B4-BE49-F238E27FC236}">
                  <a16:creationId xmlns:a16="http://schemas.microsoft.com/office/drawing/2014/main" xmlns="" id="{00000000-0008-0000-1100-0000E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78567" name="Button 2791" hidden="1">
              <a:extLst>
                <a:ext uri="{63B3BB69-23CF-44E3-9099-C40C66FF867C}">
                  <a14:compatExt spid="_x0000_s78567"/>
                </a:ext>
                <a:ext uri="{FF2B5EF4-FFF2-40B4-BE49-F238E27FC236}">
                  <a16:creationId xmlns:a16="http://schemas.microsoft.com/office/drawing/2014/main" xmlns="" id="{00000000-0008-0000-1100-0000E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78568" name="Button 2792" hidden="1">
              <a:extLst>
                <a:ext uri="{63B3BB69-23CF-44E3-9099-C40C66FF867C}">
                  <a14:compatExt spid="_x0000_s78568"/>
                </a:ext>
                <a:ext uri="{FF2B5EF4-FFF2-40B4-BE49-F238E27FC236}">
                  <a16:creationId xmlns:a16="http://schemas.microsoft.com/office/drawing/2014/main" xmlns="" id="{00000000-0008-0000-1100-0000E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78569" name="Button 2793" hidden="1">
              <a:extLst>
                <a:ext uri="{63B3BB69-23CF-44E3-9099-C40C66FF867C}">
                  <a14:compatExt spid="_x0000_s78569"/>
                </a:ext>
                <a:ext uri="{FF2B5EF4-FFF2-40B4-BE49-F238E27FC236}">
                  <a16:creationId xmlns:a16="http://schemas.microsoft.com/office/drawing/2014/main" xmlns="" id="{00000000-0008-0000-1100-0000E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78570" name="Button 2794" hidden="1">
              <a:extLst>
                <a:ext uri="{63B3BB69-23CF-44E3-9099-C40C66FF867C}">
                  <a14:compatExt spid="_x0000_s78570"/>
                </a:ext>
                <a:ext uri="{FF2B5EF4-FFF2-40B4-BE49-F238E27FC236}">
                  <a16:creationId xmlns:a16="http://schemas.microsoft.com/office/drawing/2014/main" xmlns="" id="{00000000-0008-0000-1100-0000E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78571" name="Button 2795" hidden="1">
              <a:extLst>
                <a:ext uri="{63B3BB69-23CF-44E3-9099-C40C66FF867C}">
                  <a14:compatExt spid="_x0000_s78571"/>
                </a:ext>
                <a:ext uri="{FF2B5EF4-FFF2-40B4-BE49-F238E27FC236}">
                  <a16:creationId xmlns:a16="http://schemas.microsoft.com/office/drawing/2014/main" xmlns="" id="{00000000-0008-0000-1100-0000E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78572" name="Button 2796" hidden="1">
              <a:extLst>
                <a:ext uri="{63B3BB69-23CF-44E3-9099-C40C66FF867C}">
                  <a14:compatExt spid="_x0000_s78572"/>
                </a:ext>
                <a:ext uri="{FF2B5EF4-FFF2-40B4-BE49-F238E27FC236}">
                  <a16:creationId xmlns:a16="http://schemas.microsoft.com/office/drawing/2014/main" xmlns="" id="{00000000-0008-0000-1100-0000E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78573" name="Button 2797" hidden="1">
              <a:extLst>
                <a:ext uri="{63B3BB69-23CF-44E3-9099-C40C66FF867C}">
                  <a14:compatExt spid="_x0000_s78573"/>
                </a:ext>
                <a:ext uri="{FF2B5EF4-FFF2-40B4-BE49-F238E27FC236}">
                  <a16:creationId xmlns:a16="http://schemas.microsoft.com/office/drawing/2014/main" xmlns="" id="{00000000-0008-0000-1100-0000E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78574" name="Button 2798" hidden="1">
              <a:extLst>
                <a:ext uri="{63B3BB69-23CF-44E3-9099-C40C66FF867C}">
                  <a14:compatExt spid="_x0000_s78574"/>
                </a:ext>
                <a:ext uri="{FF2B5EF4-FFF2-40B4-BE49-F238E27FC236}">
                  <a16:creationId xmlns:a16="http://schemas.microsoft.com/office/drawing/2014/main" xmlns="" id="{00000000-0008-0000-1100-0000E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78575" name="Button 2799" hidden="1">
              <a:extLst>
                <a:ext uri="{63B3BB69-23CF-44E3-9099-C40C66FF867C}">
                  <a14:compatExt spid="_x0000_s78575"/>
                </a:ext>
                <a:ext uri="{FF2B5EF4-FFF2-40B4-BE49-F238E27FC236}">
                  <a16:creationId xmlns:a16="http://schemas.microsoft.com/office/drawing/2014/main" xmlns="" id="{00000000-0008-0000-1100-0000E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78576" name="Button 2800" hidden="1">
              <a:extLst>
                <a:ext uri="{63B3BB69-23CF-44E3-9099-C40C66FF867C}">
                  <a14:compatExt spid="_x0000_s78576"/>
                </a:ext>
                <a:ext uri="{FF2B5EF4-FFF2-40B4-BE49-F238E27FC236}">
                  <a16:creationId xmlns:a16="http://schemas.microsoft.com/office/drawing/2014/main" xmlns="" id="{00000000-0008-0000-1100-0000F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78577" name="Button 2801" hidden="1">
              <a:extLst>
                <a:ext uri="{63B3BB69-23CF-44E3-9099-C40C66FF867C}">
                  <a14:compatExt spid="_x0000_s78577"/>
                </a:ext>
                <a:ext uri="{FF2B5EF4-FFF2-40B4-BE49-F238E27FC236}">
                  <a16:creationId xmlns:a16="http://schemas.microsoft.com/office/drawing/2014/main" xmlns="" id="{00000000-0008-0000-1100-0000F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78578" name="Button 2802" hidden="1">
              <a:extLst>
                <a:ext uri="{63B3BB69-23CF-44E3-9099-C40C66FF867C}">
                  <a14:compatExt spid="_x0000_s78578"/>
                </a:ext>
                <a:ext uri="{FF2B5EF4-FFF2-40B4-BE49-F238E27FC236}">
                  <a16:creationId xmlns:a16="http://schemas.microsoft.com/office/drawing/2014/main" xmlns="" id="{00000000-0008-0000-1100-0000F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78579" name="Button 2803" hidden="1">
              <a:extLst>
                <a:ext uri="{63B3BB69-23CF-44E3-9099-C40C66FF867C}">
                  <a14:compatExt spid="_x0000_s78579"/>
                </a:ext>
                <a:ext uri="{FF2B5EF4-FFF2-40B4-BE49-F238E27FC236}">
                  <a16:creationId xmlns:a16="http://schemas.microsoft.com/office/drawing/2014/main" xmlns="" id="{00000000-0008-0000-1100-0000F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78580" name="Button 2804" hidden="1">
              <a:extLst>
                <a:ext uri="{63B3BB69-23CF-44E3-9099-C40C66FF867C}">
                  <a14:compatExt spid="_x0000_s78580"/>
                </a:ext>
                <a:ext uri="{FF2B5EF4-FFF2-40B4-BE49-F238E27FC236}">
                  <a16:creationId xmlns:a16="http://schemas.microsoft.com/office/drawing/2014/main" xmlns="" id="{00000000-0008-0000-1100-0000F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78581" name="Button 2805" hidden="1">
              <a:extLst>
                <a:ext uri="{63B3BB69-23CF-44E3-9099-C40C66FF867C}">
                  <a14:compatExt spid="_x0000_s78581"/>
                </a:ext>
                <a:ext uri="{FF2B5EF4-FFF2-40B4-BE49-F238E27FC236}">
                  <a16:creationId xmlns:a16="http://schemas.microsoft.com/office/drawing/2014/main" xmlns="" id="{00000000-0008-0000-1100-0000F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78582" name="Button 2806" hidden="1">
              <a:extLst>
                <a:ext uri="{63B3BB69-23CF-44E3-9099-C40C66FF867C}">
                  <a14:compatExt spid="_x0000_s78582"/>
                </a:ext>
                <a:ext uri="{FF2B5EF4-FFF2-40B4-BE49-F238E27FC236}">
                  <a16:creationId xmlns:a16="http://schemas.microsoft.com/office/drawing/2014/main" xmlns="" id="{00000000-0008-0000-1100-0000F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78583" name="Button 2807" hidden="1">
              <a:extLst>
                <a:ext uri="{63B3BB69-23CF-44E3-9099-C40C66FF867C}">
                  <a14:compatExt spid="_x0000_s78583"/>
                </a:ext>
                <a:ext uri="{FF2B5EF4-FFF2-40B4-BE49-F238E27FC236}">
                  <a16:creationId xmlns:a16="http://schemas.microsoft.com/office/drawing/2014/main" xmlns="" id="{00000000-0008-0000-1100-0000F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78584" name="Button 2808" hidden="1">
              <a:extLst>
                <a:ext uri="{63B3BB69-23CF-44E3-9099-C40C66FF867C}">
                  <a14:compatExt spid="_x0000_s78584"/>
                </a:ext>
                <a:ext uri="{FF2B5EF4-FFF2-40B4-BE49-F238E27FC236}">
                  <a16:creationId xmlns:a16="http://schemas.microsoft.com/office/drawing/2014/main" xmlns="" id="{00000000-0008-0000-1100-0000F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1457" name="Button 2609" hidden="1">
              <a:extLst>
                <a:ext uri="{63B3BB69-23CF-44E3-9099-C40C66FF867C}">
                  <a14:compatExt spid="_x0000_s81457"/>
                </a:ext>
                <a:ext uri="{FF2B5EF4-FFF2-40B4-BE49-F238E27FC236}">
                  <a16:creationId xmlns:a16="http://schemas.microsoft.com/office/drawing/2014/main" xmlns="" id="{00000000-0008-0000-1200-00003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1458" name="Button 2610" hidden="1">
              <a:extLst>
                <a:ext uri="{63B3BB69-23CF-44E3-9099-C40C66FF867C}">
                  <a14:compatExt spid="_x0000_s81458"/>
                </a:ext>
                <a:ext uri="{FF2B5EF4-FFF2-40B4-BE49-F238E27FC236}">
                  <a16:creationId xmlns:a16="http://schemas.microsoft.com/office/drawing/2014/main" xmlns="" id="{00000000-0008-0000-1200-00003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1459" name="Button 2611" hidden="1">
              <a:extLst>
                <a:ext uri="{63B3BB69-23CF-44E3-9099-C40C66FF867C}">
                  <a14:compatExt spid="_x0000_s81459"/>
                </a:ext>
                <a:ext uri="{FF2B5EF4-FFF2-40B4-BE49-F238E27FC236}">
                  <a16:creationId xmlns:a16="http://schemas.microsoft.com/office/drawing/2014/main" xmlns="" id="{00000000-0008-0000-1200-00003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1460" name="Button 2612" hidden="1">
              <a:extLst>
                <a:ext uri="{63B3BB69-23CF-44E3-9099-C40C66FF867C}">
                  <a14:compatExt spid="_x0000_s81460"/>
                </a:ext>
                <a:ext uri="{FF2B5EF4-FFF2-40B4-BE49-F238E27FC236}">
                  <a16:creationId xmlns:a16="http://schemas.microsoft.com/office/drawing/2014/main" xmlns="" id="{00000000-0008-0000-1200-00003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1461" name="Button 2613" hidden="1">
              <a:extLst>
                <a:ext uri="{63B3BB69-23CF-44E3-9099-C40C66FF867C}">
                  <a14:compatExt spid="_x0000_s81461"/>
                </a:ext>
                <a:ext uri="{FF2B5EF4-FFF2-40B4-BE49-F238E27FC236}">
                  <a16:creationId xmlns:a16="http://schemas.microsoft.com/office/drawing/2014/main" xmlns="" id="{00000000-0008-0000-1200-00003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1462" name="Button 2614" hidden="1">
              <a:extLst>
                <a:ext uri="{63B3BB69-23CF-44E3-9099-C40C66FF867C}">
                  <a14:compatExt spid="_x0000_s81462"/>
                </a:ext>
                <a:ext uri="{FF2B5EF4-FFF2-40B4-BE49-F238E27FC236}">
                  <a16:creationId xmlns:a16="http://schemas.microsoft.com/office/drawing/2014/main" xmlns="" id="{00000000-0008-0000-1200-00003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1463" name="Button 2615" hidden="1">
              <a:extLst>
                <a:ext uri="{63B3BB69-23CF-44E3-9099-C40C66FF867C}">
                  <a14:compatExt spid="_x0000_s81463"/>
                </a:ext>
                <a:ext uri="{FF2B5EF4-FFF2-40B4-BE49-F238E27FC236}">
                  <a16:creationId xmlns:a16="http://schemas.microsoft.com/office/drawing/2014/main" xmlns="" id="{00000000-0008-0000-1200-00003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1464" name="Button 2616" hidden="1">
              <a:extLst>
                <a:ext uri="{63B3BB69-23CF-44E3-9099-C40C66FF867C}">
                  <a14:compatExt spid="_x0000_s81464"/>
                </a:ext>
                <a:ext uri="{FF2B5EF4-FFF2-40B4-BE49-F238E27FC236}">
                  <a16:creationId xmlns:a16="http://schemas.microsoft.com/office/drawing/2014/main" xmlns="" id="{00000000-0008-0000-1200-00003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1465" name="Button 2617" hidden="1">
              <a:extLst>
                <a:ext uri="{63B3BB69-23CF-44E3-9099-C40C66FF867C}">
                  <a14:compatExt spid="_x0000_s81465"/>
                </a:ext>
                <a:ext uri="{FF2B5EF4-FFF2-40B4-BE49-F238E27FC236}">
                  <a16:creationId xmlns:a16="http://schemas.microsoft.com/office/drawing/2014/main" xmlns="" id="{00000000-0008-0000-1200-00003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1466" name="Button 2618" hidden="1">
              <a:extLst>
                <a:ext uri="{63B3BB69-23CF-44E3-9099-C40C66FF867C}">
                  <a14:compatExt spid="_x0000_s81466"/>
                </a:ext>
                <a:ext uri="{FF2B5EF4-FFF2-40B4-BE49-F238E27FC236}">
                  <a16:creationId xmlns:a16="http://schemas.microsoft.com/office/drawing/2014/main" xmlns="" id="{00000000-0008-0000-1200-00003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1467" name="Button 2619" hidden="1">
              <a:extLst>
                <a:ext uri="{63B3BB69-23CF-44E3-9099-C40C66FF867C}">
                  <a14:compatExt spid="_x0000_s81467"/>
                </a:ext>
                <a:ext uri="{FF2B5EF4-FFF2-40B4-BE49-F238E27FC236}">
                  <a16:creationId xmlns:a16="http://schemas.microsoft.com/office/drawing/2014/main" xmlns="" id="{00000000-0008-0000-1200-00003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1468" name="Button 2620" hidden="1">
              <a:extLst>
                <a:ext uri="{63B3BB69-23CF-44E3-9099-C40C66FF867C}">
                  <a14:compatExt spid="_x0000_s81468"/>
                </a:ext>
                <a:ext uri="{FF2B5EF4-FFF2-40B4-BE49-F238E27FC236}">
                  <a16:creationId xmlns:a16="http://schemas.microsoft.com/office/drawing/2014/main" xmlns="" id="{00000000-0008-0000-1200-00003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1469" name="Button 2621" hidden="1">
              <a:extLst>
                <a:ext uri="{63B3BB69-23CF-44E3-9099-C40C66FF867C}">
                  <a14:compatExt spid="_x0000_s81469"/>
                </a:ext>
                <a:ext uri="{FF2B5EF4-FFF2-40B4-BE49-F238E27FC236}">
                  <a16:creationId xmlns:a16="http://schemas.microsoft.com/office/drawing/2014/main" xmlns="" id="{00000000-0008-0000-1200-00003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1470" name="Button 2622" hidden="1">
              <a:extLst>
                <a:ext uri="{63B3BB69-23CF-44E3-9099-C40C66FF867C}">
                  <a14:compatExt spid="_x0000_s81470"/>
                </a:ext>
                <a:ext uri="{FF2B5EF4-FFF2-40B4-BE49-F238E27FC236}">
                  <a16:creationId xmlns:a16="http://schemas.microsoft.com/office/drawing/2014/main" xmlns="" id="{00000000-0008-0000-1200-00003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1471" name="Button 2623" hidden="1">
              <a:extLst>
                <a:ext uri="{63B3BB69-23CF-44E3-9099-C40C66FF867C}">
                  <a14:compatExt spid="_x0000_s81471"/>
                </a:ext>
                <a:ext uri="{FF2B5EF4-FFF2-40B4-BE49-F238E27FC236}">
                  <a16:creationId xmlns:a16="http://schemas.microsoft.com/office/drawing/2014/main" xmlns="" id="{00000000-0008-0000-1200-00003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1472" name="Button 2624" hidden="1">
              <a:extLst>
                <a:ext uri="{63B3BB69-23CF-44E3-9099-C40C66FF867C}">
                  <a14:compatExt spid="_x0000_s81472"/>
                </a:ext>
                <a:ext uri="{FF2B5EF4-FFF2-40B4-BE49-F238E27FC236}">
                  <a16:creationId xmlns:a16="http://schemas.microsoft.com/office/drawing/2014/main" xmlns="" id="{00000000-0008-0000-1200-00004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1473" name="Button 2625" hidden="1">
              <a:extLst>
                <a:ext uri="{63B3BB69-23CF-44E3-9099-C40C66FF867C}">
                  <a14:compatExt spid="_x0000_s81473"/>
                </a:ext>
                <a:ext uri="{FF2B5EF4-FFF2-40B4-BE49-F238E27FC236}">
                  <a16:creationId xmlns:a16="http://schemas.microsoft.com/office/drawing/2014/main" xmlns="" id="{00000000-0008-0000-1200-00004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1474" name="Button 2626" hidden="1">
              <a:extLst>
                <a:ext uri="{63B3BB69-23CF-44E3-9099-C40C66FF867C}">
                  <a14:compatExt spid="_x0000_s81474"/>
                </a:ext>
                <a:ext uri="{FF2B5EF4-FFF2-40B4-BE49-F238E27FC236}">
                  <a16:creationId xmlns:a16="http://schemas.microsoft.com/office/drawing/2014/main" xmlns="" id="{00000000-0008-0000-1200-00004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1475" name="Button 2627" hidden="1">
              <a:extLst>
                <a:ext uri="{63B3BB69-23CF-44E3-9099-C40C66FF867C}">
                  <a14:compatExt spid="_x0000_s81475"/>
                </a:ext>
                <a:ext uri="{FF2B5EF4-FFF2-40B4-BE49-F238E27FC236}">
                  <a16:creationId xmlns:a16="http://schemas.microsoft.com/office/drawing/2014/main" xmlns="" id="{00000000-0008-0000-1200-00004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1476" name="Button 2628" hidden="1">
              <a:extLst>
                <a:ext uri="{63B3BB69-23CF-44E3-9099-C40C66FF867C}">
                  <a14:compatExt spid="_x0000_s81476"/>
                </a:ext>
                <a:ext uri="{FF2B5EF4-FFF2-40B4-BE49-F238E27FC236}">
                  <a16:creationId xmlns:a16="http://schemas.microsoft.com/office/drawing/2014/main" xmlns="" id="{00000000-0008-0000-1200-00004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1477" name="Button 2629" hidden="1">
              <a:extLst>
                <a:ext uri="{63B3BB69-23CF-44E3-9099-C40C66FF867C}">
                  <a14:compatExt spid="_x0000_s81477"/>
                </a:ext>
                <a:ext uri="{FF2B5EF4-FFF2-40B4-BE49-F238E27FC236}">
                  <a16:creationId xmlns:a16="http://schemas.microsoft.com/office/drawing/2014/main" xmlns="" id="{00000000-0008-0000-1200-00004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1478" name="Button 2630" hidden="1">
              <a:extLst>
                <a:ext uri="{63B3BB69-23CF-44E3-9099-C40C66FF867C}">
                  <a14:compatExt spid="_x0000_s81478"/>
                </a:ext>
                <a:ext uri="{FF2B5EF4-FFF2-40B4-BE49-F238E27FC236}">
                  <a16:creationId xmlns:a16="http://schemas.microsoft.com/office/drawing/2014/main" xmlns="" id="{00000000-0008-0000-1200-00004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1479" name="Button 2631" hidden="1">
              <a:extLst>
                <a:ext uri="{63B3BB69-23CF-44E3-9099-C40C66FF867C}">
                  <a14:compatExt spid="_x0000_s81479"/>
                </a:ext>
                <a:ext uri="{FF2B5EF4-FFF2-40B4-BE49-F238E27FC236}">
                  <a16:creationId xmlns:a16="http://schemas.microsoft.com/office/drawing/2014/main" xmlns="" id="{00000000-0008-0000-1200-00004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1480" name="Button 2632" hidden="1">
              <a:extLst>
                <a:ext uri="{63B3BB69-23CF-44E3-9099-C40C66FF867C}">
                  <a14:compatExt spid="_x0000_s81480"/>
                </a:ext>
                <a:ext uri="{FF2B5EF4-FFF2-40B4-BE49-F238E27FC236}">
                  <a16:creationId xmlns:a16="http://schemas.microsoft.com/office/drawing/2014/main" xmlns="" id="{00000000-0008-0000-1200-00004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1481" name="Button 2633" hidden="1">
              <a:extLst>
                <a:ext uri="{63B3BB69-23CF-44E3-9099-C40C66FF867C}">
                  <a14:compatExt spid="_x0000_s81481"/>
                </a:ext>
                <a:ext uri="{FF2B5EF4-FFF2-40B4-BE49-F238E27FC236}">
                  <a16:creationId xmlns:a16="http://schemas.microsoft.com/office/drawing/2014/main" xmlns="" id="{00000000-0008-0000-1200-00004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1482" name="Button 2634" hidden="1">
              <a:extLst>
                <a:ext uri="{63B3BB69-23CF-44E3-9099-C40C66FF867C}">
                  <a14:compatExt spid="_x0000_s81482"/>
                </a:ext>
                <a:ext uri="{FF2B5EF4-FFF2-40B4-BE49-F238E27FC236}">
                  <a16:creationId xmlns:a16="http://schemas.microsoft.com/office/drawing/2014/main" xmlns="" id="{00000000-0008-0000-1200-00004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1483" name="Button 2635" hidden="1">
              <a:extLst>
                <a:ext uri="{63B3BB69-23CF-44E3-9099-C40C66FF867C}">
                  <a14:compatExt spid="_x0000_s81483"/>
                </a:ext>
                <a:ext uri="{FF2B5EF4-FFF2-40B4-BE49-F238E27FC236}">
                  <a16:creationId xmlns:a16="http://schemas.microsoft.com/office/drawing/2014/main" xmlns="" id="{00000000-0008-0000-1200-00004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1484" name="Button 2636" hidden="1">
              <a:extLst>
                <a:ext uri="{63B3BB69-23CF-44E3-9099-C40C66FF867C}">
                  <a14:compatExt spid="_x0000_s81484"/>
                </a:ext>
                <a:ext uri="{FF2B5EF4-FFF2-40B4-BE49-F238E27FC236}">
                  <a16:creationId xmlns:a16="http://schemas.microsoft.com/office/drawing/2014/main" xmlns="" id="{00000000-0008-0000-1200-00004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1485" name="Button 2637" hidden="1">
              <a:extLst>
                <a:ext uri="{63B3BB69-23CF-44E3-9099-C40C66FF867C}">
                  <a14:compatExt spid="_x0000_s81485"/>
                </a:ext>
                <a:ext uri="{FF2B5EF4-FFF2-40B4-BE49-F238E27FC236}">
                  <a16:creationId xmlns:a16="http://schemas.microsoft.com/office/drawing/2014/main" xmlns="" id="{00000000-0008-0000-1200-00004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1486" name="Button 2638" hidden="1">
              <a:extLst>
                <a:ext uri="{63B3BB69-23CF-44E3-9099-C40C66FF867C}">
                  <a14:compatExt spid="_x0000_s81486"/>
                </a:ext>
                <a:ext uri="{FF2B5EF4-FFF2-40B4-BE49-F238E27FC236}">
                  <a16:creationId xmlns:a16="http://schemas.microsoft.com/office/drawing/2014/main" xmlns="" id="{00000000-0008-0000-1200-00004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1487" name="Button 2639" hidden="1">
              <a:extLst>
                <a:ext uri="{63B3BB69-23CF-44E3-9099-C40C66FF867C}">
                  <a14:compatExt spid="_x0000_s81487"/>
                </a:ext>
                <a:ext uri="{FF2B5EF4-FFF2-40B4-BE49-F238E27FC236}">
                  <a16:creationId xmlns:a16="http://schemas.microsoft.com/office/drawing/2014/main" xmlns="" id="{00000000-0008-0000-1200-00004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1488" name="Button 2640" hidden="1">
              <a:extLst>
                <a:ext uri="{63B3BB69-23CF-44E3-9099-C40C66FF867C}">
                  <a14:compatExt spid="_x0000_s81488"/>
                </a:ext>
                <a:ext uri="{FF2B5EF4-FFF2-40B4-BE49-F238E27FC236}">
                  <a16:creationId xmlns:a16="http://schemas.microsoft.com/office/drawing/2014/main" xmlns="" id="{00000000-0008-0000-1200-00005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1489" name="Button 2641" hidden="1">
              <a:extLst>
                <a:ext uri="{63B3BB69-23CF-44E3-9099-C40C66FF867C}">
                  <a14:compatExt spid="_x0000_s81489"/>
                </a:ext>
                <a:ext uri="{FF2B5EF4-FFF2-40B4-BE49-F238E27FC236}">
                  <a16:creationId xmlns:a16="http://schemas.microsoft.com/office/drawing/2014/main" xmlns="" id="{00000000-0008-0000-1200-00005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1490" name="Button 2642" hidden="1">
              <a:extLst>
                <a:ext uri="{63B3BB69-23CF-44E3-9099-C40C66FF867C}">
                  <a14:compatExt spid="_x0000_s81490"/>
                </a:ext>
                <a:ext uri="{FF2B5EF4-FFF2-40B4-BE49-F238E27FC236}">
                  <a16:creationId xmlns:a16="http://schemas.microsoft.com/office/drawing/2014/main" xmlns="" id="{00000000-0008-0000-1200-00005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1491" name="Button 2643" hidden="1">
              <a:extLst>
                <a:ext uri="{63B3BB69-23CF-44E3-9099-C40C66FF867C}">
                  <a14:compatExt spid="_x0000_s81491"/>
                </a:ext>
                <a:ext uri="{FF2B5EF4-FFF2-40B4-BE49-F238E27FC236}">
                  <a16:creationId xmlns:a16="http://schemas.microsoft.com/office/drawing/2014/main" xmlns="" id="{00000000-0008-0000-1200-00005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1492" name="Button 2644" hidden="1">
              <a:extLst>
                <a:ext uri="{63B3BB69-23CF-44E3-9099-C40C66FF867C}">
                  <a14:compatExt spid="_x0000_s81492"/>
                </a:ext>
                <a:ext uri="{FF2B5EF4-FFF2-40B4-BE49-F238E27FC236}">
                  <a16:creationId xmlns:a16="http://schemas.microsoft.com/office/drawing/2014/main" xmlns="" id="{00000000-0008-0000-1200-00005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1493" name="Button 2645" hidden="1">
              <a:extLst>
                <a:ext uri="{63B3BB69-23CF-44E3-9099-C40C66FF867C}">
                  <a14:compatExt spid="_x0000_s81493"/>
                </a:ext>
                <a:ext uri="{FF2B5EF4-FFF2-40B4-BE49-F238E27FC236}">
                  <a16:creationId xmlns:a16="http://schemas.microsoft.com/office/drawing/2014/main" xmlns="" id="{00000000-0008-0000-1200-00005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1494" name="Button 2646" hidden="1">
              <a:extLst>
                <a:ext uri="{63B3BB69-23CF-44E3-9099-C40C66FF867C}">
                  <a14:compatExt spid="_x0000_s81494"/>
                </a:ext>
                <a:ext uri="{FF2B5EF4-FFF2-40B4-BE49-F238E27FC236}">
                  <a16:creationId xmlns:a16="http://schemas.microsoft.com/office/drawing/2014/main" xmlns="" id="{00000000-0008-0000-1200-00005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1495" name="Button 2647" hidden="1">
              <a:extLst>
                <a:ext uri="{63B3BB69-23CF-44E3-9099-C40C66FF867C}">
                  <a14:compatExt spid="_x0000_s81495"/>
                </a:ext>
                <a:ext uri="{FF2B5EF4-FFF2-40B4-BE49-F238E27FC236}">
                  <a16:creationId xmlns:a16="http://schemas.microsoft.com/office/drawing/2014/main" xmlns="" id="{00000000-0008-0000-1200-00005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1496" name="Button 2648" hidden="1">
              <a:extLst>
                <a:ext uri="{63B3BB69-23CF-44E3-9099-C40C66FF867C}">
                  <a14:compatExt spid="_x0000_s81496"/>
                </a:ext>
                <a:ext uri="{FF2B5EF4-FFF2-40B4-BE49-F238E27FC236}">
                  <a16:creationId xmlns:a16="http://schemas.microsoft.com/office/drawing/2014/main" xmlns="" id="{00000000-0008-0000-1200-00005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1497" name="Button 2649" hidden="1">
              <a:extLst>
                <a:ext uri="{63B3BB69-23CF-44E3-9099-C40C66FF867C}">
                  <a14:compatExt spid="_x0000_s81497"/>
                </a:ext>
                <a:ext uri="{FF2B5EF4-FFF2-40B4-BE49-F238E27FC236}">
                  <a16:creationId xmlns:a16="http://schemas.microsoft.com/office/drawing/2014/main" xmlns="" id="{00000000-0008-0000-1200-00005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1498" name="Button 2650" hidden="1">
              <a:extLst>
                <a:ext uri="{63B3BB69-23CF-44E3-9099-C40C66FF867C}">
                  <a14:compatExt spid="_x0000_s81498"/>
                </a:ext>
                <a:ext uri="{FF2B5EF4-FFF2-40B4-BE49-F238E27FC236}">
                  <a16:creationId xmlns:a16="http://schemas.microsoft.com/office/drawing/2014/main" xmlns="" id="{00000000-0008-0000-1200-00005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1499" name="Button 2651" hidden="1">
              <a:extLst>
                <a:ext uri="{63B3BB69-23CF-44E3-9099-C40C66FF867C}">
                  <a14:compatExt spid="_x0000_s81499"/>
                </a:ext>
                <a:ext uri="{FF2B5EF4-FFF2-40B4-BE49-F238E27FC236}">
                  <a16:creationId xmlns:a16="http://schemas.microsoft.com/office/drawing/2014/main" xmlns="" id="{00000000-0008-0000-1200-00005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1500" name="Button 2652" hidden="1">
              <a:extLst>
                <a:ext uri="{63B3BB69-23CF-44E3-9099-C40C66FF867C}">
                  <a14:compatExt spid="_x0000_s81500"/>
                </a:ext>
                <a:ext uri="{FF2B5EF4-FFF2-40B4-BE49-F238E27FC236}">
                  <a16:creationId xmlns:a16="http://schemas.microsoft.com/office/drawing/2014/main" xmlns="" id="{00000000-0008-0000-1200-00005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1501" name="Button 2653" hidden="1">
              <a:extLst>
                <a:ext uri="{63B3BB69-23CF-44E3-9099-C40C66FF867C}">
                  <a14:compatExt spid="_x0000_s81501"/>
                </a:ext>
                <a:ext uri="{FF2B5EF4-FFF2-40B4-BE49-F238E27FC236}">
                  <a16:creationId xmlns:a16="http://schemas.microsoft.com/office/drawing/2014/main" xmlns="" id="{00000000-0008-0000-1200-00005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1502" name="Button 2654" hidden="1">
              <a:extLst>
                <a:ext uri="{63B3BB69-23CF-44E3-9099-C40C66FF867C}">
                  <a14:compatExt spid="_x0000_s81502"/>
                </a:ext>
                <a:ext uri="{FF2B5EF4-FFF2-40B4-BE49-F238E27FC236}">
                  <a16:creationId xmlns:a16="http://schemas.microsoft.com/office/drawing/2014/main" xmlns="" id="{00000000-0008-0000-1200-00005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1503" name="Button 2655" hidden="1">
              <a:extLst>
                <a:ext uri="{63B3BB69-23CF-44E3-9099-C40C66FF867C}">
                  <a14:compatExt spid="_x0000_s81503"/>
                </a:ext>
                <a:ext uri="{FF2B5EF4-FFF2-40B4-BE49-F238E27FC236}">
                  <a16:creationId xmlns:a16="http://schemas.microsoft.com/office/drawing/2014/main" xmlns="" id="{00000000-0008-0000-1200-00005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1504" name="Button 2656" hidden="1">
              <a:extLst>
                <a:ext uri="{63B3BB69-23CF-44E3-9099-C40C66FF867C}">
                  <a14:compatExt spid="_x0000_s81504"/>
                </a:ext>
                <a:ext uri="{FF2B5EF4-FFF2-40B4-BE49-F238E27FC236}">
                  <a16:creationId xmlns:a16="http://schemas.microsoft.com/office/drawing/2014/main" xmlns="" id="{00000000-0008-0000-1200-00006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1505" name="Button 2657" hidden="1">
              <a:extLst>
                <a:ext uri="{63B3BB69-23CF-44E3-9099-C40C66FF867C}">
                  <a14:compatExt spid="_x0000_s81505"/>
                </a:ext>
                <a:ext uri="{FF2B5EF4-FFF2-40B4-BE49-F238E27FC236}">
                  <a16:creationId xmlns:a16="http://schemas.microsoft.com/office/drawing/2014/main" xmlns="" id="{00000000-0008-0000-1200-00006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1506" name="Button 2658" hidden="1">
              <a:extLst>
                <a:ext uri="{63B3BB69-23CF-44E3-9099-C40C66FF867C}">
                  <a14:compatExt spid="_x0000_s81506"/>
                </a:ext>
                <a:ext uri="{FF2B5EF4-FFF2-40B4-BE49-F238E27FC236}">
                  <a16:creationId xmlns:a16="http://schemas.microsoft.com/office/drawing/2014/main" xmlns="" id="{00000000-0008-0000-1200-00006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1507" name="Button 2659" hidden="1">
              <a:extLst>
                <a:ext uri="{63B3BB69-23CF-44E3-9099-C40C66FF867C}">
                  <a14:compatExt spid="_x0000_s81507"/>
                </a:ext>
                <a:ext uri="{FF2B5EF4-FFF2-40B4-BE49-F238E27FC236}">
                  <a16:creationId xmlns:a16="http://schemas.microsoft.com/office/drawing/2014/main" xmlns="" id="{00000000-0008-0000-1200-00006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1508" name="Button 2660" hidden="1">
              <a:extLst>
                <a:ext uri="{63B3BB69-23CF-44E3-9099-C40C66FF867C}">
                  <a14:compatExt spid="_x0000_s81508"/>
                </a:ext>
                <a:ext uri="{FF2B5EF4-FFF2-40B4-BE49-F238E27FC236}">
                  <a16:creationId xmlns:a16="http://schemas.microsoft.com/office/drawing/2014/main" xmlns="" id="{00000000-0008-0000-1200-00006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1509" name="Button 2661" hidden="1">
              <a:extLst>
                <a:ext uri="{63B3BB69-23CF-44E3-9099-C40C66FF867C}">
                  <a14:compatExt spid="_x0000_s81509"/>
                </a:ext>
                <a:ext uri="{FF2B5EF4-FFF2-40B4-BE49-F238E27FC236}">
                  <a16:creationId xmlns:a16="http://schemas.microsoft.com/office/drawing/2014/main" xmlns="" id="{00000000-0008-0000-1200-00006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1510" name="Button 2662" hidden="1">
              <a:extLst>
                <a:ext uri="{63B3BB69-23CF-44E3-9099-C40C66FF867C}">
                  <a14:compatExt spid="_x0000_s81510"/>
                </a:ext>
                <a:ext uri="{FF2B5EF4-FFF2-40B4-BE49-F238E27FC236}">
                  <a16:creationId xmlns:a16="http://schemas.microsoft.com/office/drawing/2014/main" xmlns="" id="{00000000-0008-0000-1200-00006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1511" name="Button 2663" hidden="1">
              <a:extLst>
                <a:ext uri="{63B3BB69-23CF-44E3-9099-C40C66FF867C}">
                  <a14:compatExt spid="_x0000_s81511"/>
                </a:ext>
                <a:ext uri="{FF2B5EF4-FFF2-40B4-BE49-F238E27FC236}">
                  <a16:creationId xmlns:a16="http://schemas.microsoft.com/office/drawing/2014/main" xmlns="" id="{00000000-0008-0000-1200-00006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1512" name="Button 2664" hidden="1">
              <a:extLst>
                <a:ext uri="{63B3BB69-23CF-44E3-9099-C40C66FF867C}">
                  <a14:compatExt spid="_x0000_s81512"/>
                </a:ext>
                <a:ext uri="{FF2B5EF4-FFF2-40B4-BE49-F238E27FC236}">
                  <a16:creationId xmlns:a16="http://schemas.microsoft.com/office/drawing/2014/main" xmlns="" id="{00000000-0008-0000-1200-00006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1513" name="Button 2665" hidden="1">
              <a:extLst>
                <a:ext uri="{63B3BB69-23CF-44E3-9099-C40C66FF867C}">
                  <a14:compatExt spid="_x0000_s81513"/>
                </a:ext>
                <a:ext uri="{FF2B5EF4-FFF2-40B4-BE49-F238E27FC236}">
                  <a16:creationId xmlns:a16="http://schemas.microsoft.com/office/drawing/2014/main" xmlns="" id="{00000000-0008-0000-1200-00006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1514" name="Button 2666" hidden="1">
              <a:extLst>
                <a:ext uri="{63B3BB69-23CF-44E3-9099-C40C66FF867C}">
                  <a14:compatExt spid="_x0000_s81514"/>
                </a:ext>
                <a:ext uri="{FF2B5EF4-FFF2-40B4-BE49-F238E27FC236}">
                  <a16:creationId xmlns:a16="http://schemas.microsoft.com/office/drawing/2014/main" xmlns="" id="{00000000-0008-0000-1200-00006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1515" name="Button 2667" hidden="1">
              <a:extLst>
                <a:ext uri="{63B3BB69-23CF-44E3-9099-C40C66FF867C}">
                  <a14:compatExt spid="_x0000_s81515"/>
                </a:ext>
                <a:ext uri="{FF2B5EF4-FFF2-40B4-BE49-F238E27FC236}">
                  <a16:creationId xmlns:a16="http://schemas.microsoft.com/office/drawing/2014/main" xmlns="" id="{00000000-0008-0000-1200-00006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1516" name="Button 2668" hidden="1">
              <a:extLst>
                <a:ext uri="{63B3BB69-23CF-44E3-9099-C40C66FF867C}">
                  <a14:compatExt spid="_x0000_s81516"/>
                </a:ext>
                <a:ext uri="{FF2B5EF4-FFF2-40B4-BE49-F238E27FC236}">
                  <a16:creationId xmlns:a16="http://schemas.microsoft.com/office/drawing/2014/main" xmlns="" id="{00000000-0008-0000-1200-00006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1517" name="Button 2669" hidden="1">
              <a:extLst>
                <a:ext uri="{63B3BB69-23CF-44E3-9099-C40C66FF867C}">
                  <a14:compatExt spid="_x0000_s81517"/>
                </a:ext>
                <a:ext uri="{FF2B5EF4-FFF2-40B4-BE49-F238E27FC236}">
                  <a16:creationId xmlns:a16="http://schemas.microsoft.com/office/drawing/2014/main" xmlns="" id="{00000000-0008-0000-1200-00006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1518" name="Button 2670" hidden="1">
              <a:extLst>
                <a:ext uri="{63B3BB69-23CF-44E3-9099-C40C66FF867C}">
                  <a14:compatExt spid="_x0000_s81518"/>
                </a:ext>
                <a:ext uri="{FF2B5EF4-FFF2-40B4-BE49-F238E27FC236}">
                  <a16:creationId xmlns:a16="http://schemas.microsoft.com/office/drawing/2014/main" xmlns="" id="{00000000-0008-0000-1200-00006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1519" name="Button 2671" hidden="1">
              <a:extLst>
                <a:ext uri="{63B3BB69-23CF-44E3-9099-C40C66FF867C}">
                  <a14:compatExt spid="_x0000_s81519"/>
                </a:ext>
                <a:ext uri="{FF2B5EF4-FFF2-40B4-BE49-F238E27FC236}">
                  <a16:creationId xmlns:a16="http://schemas.microsoft.com/office/drawing/2014/main" xmlns="" id="{00000000-0008-0000-1200-00006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1520" name="Button 2672" hidden="1">
              <a:extLst>
                <a:ext uri="{63B3BB69-23CF-44E3-9099-C40C66FF867C}">
                  <a14:compatExt spid="_x0000_s81520"/>
                </a:ext>
                <a:ext uri="{FF2B5EF4-FFF2-40B4-BE49-F238E27FC236}">
                  <a16:creationId xmlns:a16="http://schemas.microsoft.com/office/drawing/2014/main" xmlns="" id="{00000000-0008-0000-1200-00007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1521" name="Button 2673" hidden="1">
              <a:extLst>
                <a:ext uri="{63B3BB69-23CF-44E3-9099-C40C66FF867C}">
                  <a14:compatExt spid="_x0000_s81521"/>
                </a:ext>
                <a:ext uri="{FF2B5EF4-FFF2-40B4-BE49-F238E27FC236}">
                  <a16:creationId xmlns:a16="http://schemas.microsoft.com/office/drawing/2014/main" xmlns="" id="{00000000-0008-0000-1200-00007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1522" name="Button 2674" hidden="1">
              <a:extLst>
                <a:ext uri="{63B3BB69-23CF-44E3-9099-C40C66FF867C}">
                  <a14:compatExt spid="_x0000_s81522"/>
                </a:ext>
                <a:ext uri="{FF2B5EF4-FFF2-40B4-BE49-F238E27FC236}">
                  <a16:creationId xmlns:a16="http://schemas.microsoft.com/office/drawing/2014/main" xmlns="" id="{00000000-0008-0000-1200-00007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1523" name="Button 2675" hidden="1">
              <a:extLst>
                <a:ext uri="{63B3BB69-23CF-44E3-9099-C40C66FF867C}">
                  <a14:compatExt spid="_x0000_s81523"/>
                </a:ext>
                <a:ext uri="{FF2B5EF4-FFF2-40B4-BE49-F238E27FC236}">
                  <a16:creationId xmlns:a16="http://schemas.microsoft.com/office/drawing/2014/main" xmlns="" id="{00000000-0008-0000-1200-00007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1524" name="Button 2676" hidden="1">
              <a:extLst>
                <a:ext uri="{63B3BB69-23CF-44E3-9099-C40C66FF867C}">
                  <a14:compatExt spid="_x0000_s81524"/>
                </a:ext>
                <a:ext uri="{FF2B5EF4-FFF2-40B4-BE49-F238E27FC236}">
                  <a16:creationId xmlns:a16="http://schemas.microsoft.com/office/drawing/2014/main" xmlns="" id="{00000000-0008-0000-1200-00007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1525" name="Button 2677" hidden="1">
              <a:extLst>
                <a:ext uri="{63B3BB69-23CF-44E3-9099-C40C66FF867C}">
                  <a14:compatExt spid="_x0000_s81525"/>
                </a:ext>
                <a:ext uri="{FF2B5EF4-FFF2-40B4-BE49-F238E27FC236}">
                  <a16:creationId xmlns:a16="http://schemas.microsoft.com/office/drawing/2014/main" xmlns="" id="{00000000-0008-0000-1200-00007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1526" name="Button 2678" hidden="1">
              <a:extLst>
                <a:ext uri="{63B3BB69-23CF-44E3-9099-C40C66FF867C}">
                  <a14:compatExt spid="_x0000_s81526"/>
                </a:ext>
                <a:ext uri="{FF2B5EF4-FFF2-40B4-BE49-F238E27FC236}">
                  <a16:creationId xmlns:a16="http://schemas.microsoft.com/office/drawing/2014/main" xmlns="" id="{00000000-0008-0000-1200-00007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1527" name="Button 2679" hidden="1">
              <a:extLst>
                <a:ext uri="{63B3BB69-23CF-44E3-9099-C40C66FF867C}">
                  <a14:compatExt spid="_x0000_s81527"/>
                </a:ext>
                <a:ext uri="{FF2B5EF4-FFF2-40B4-BE49-F238E27FC236}">
                  <a16:creationId xmlns:a16="http://schemas.microsoft.com/office/drawing/2014/main" xmlns="" id="{00000000-0008-0000-1200-00007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1528" name="Button 2680" hidden="1">
              <a:extLst>
                <a:ext uri="{63B3BB69-23CF-44E3-9099-C40C66FF867C}">
                  <a14:compatExt spid="_x0000_s81528"/>
                </a:ext>
                <a:ext uri="{FF2B5EF4-FFF2-40B4-BE49-F238E27FC236}">
                  <a16:creationId xmlns:a16="http://schemas.microsoft.com/office/drawing/2014/main" xmlns="" id="{00000000-0008-0000-1200-00007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1529" name="Button 2681" hidden="1">
              <a:extLst>
                <a:ext uri="{63B3BB69-23CF-44E3-9099-C40C66FF867C}">
                  <a14:compatExt spid="_x0000_s81529"/>
                </a:ext>
                <a:ext uri="{FF2B5EF4-FFF2-40B4-BE49-F238E27FC236}">
                  <a16:creationId xmlns:a16="http://schemas.microsoft.com/office/drawing/2014/main" xmlns="" id="{00000000-0008-0000-1200-00007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1530" name="Button 2682" hidden="1">
              <a:extLst>
                <a:ext uri="{63B3BB69-23CF-44E3-9099-C40C66FF867C}">
                  <a14:compatExt spid="_x0000_s81530"/>
                </a:ext>
                <a:ext uri="{FF2B5EF4-FFF2-40B4-BE49-F238E27FC236}">
                  <a16:creationId xmlns:a16="http://schemas.microsoft.com/office/drawing/2014/main" xmlns="" id="{00000000-0008-0000-1200-00007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1531" name="Button 2683" hidden="1">
              <a:extLst>
                <a:ext uri="{63B3BB69-23CF-44E3-9099-C40C66FF867C}">
                  <a14:compatExt spid="_x0000_s81531"/>
                </a:ext>
                <a:ext uri="{FF2B5EF4-FFF2-40B4-BE49-F238E27FC236}">
                  <a16:creationId xmlns:a16="http://schemas.microsoft.com/office/drawing/2014/main" xmlns="" id="{00000000-0008-0000-1200-00007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1532" name="Button 2684" hidden="1">
              <a:extLst>
                <a:ext uri="{63B3BB69-23CF-44E3-9099-C40C66FF867C}">
                  <a14:compatExt spid="_x0000_s81532"/>
                </a:ext>
                <a:ext uri="{FF2B5EF4-FFF2-40B4-BE49-F238E27FC236}">
                  <a16:creationId xmlns:a16="http://schemas.microsoft.com/office/drawing/2014/main" xmlns="" id="{00000000-0008-0000-1200-00007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1533" name="Button 2685" hidden="1">
              <a:extLst>
                <a:ext uri="{63B3BB69-23CF-44E3-9099-C40C66FF867C}">
                  <a14:compatExt spid="_x0000_s81533"/>
                </a:ext>
                <a:ext uri="{FF2B5EF4-FFF2-40B4-BE49-F238E27FC236}">
                  <a16:creationId xmlns:a16="http://schemas.microsoft.com/office/drawing/2014/main" xmlns="" id="{00000000-0008-0000-1200-00007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1534" name="Button 2686" hidden="1">
              <a:extLst>
                <a:ext uri="{63B3BB69-23CF-44E3-9099-C40C66FF867C}">
                  <a14:compatExt spid="_x0000_s81534"/>
                </a:ext>
                <a:ext uri="{FF2B5EF4-FFF2-40B4-BE49-F238E27FC236}">
                  <a16:creationId xmlns:a16="http://schemas.microsoft.com/office/drawing/2014/main" xmlns="" id="{00000000-0008-0000-1200-00007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1535" name="Button 2687" hidden="1">
              <a:extLst>
                <a:ext uri="{63B3BB69-23CF-44E3-9099-C40C66FF867C}">
                  <a14:compatExt spid="_x0000_s81535"/>
                </a:ext>
                <a:ext uri="{FF2B5EF4-FFF2-40B4-BE49-F238E27FC236}">
                  <a16:creationId xmlns:a16="http://schemas.microsoft.com/office/drawing/2014/main" xmlns="" id="{00000000-0008-0000-1200-00007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1536" name="Button 2688" hidden="1">
              <a:extLst>
                <a:ext uri="{63B3BB69-23CF-44E3-9099-C40C66FF867C}">
                  <a14:compatExt spid="_x0000_s81536"/>
                </a:ext>
                <a:ext uri="{FF2B5EF4-FFF2-40B4-BE49-F238E27FC236}">
                  <a16:creationId xmlns:a16="http://schemas.microsoft.com/office/drawing/2014/main" xmlns="" id="{00000000-0008-0000-1200-00008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1537" name="Button 2689" hidden="1">
              <a:extLst>
                <a:ext uri="{63B3BB69-23CF-44E3-9099-C40C66FF867C}">
                  <a14:compatExt spid="_x0000_s81537"/>
                </a:ext>
                <a:ext uri="{FF2B5EF4-FFF2-40B4-BE49-F238E27FC236}">
                  <a16:creationId xmlns:a16="http://schemas.microsoft.com/office/drawing/2014/main" xmlns="" id="{00000000-0008-0000-1200-00008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1538" name="Button 2690" hidden="1">
              <a:extLst>
                <a:ext uri="{63B3BB69-23CF-44E3-9099-C40C66FF867C}">
                  <a14:compatExt spid="_x0000_s81538"/>
                </a:ext>
                <a:ext uri="{FF2B5EF4-FFF2-40B4-BE49-F238E27FC236}">
                  <a16:creationId xmlns:a16="http://schemas.microsoft.com/office/drawing/2014/main" xmlns="" id="{00000000-0008-0000-1200-00008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1539" name="Button 2691" hidden="1">
              <a:extLst>
                <a:ext uri="{63B3BB69-23CF-44E3-9099-C40C66FF867C}">
                  <a14:compatExt spid="_x0000_s81539"/>
                </a:ext>
                <a:ext uri="{FF2B5EF4-FFF2-40B4-BE49-F238E27FC236}">
                  <a16:creationId xmlns:a16="http://schemas.microsoft.com/office/drawing/2014/main" xmlns="" id="{00000000-0008-0000-1200-00008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1540" name="Button 2692" hidden="1">
              <a:extLst>
                <a:ext uri="{63B3BB69-23CF-44E3-9099-C40C66FF867C}">
                  <a14:compatExt spid="_x0000_s81540"/>
                </a:ext>
                <a:ext uri="{FF2B5EF4-FFF2-40B4-BE49-F238E27FC236}">
                  <a16:creationId xmlns:a16="http://schemas.microsoft.com/office/drawing/2014/main" xmlns="" id="{00000000-0008-0000-1200-00008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1541" name="Button 2693" hidden="1">
              <a:extLst>
                <a:ext uri="{63B3BB69-23CF-44E3-9099-C40C66FF867C}">
                  <a14:compatExt spid="_x0000_s81541"/>
                </a:ext>
                <a:ext uri="{FF2B5EF4-FFF2-40B4-BE49-F238E27FC236}">
                  <a16:creationId xmlns:a16="http://schemas.microsoft.com/office/drawing/2014/main" xmlns="" id="{00000000-0008-0000-1200-00008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1542" name="Button 2694" hidden="1">
              <a:extLst>
                <a:ext uri="{63B3BB69-23CF-44E3-9099-C40C66FF867C}">
                  <a14:compatExt spid="_x0000_s81542"/>
                </a:ext>
                <a:ext uri="{FF2B5EF4-FFF2-40B4-BE49-F238E27FC236}">
                  <a16:creationId xmlns:a16="http://schemas.microsoft.com/office/drawing/2014/main" xmlns="" id="{00000000-0008-0000-1200-00008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1543" name="Button 2695" hidden="1">
              <a:extLst>
                <a:ext uri="{63B3BB69-23CF-44E3-9099-C40C66FF867C}">
                  <a14:compatExt spid="_x0000_s81543"/>
                </a:ext>
                <a:ext uri="{FF2B5EF4-FFF2-40B4-BE49-F238E27FC236}">
                  <a16:creationId xmlns:a16="http://schemas.microsoft.com/office/drawing/2014/main" xmlns="" id="{00000000-0008-0000-1200-00008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1544" name="Button 2696" hidden="1">
              <a:extLst>
                <a:ext uri="{63B3BB69-23CF-44E3-9099-C40C66FF867C}">
                  <a14:compatExt spid="_x0000_s81544"/>
                </a:ext>
                <a:ext uri="{FF2B5EF4-FFF2-40B4-BE49-F238E27FC236}">
                  <a16:creationId xmlns:a16="http://schemas.microsoft.com/office/drawing/2014/main" xmlns="" id="{00000000-0008-0000-1200-00008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1545" name="Button 2697" hidden="1">
              <a:extLst>
                <a:ext uri="{63B3BB69-23CF-44E3-9099-C40C66FF867C}">
                  <a14:compatExt spid="_x0000_s81545"/>
                </a:ext>
                <a:ext uri="{FF2B5EF4-FFF2-40B4-BE49-F238E27FC236}">
                  <a16:creationId xmlns:a16="http://schemas.microsoft.com/office/drawing/2014/main" xmlns="" id="{00000000-0008-0000-1200-00008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1546" name="Button 2698" hidden="1">
              <a:extLst>
                <a:ext uri="{63B3BB69-23CF-44E3-9099-C40C66FF867C}">
                  <a14:compatExt spid="_x0000_s81546"/>
                </a:ext>
                <a:ext uri="{FF2B5EF4-FFF2-40B4-BE49-F238E27FC236}">
                  <a16:creationId xmlns:a16="http://schemas.microsoft.com/office/drawing/2014/main" xmlns="" id="{00000000-0008-0000-1200-00008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1547" name="Button 2699" hidden="1">
              <a:extLst>
                <a:ext uri="{63B3BB69-23CF-44E3-9099-C40C66FF867C}">
                  <a14:compatExt spid="_x0000_s81547"/>
                </a:ext>
                <a:ext uri="{FF2B5EF4-FFF2-40B4-BE49-F238E27FC236}">
                  <a16:creationId xmlns:a16="http://schemas.microsoft.com/office/drawing/2014/main" xmlns="" id="{00000000-0008-0000-1200-00008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1548" name="Button 2700" hidden="1">
              <a:extLst>
                <a:ext uri="{63B3BB69-23CF-44E3-9099-C40C66FF867C}">
                  <a14:compatExt spid="_x0000_s81548"/>
                </a:ext>
                <a:ext uri="{FF2B5EF4-FFF2-40B4-BE49-F238E27FC236}">
                  <a16:creationId xmlns:a16="http://schemas.microsoft.com/office/drawing/2014/main" xmlns="" id="{00000000-0008-0000-1200-00008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1549" name="Button 2701" hidden="1">
              <a:extLst>
                <a:ext uri="{63B3BB69-23CF-44E3-9099-C40C66FF867C}">
                  <a14:compatExt spid="_x0000_s81549"/>
                </a:ext>
                <a:ext uri="{FF2B5EF4-FFF2-40B4-BE49-F238E27FC236}">
                  <a16:creationId xmlns:a16="http://schemas.microsoft.com/office/drawing/2014/main" xmlns="" id="{00000000-0008-0000-1200-00008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1550" name="Button 2702" hidden="1">
              <a:extLst>
                <a:ext uri="{63B3BB69-23CF-44E3-9099-C40C66FF867C}">
                  <a14:compatExt spid="_x0000_s81550"/>
                </a:ext>
                <a:ext uri="{FF2B5EF4-FFF2-40B4-BE49-F238E27FC236}">
                  <a16:creationId xmlns:a16="http://schemas.microsoft.com/office/drawing/2014/main" xmlns="" id="{00000000-0008-0000-1200-00008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1551" name="Button 2703" hidden="1">
              <a:extLst>
                <a:ext uri="{63B3BB69-23CF-44E3-9099-C40C66FF867C}">
                  <a14:compatExt spid="_x0000_s81551"/>
                </a:ext>
                <a:ext uri="{FF2B5EF4-FFF2-40B4-BE49-F238E27FC236}">
                  <a16:creationId xmlns:a16="http://schemas.microsoft.com/office/drawing/2014/main" xmlns="" id="{00000000-0008-0000-1200-00008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1552" name="Button 2704" hidden="1">
              <a:extLst>
                <a:ext uri="{63B3BB69-23CF-44E3-9099-C40C66FF867C}">
                  <a14:compatExt spid="_x0000_s81552"/>
                </a:ext>
                <a:ext uri="{FF2B5EF4-FFF2-40B4-BE49-F238E27FC236}">
                  <a16:creationId xmlns:a16="http://schemas.microsoft.com/office/drawing/2014/main" xmlns="" id="{00000000-0008-0000-1200-00009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1553" name="Button 2705" hidden="1">
              <a:extLst>
                <a:ext uri="{63B3BB69-23CF-44E3-9099-C40C66FF867C}">
                  <a14:compatExt spid="_x0000_s81553"/>
                </a:ext>
                <a:ext uri="{FF2B5EF4-FFF2-40B4-BE49-F238E27FC236}">
                  <a16:creationId xmlns:a16="http://schemas.microsoft.com/office/drawing/2014/main" xmlns="" id="{00000000-0008-0000-1200-00009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1554" name="Button 2706" hidden="1">
              <a:extLst>
                <a:ext uri="{63B3BB69-23CF-44E3-9099-C40C66FF867C}">
                  <a14:compatExt spid="_x0000_s81554"/>
                </a:ext>
                <a:ext uri="{FF2B5EF4-FFF2-40B4-BE49-F238E27FC236}">
                  <a16:creationId xmlns:a16="http://schemas.microsoft.com/office/drawing/2014/main" xmlns="" id="{00000000-0008-0000-1200-00009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1555" name="Button 2707" hidden="1">
              <a:extLst>
                <a:ext uri="{63B3BB69-23CF-44E3-9099-C40C66FF867C}">
                  <a14:compatExt spid="_x0000_s81555"/>
                </a:ext>
                <a:ext uri="{FF2B5EF4-FFF2-40B4-BE49-F238E27FC236}">
                  <a16:creationId xmlns:a16="http://schemas.microsoft.com/office/drawing/2014/main" xmlns="" id="{00000000-0008-0000-1200-00009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1556" name="Button 2708" hidden="1">
              <a:extLst>
                <a:ext uri="{63B3BB69-23CF-44E3-9099-C40C66FF867C}">
                  <a14:compatExt spid="_x0000_s81556"/>
                </a:ext>
                <a:ext uri="{FF2B5EF4-FFF2-40B4-BE49-F238E27FC236}">
                  <a16:creationId xmlns:a16="http://schemas.microsoft.com/office/drawing/2014/main" xmlns="" id="{00000000-0008-0000-1200-00009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2479" name="Button 2607" hidden="1">
              <a:extLst>
                <a:ext uri="{63B3BB69-23CF-44E3-9099-C40C66FF867C}">
                  <a14:compatExt spid="_x0000_s82479"/>
                </a:ext>
                <a:ext uri="{FF2B5EF4-FFF2-40B4-BE49-F238E27FC236}">
                  <a16:creationId xmlns:a16="http://schemas.microsoft.com/office/drawing/2014/main" xmlns="" id="{00000000-0008-0000-1300-00002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2480" name="Button 2608" hidden="1">
              <a:extLst>
                <a:ext uri="{63B3BB69-23CF-44E3-9099-C40C66FF867C}">
                  <a14:compatExt spid="_x0000_s82480"/>
                </a:ext>
                <a:ext uri="{FF2B5EF4-FFF2-40B4-BE49-F238E27FC236}">
                  <a16:creationId xmlns:a16="http://schemas.microsoft.com/office/drawing/2014/main" xmlns="" id="{00000000-0008-0000-1300-00003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2481" name="Button 2609" hidden="1">
              <a:extLst>
                <a:ext uri="{63B3BB69-23CF-44E3-9099-C40C66FF867C}">
                  <a14:compatExt spid="_x0000_s82481"/>
                </a:ext>
                <a:ext uri="{FF2B5EF4-FFF2-40B4-BE49-F238E27FC236}">
                  <a16:creationId xmlns:a16="http://schemas.microsoft.com/office/drawing/2014/main" xmlns="" id="{00000000-0008-0000-1300-00003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2482" name="Button 2610" hidden="1">
              <a:extLst>
                <a:ext uri="{63B3BB69-23CF-44E3-9099-C40C66FF867C}">
                  <a14:compatExt spid="_x0000_s82482"/>
                </a:ext>
                <a:ext uri="{FF2B5EF4-FFF2-40B4-BE49-F238E27FC236}">
                  <a16:creationId xmlns:a16="http://schemas.microsoft.com/office/drawing/2014/main" xmlns="" id="{00000000-0008-0000-1300-00003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2483" name="Button 2611" hidden="1">
              <a:extLst>
                <a:ext uri="{63B3BB69-23CF-44E3-9099-C40C66FF867C}">
                  <a14:compatExt spid="_x0000_s82483"/>
                </a:ext>
                <a:ext uri="{FF2B5EF4-FFF2-40B4-BE49-F238E27FC236}">
                  <a16:creationId xmlns:a16="http://schemas.microsoft.com/office/drawing/2014/main" xmlns="" id="{00000000-0008-0000-1300-00003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2484" name="Button 2612" hidden="1">
              <a:extLst>
                <a:ext uri="{63B3BB69-23CF-44E3-9099-C40C66FF867C}">
                  <a14:compatExt spid="_x0000_s82484"/>
                </a:ext>
                <a:ext uri="{FF2B5EF4-FFF2-40B4-BE49-F238E27FC236}">
                  <a16:creationId xmlns:a16="http://schemas.microsoft.com/office/drawing/2014/main" xmlns="" id="{00000000-0008-0000-1300-00003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2485" name="Button 2613" hidden="1">
              <a:extLst>
                <a:ext uri="{63B3BB69-23CF-44E3-9099-C40C66FF867C}">
                  <a14:compatExt spid="_x0000_s82485"/>
                </a:ext>
                <a:ext uri="{FF2B5EF4-FFF2-40B4-BE49-F238E27FC236}">
                  <a16:creationId xmlns:a16="http://schemas.microsoft.com/office/drawing/2014/main" xmlns="" id="{00000000-0008-0000-1300-00003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2486" name="Button 2614" hidden="1">
              <a:extLst>
                <a:ext uri="{63B3BB69-23CF-44E3-9099-C40C66FF867C}">
                  <a14:compatExt spid="_x0000_s82486"/>
                </a:ext>
                <a:ext uri="{FF2B5EF4-FFF2-40B4-BE49-F238E27FC236}">
                  <a16:creationId xmlns:a16="http://schemas.microsoft.com/office/drawing/2014/main" xmlns="" id="{00000000-0008-0000-1300-00003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2487" name="Button 2615" hidden="1">
              <a:extLst>
                <a:ext uri="{63B3BB69-23CF-44E3-9099-C40C66FF867C}">
                  <a14:compatExt spid="_x0000_s82487"/>
                </a:ext>
                <a:ext uri="{FF2B5EF4-FFF2-40B4-BE49-F238E27FC236}">
                  <a16:creationId xmlns:a16="http://schemas.microsoft.com/office/drawing/2014/main" xmlns="" id="{00000000-0008-0000-1300-00003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2488" name="Button 2616" hidden="1">
              <a:extLst>
                <a:ext uri="{63B3BB69-23CF-44E3-9099-C40C66FF867C}">
                  <a14:compatExt spid="_x0000_s82488"/>
                </a:ext>
                <a:ext uri="{FF2B5EF4-FFF2-40B4-BE49-F238E27FC236}">
                  <a16:creationId xmlns:a16="http://schemas.microsoft.com/office/drawing/2014/main" xmlns="" id="{00000000-0008-0000-1300-00003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2489" name="Button 2617" hidden="1">
              <a:extLst>
                <a:ext uri="{63B3BB69-23CF-44E3-9099-C40C66FF867C}">
                  <a14:compatExt spid="_x0000_s82489"/>
                </a:ext>
                <a:ext uri="{FF2B5EF4-FFF2-40B4-BE49-F238E27FC236}">
                  <a16:creationId xmlns:a16="http://schemas.microsoft.com/office/drawing/2014/main" xmlns="" id="{00000000-0008-0000-1300-00003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2490" name="Button 2618" hidden="1">
              <a:extLst>
                <a:ext uri="{63B3BB69-23CF-44E3-9099-C40C66FF867C}">
                  <a14:compatExt spid="_x0000_s82490"/>
                </a:ext>
                <a:ext uri="{FF2B5EF4-FFF2-40B4-BE49-F238E27FC236}">
                  <a16:creationId xmlns:a16="http://schemas.microsoft.com/office/drawing/2014/main" xmlns="" id="{00000000-0008-0000-1300-00003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2491" name="Button 2619" hidden="1">
              <a:extLst>
                <a:ext uri="{63B3BB69-23CF-44E3-9099-C40C66FF867C}">
                  <a14:compatExt spid="_x0000_s82491"/>
                </a:ext>
                <a:ext uri="{FF2B5EF4-FFF2-40B4-BE49-F238E27FC236}">
                  <a16:creationId xmlns:a16="http://schemas.microsoft.com/office/drawing/2014/main" xmlns="" id="{00000000-0008-0000-1300-00003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2492" name="Button 2620" hidden="1">
              <a:extLst>
                <a:ext uri="{63B3BB69-23CF-44E3-9099-C40C66FF867C}">
                  <a14:compatExt spid="_x0000_s82492"/>
                </a:ext>
                <a:ext uri="{FF2B5EF4-FFF2-40B4-BE49-F238E27FC236}">
                  <a16:creationId xmlns:a16="http://schemas.microsoft.com/office/drawing/2014/main" xmlns="" id="{00000000-0008-0000-1300-00003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2493" name="Button 2621" hidden="1">
              <a:extLst>
                <a:ext uri="{63B3BB69-23CF-44E3-9099-C40C66FF867C}">
                  <a14:compatExt spid="_x0000_s82493"/>
                </a:ext>
                <a:ext uri="{FF2B5EF4-FFF2-40B4-BE49-F238E27FC236}">
                  <a16:creationId xmlns:a16="http://schemas.microsoft.com/office/drawing/2014/main" xmlns="" id="{00000000-0008-0000-1300-00003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2494" name="Button 2622" hidden="1">
              <a:extLst>
                <a:ext uri="{63B3BB69-23CF-44E3-9099-C40C66FF867C}">
                  <a14:compatExt spid="_x0000_s82494"/>
                </a:ext>
                <a:ext uri="{FF2B5EF4-FFF2-40B4-BE49-F238E27FC236}">
                  <a16:creationId xmlns:a16="http://schemas.microsoft.com/office/drawing/2014/main" xmlns="" id="{00000000-0008-0000-1300-00003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2495" name="Button 2623" hidden="1">
              <a:extLst>
                <a:ext uri="{63B3BB69-23CF-44E3-9099-C40C66FF867C}">
                  <a14:compatExt spid="_x0000_s82495"/>
                </a:ext>
                <a:ext uri="{FF2B5EF4-FFF2-40B4-BE49-F238E27FC236}">
                  <a16:creationId xmlns:a16="http://schemas.microsoft.com/office/drawing/2014/main" xmlns="" id="{00000000-0008-0000-1300-00003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2496" name="Button 2624" hidden="1">
              <a:extLst>
                <a:ext uri="{63B3BB69-23CF-44E3-9099-C40C66FF867C}">
                  <a14:compatExt spid="_x0000_s82496"/>
                </a:ext>
                <a:ext uri="{FF2B5EF4-FFF2-40B4-BE49-F238E27FC236}">
                  <a16:creationId xmlns:a16="http://schemas.microsoft.com/office/drawing/2014/main" xmlns="" id="{00000000-0008-0000-1300-00004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2497" name="Button 2625" hidden="1">
              <a:extLst>
                <a:ext uri="{63B3BB69-23CF-44E3-9099-C40C66FF867C}">
                  <a14:compatExt spid="_x0000_s82497"/>
                </a:ext>
                <a:ext uri="{FF2B5EF4-FFF2-40B4-BE49-F238E27FC236}">
                  <a16:creationId xmlns:a16="http://schemas.microsoft.com/office/drawing/2014/main" xmlns="" id="{00000000-0008-0000-1300-00004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2498" name="Button 2626" hidden="1">
              <a:extLst>
                <a:ext uri="{63B3BB69-23CF-44E3-9099-C40C66FF867C}">
                  <a14:compatExt spid="_x0000_s82498"/>
                </a:ext>
                <a:ext uri="{FF2B5EF4-FFF2-40B4-BE49-F238E27FC236}">
                  <a16:creationId xmlns:a16="http://schemas.microsoft.com/office/drawing/2014/main" xmlns="" id="{00000000-0008-0000-1300-00004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2499" name="Button 2627" hidden="1">
              <a:extLst>
                <a:ext uri="{63B3BB69-23CF-44E3-9099-C40C66FF867C}">
                  <a14:compatExt spid="_x0000_s82499"/>
                </a:ext>
                <a:ext uri="{FF2B5EF4-FFF2-40B4-BE49-F238E27FC236}">
                  <a16:creationId xmlns:a16="http://schemas.microsoft.com/office/drawing/2014/main" xmlns="" id="{00000000-0008-0000-1300-00004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2500" name="Button 2628" hidden="1">
              <a:extLst>
                <a:ext uri="{63B3BB69-23CF-44E3-9099-C40C66FF867C}">
                  <a14:compatExt spid="_x0000_s82500"/>
                </a:ext>
                <a:ext uri="{FF2B5EF4-FFF2-40B4-BE49-F238E27FC236}">
                  <a16:creationId xmlns:a16="http://schemas.microsoft.com/office/drawing/2014/main" xmlns="" id="{00000000-0008-0000-1300-00004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2501" name="Button 2629" hidden="1">
              <a:extLst>
                <a:ext uri="{63B3BB69-23CF-44E3-9099-C40C66FF867C}">
                  <a14:compatExt spid="_x0000_s82501"/>
                </a:ext>
                <a:ext uri="{FF2B5EF4-FFF2-40B4-BE49-F238E27FC236}">
                  <a16:creationId xmlns:a16="http://schemas.microsoft.com/office/drawing/2014/main" xmlns="" id="{00000000-0008-0000-1300-00004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2502" name="Button 2630" hidden="1">
              <a:extLst>
                <a:ext uri="{63B3BB69-23CF-44E3-9099-C40C66FF867C}">
                  <a14:compatExt spid="_x0000_s82502"/>
                </a:ext>
                <a:ext uri="{FF2B5EF4-FFF2-40B4-BE49-F238E27FC236}">
                  <a16:creationId xmlns:a16="http://schemas.microsoft.com/office/drawing/2014/main" xmlns="" id="{00000000-0008-0000-1300-00004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2503" name="Button 2631" hidden="1">
              <a:extLst>
                <a:ext uri="{63B3BB69-23CF-44E3-9099-C40C66FF867C}">
                  <a14:compatExt spid="_x0000_s82503"/>
                </a:ext>
                <a:ext uri="{FF2B5EF4-FFF2-40B4-BE49-F238E27FC236}">
                  <a16:creationId xmlns:a16="http://schemas.microsoft.com/office/drawing/2014/main" xmlns="" id="{00000000-0008-0000-1300-00004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2504" name="Button 2632" hidden="1">
              <a:extLst>
                <a:ext uri="{63B3BB69-23CF-44E3-9099-C40C66FF867C}">
                  <a14:compatExt spid="_x0000_s82504"/>
                </a:ext>
                <a:ext uri="{FF2B5EF4-FFF2-40B4-BE49-F238E27FC236}">
                  <a16:creationId xmlns:a16="http://schemas.microsoft.com/office/drawing/2014/main" xmlns="" id="{00000000-0008-0000-1300-00004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2505" name="Button 2633" hidden="1">
              <a:extLst>
                <a:ext uri="{63B3BB69-23CF-44E3-9099-C40C66FF867C}">
                  <a14:compatExt spid="_x0000_s82505"/>
                </a:ext>
                <a:ext uri="{FF2B5EF4-FFF2-40B4-BE49-F238E27FC236}">
                  <a16:creationId xmlns:a16="http://schemas.microsoft.com/office/drawing/2014/main" xmlns="" id="{00000000-0008-0000-1300-00004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2506" name="Button 2634" hidden="1">
              <a:extLst>
                <a:ext uri="{63B3BB69-23CF-44E3-9099-C40C66FF867C}">
                  <a14:compatExt spid="_x0000_s82506"/>
                </a:ext>
                <a:ext uri="{FF2B5EF4-FFF2-40B4-BE49-F238E27FC236}">
                  <a16:creationId xmlns:a16="http://schemas.microsoft.com/office/drawing/2014/main" xmlns="" id="{00000000-0008-0000-1300-00004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2507" name="Button 2635" hidden="1">
              <a:extLst>
                <a:ext uri="{63B3BB69-23CF-44E3-9099-C40C66FF867C}">
                  <a14:compatExt spid="_x0000_s82507"/>
                </a:ext>
                <a:ext uri="{FF2B5EF4-FFF2-40B4-BE49-F238E27FC236}">
                  <a16:creationId xmlns:a16="http://schemas.microsoft.com/office/drawing/2014/main" xmlns="" id="{00000000-0008-0000-1300-00004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2508" name="Button 2636" hidden="1">
              <a:extLst>
                <a:ext uri="{63B3BB69-23CF-44E3-9099-C40C66FF867C}">
                  <a14:compatExt spid="_x0000_s82508"/>
                </a:ext>
                <a:ext uri="{FF2B5EF4-FFF2-40B4-BE49-F238E27FC236}">
                  <a16:creationId xmlns:a16="http://schemas.microsoft.com/office/drawing/2014/main" xmlns="" id="{00000000-0008-0000-1300-00004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2509" name="Button 2637" hidden="1">
              <a:extLst>
                <a:ext uri="{63B3BB69-23CF-44E3-9099-C40C66FF867C}">
                  <a14:compatExt spid="_x0000_s82509"/>
                </a:ext>
                <a:ext uri="{FF2B5EF4-FFF2-40B4-BE49-F238E27FC236}">
                  <a16:creationId xmlns:a16="http://schemas.microsoft.com/office/drawing/2014/main" xmlns="" id="{00000000-0008-0000-1300-00004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2510" name="Button 2638" hidden="1">
              <a:extLst>
                <a:ext uri="{63B3BB69-23CF-44E3-9099-C40C66FF867C}">
                  <a14:compatExt spid="_x0000_s82510"/>
                </a:ext>
                <a:ext uri="{FF2B5EF4-FFF2-40B4-BE49-F238E27FC236}">
                  <a16:creationId xmlns:a16="http://schemas.microsoft.com/office/drawing/2014/main" xmlns="" id="{00000000-0008-0000-1300-00004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2511" name="Button 2639" hidden="1">
              <a:extLst>
                <a:ext uri="{63B3BB69-23CF-44E3-9099-C40C66FF867C}">
                  <a14:compatExt spid="_x0000_s82511"/>
                </a:ext>
                <a:ext uri="{FF2B5EF4-FFF2-40B4-BE49-F238E27FC236}">
                  <a16:creationId xmlns:a16="http://schemas.microsoft.com/office/drawing/2014/main" xmlns="" id="{00000000-0008-0000-1300-00004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2512" name="Button 2640" hidden="1">
              <a:extLst>
                <a:ext uri="{63B3BB69-23CF-44E3-9099-C40C66FF867C}">
                  <a14:compatExt spid="_x0000_s82512"/>
                </a:ext>
                <a:ext uri="{FF2B5EF4-FFF2-40B4-BE49-F238E27FC236}">
                  <a16:creationId xmlns:a16="http://schemas.microsoft.com/office/drawing/2014/main" xmlns="" id="{00000000-0008-0000-1300-00005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2513" name="Button 2641" hidden="1">
              <a:extLst>
                <a:ext uri="{63B3BB69-23CF-44E3-9099-C40C66FF867C}">
                  <a14:compatExt spid="_x0000_s82513"/>
                </a:ext>
                <a:ext uri="{FF2B5EF4-FFF2-40B4-BE49-F238E27FC236}">
                  <a16:creationId xmlns:a16="http://schemas.microsoft.com/office/drawing/2014/main" xmlns="" id="{00000000-0008-0000-1300-00005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2514" name="Button 2642" hidden="1">
              <a:extLst>
                <a:ext uri="{63B3BB69-23CF-44E3-9099-C40C66FF867C}">
                  <a14:compatExt spid="_x0000_s82514"/>
                </a:ext>
                <a:ext uri="{FF2B5EF4-FFF2-40B4-BE49-F238E27FC236}">
                  <a16:creationId xmlns:a16="http://schemas.microsoft.com/office/drawing/2014/main" xmlns="" id="{00000000-0008-0000-1300-00005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2515" name="Button 2643" hidden="1">
              <a:extLst>
                <a:ext uri="{63B3BB69-23CF-44E3-9099-C40C66FF867C}">
                  <a14:compatExt spid="_x0000_s82515"/>
                </a:ext>
                <a:ext uri="{FF2B5EF4-FFF2-40B4-BE49-F238E27FC236}">
                  <a16:creationId xmlns:a16="http://schemas.microsoft.com/office/drawing/2014/main" xmlns="" id="{00000000-0008-0000-1300-00005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2516" name="Button 2644" hidden="1">
              <a:extLst>
                <a:ext uri="{63B3BB69-23CF-44E3-9099-C40C66FF867C}">
                  <a14:compatExt spid="_x0000_s82516"/>
                </a:ext>
                <a:ext uri="{FF2B5EF4-FFF2-40B4-BE49-F238E27FC236}">
                  <a16:creationId xmlns:a16="http://schemas.microsoft.com/office/drawing/2014/main" xmlns="" id="{00000000-0008-0000-1300-00005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2517" name="Button 2645" hidden="1">
              <a:extLst>
                <a:ext uri="{63B3BB69-23CF-44E3-9099-C40C66FF867C}">
                  <a14:compatExt spid="_x0000_s82517"/>
                </a:ext>
                <a:ext uri="{FF2B5EF4-FFF2-40B4-BE49-F238E27FC236}">
                  <a16:creationId xmlns:a16="http://schemas.microsoft.com/office/drawing/2014/main" xmlns="" id="{00000000-0008-0000-1300-00005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2518" name="Button 2646" hidden="1">
              <a:extLst>
                <a:ext uri="{63B3BB69-23CF-44E3-9099-C40C66FF867C}">
                  <a14:compatExt spid="_x0000_s82518"/>
                </a:ext>
                <a:ext uri="{FF2B5EF4-FFF2-40B4-BE49-F238E27FC236}">
                  <a16:creationId xmlns:a16="http://schemas.microsoft.com/office/drawing/2014/main" xmlns="" id="{00000000-0008-0000-1300-00005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2519" name="Button 2647" hidden="1">
              <a:extLst>
                <a:ext uri="{63B3BB69-23CF-44E3-9099-C40C66FF867C}">
                  <a14:compatExt spid="_x0000_s82519"/>
                </a:ext>
                <a:ext uri="{FF2B5EF4-FFF2-40B4-BE49-F238E27FC236}">
                  <a16:creationId xmlns:a16="http://schemas.microsoft.com/office/drawing/2014/main" xmlns="" id="{00000000-0008-0000-1300-00005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2520" name="Button 2648" hidden="1">
              <a:extLst>
                <a:ext uri="{63B3BB69-23CF-44E3-9099-C40C66FF867C}">
                  <a14:compatExt spid="_x0000_s82520"/>
                </a:ext>
                <a:ext uri="{FF2B5EF4-FFF2-40B4-BE49-F238E27FC236}">
                  <a16:creationId xmlns:a16="http://schemas.microsoft.com/office/drawing/2014/main" xmlns="" id="{00000000-0008-0000-1300-00005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2521" name="Button 2649" hidden="1">
              <a:extLst>
                <a:ext uri="{63B3BB69-23CF-44E3-9099-C40C66FF867C}">
                  <a14:compatExt spid="_x0000_s82521"/>
                </a:ext>
                <a:ext uri="{FF2B5EF4-FFF2-40B4-BE49-F238E27FC236}">
                  <a16:creationId xmlns:a16="http://schemas.microsoft.com/office/drawing/2014/main" xmlns="" id="{00000000-0008-0000-1300-00005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2522" name="Button 2650" hidden="1">
              <a:extLst>
                <a:ext uri="{63B3BB69-23CF-44E3-9099-C40C66FF867C}">
                  <a14:compatExt spid="_x0000_s82522"/>
                </a:ext>
                <a:ext uri="{FF2B5EF4-FFF2-40B4-BE49-F238E27FC236}">
                  <a16:creationId xmlns:a16="http://schemas.microsoft.com/office/drawing/2014/main" xmlns="" id="{00000000-0008-0000-1300-00005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2523" name="Button 2651" hidden="1">
              <a:extLst>
                <a:ext uri="{63B3BB69-23CF-44E3-9099-C40C66FF867C}">
                  <a14:compatExt spid="_x0000_s82523"/>
                </a:ext>
                <a:ext uri="{FF2B5EF4-FFF2-40B4-BE49-F238E27FC236}">
                  <a16:creationId xmlns:a16="http://schemas.microsoft.com/office/drawing/2014/main" xmlns="" id="{00000000-0008-0000-1300-00005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2524" name="Button 2652" hidden="1">
              <a:extLst>
                <a:ext uri="{63B3BB69-23CF-44E3-9099-C40C66FF867C}">
                  <a14:compatExt spid="_x0000_s82524"/>
                </a:ext>
                <a:ext uri="{FF2B5EF4-FFF2-40B4-BE49-F238E27FC236}">
                  <a16:creationId xmlns:a16="http://schemas.microsoft.com/office/drawing/2014/main" xmlns="" id="{00000000-0008-0000-1300-00005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2525" name="Button 2653" hidden="1">
              <a:extLst>
                <a:ext uri="{63B3BB69-23CF-44E3-9099-C40C66FF867C}">
                  <a14:compatExt spid="_x0000_s82525"/>
                </a:ext>
                <a:ext uri="{FF2B5EF4-FFF2-40B4-BE49-F238E27FC236}">
                  <a16:creationId xmlns:a16="http://schemas.microsoft.com/office/drawing/2014/main" xmlns="" id="{00000000-0008-0000-1300-00005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2526" name="Button 2654" hidden="1">
              <a:extLst>
                <a:ext uri="{63B3BB69-23CF-44E3-9099-C40C66FF867C}">
                  <a14:compatExt spid="_x0000_s82526"/>
                </a:ext>
                <a:ext uri="{FF2B5EF4-FFF2-40B4-BE49-F238E27FC236}">
                  <a16:creationId xmlns:a16="http://schemas.microsoft.com/office/drawing/2014/main" xmlns="" id="{00000000-0008-0000-1300-00005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2527" name="Button 2655" hidden="1">
              <a:extLst>
                <a:ext uri="{63B3BB69-23CF-44E3-9099-C40C66FF867C}">
                  <a14:compatExt spid="_x0000_s82527"/>
                </a:ext>
                <a:ext uri="{FF2B5EF4-FFF2-40B4-BE49-F238E27FC236}">
                  <a16:creationId xmlns:a16="http://schemas.microsoft.com/office/drawing/2014/main" xmlns="" id="{00000000-0008-0000-1300-00005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2528" name="Button 2656" hidden="1">
              <a:extLst>
                <a:ext uri="{63B3BB69-23CF-44E3-9099-C40C66FF867C}">
                  <a14:compatExt spid="_x0000_s82528"/>
                </a:ext>
                <a:ext uri="{FF2B5EF4-FFF2-40B4-BE49-F238E27FC236}">
                  <a16:creationId xmlns:a16="http://schemas.microsoft.com/office/drawing/2014/main" xmlns="" id="{00000000-0008-0000-1300-00006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2529" name="Button 2657" hidden="1">
              <a:extLst>
                <a:ext uri="{63B3BB69-23CF-44E3-9099-C40C66FF867C}">
                  <a14:compatExt spid="_x0000_s82529"/>
                </a:ext>
                <a:ext uri="{FF2B5EF4-FFF2-40B4-BE49-F238E27FC236}">
                  <a16:creationId xmlns:a16="http://schemas.microsoft.com/office/drawing/2014/main" xmlns="" id="{00000000-0008-0000-1300-00006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2530" name="Button 2658" hidden="1">
              <a:extLst>
                <a:ext uri="{63B3BB69-23CF-44E3-9099-C40C66FF867C}">
                  <a14:compatExt spid="_x0000_s82530"/>
                </a:ext>
                <a:ext uri="{FF2B5EF4-FFF2-40B4-BE49-F238E27FC236}">
                  <a16:creationId xmlns:a16="http://schemas.microsoft.com/office/drawing/2014/main" xmlns="" id="{00000000-0008-0000-1300-00006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2531" name="Button 2659" hidden="1">
              <a:extLst>
                <a:ext uri="{63B3BB69-23CF-44E3-9099-C40C66FF867C}">
                  <a14:compatExt spid="_x0000_s82531"/>
                </a:ext>
                <a:ext uri="{FF2B5EF4-FFF2-40B4-BE49-F238E27FC236}">
                  <a16:creationId xmlns:a16="http://schemas.microsoft.com/office/drawing/2014/main" xmlns="" id="{00000000-0008-0000-1300-00006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2532" name="Button 2660" hidden="1">
              <a:extLst>
                <a:ext uri="{63B3BB69-23CF-44E3-9099-C40C66FF867C}">
                  <a14:compatExt spid="_x0000_s82532"/>
                </a:ext>
                <a:ext uri="{FF2B5EF4-FFF2-40B4-BE49-F238E27FC236}">
                  <a16:creationId xmlns:a16="http://schemas.microsoft.com/office/drawing/2014/main" xmlns="" id="{00000000-0008-0000-1300-00006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2533" name="Button 2661" hidden="1">
              <a:extLst>
                <a:ext uri="{63B3BB69-23CF-44E3-9099-C40C66FF867C}">
                  <a14:compatExt spid="_x0000_s82533"/>
                </a:ext>
                <a:ext uri="{FF2B5EF4-FFF2-40B4-BE49-F238E27FC236}">
                  <a16:creationId xmlns:a16="http://schemas.microsoft.com/office/drawing/2014/main" xmlns="" id="{00000000-0008-0000-1300-00006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2534" name="Button 2662" hidden="1">
              <a:extLst>
                <a:ext uri="{63B3BB69-23CF-44E3-9099-C40C66FF867C}">
                  <a14:compatExt spid="_x0000_s82534"/>
                </a:ext>
                <a:ext uri="{FF2B5EF4-FFF2-40B4-BE49-F238E27FC236}">
                  <a16:creationId xmlns:a16="http://schemas.microsoft.com/office/drawing/2014/main" xmlns="" id="{00000000-0008-0000-1300-00006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2535" name="Button 2663" hidden="1">
              <a:extLst>
                <a:ext uri="{63B3BB69-23CF-44E3-9099-C40C66FF867C}">
                  <a14:compatExt spid="_x0000_s82535"/>
                </a:ext>
                <a:ext uri="{FF2B5EF4-FFF2-40B4-BE49-F238E27FC236}">
                  <a16:creationId xmlns:a16="http://schemas.microsoft.com/office/drawing/2014/main" xmlns="" id="{00000000-0008-0000-1300-00006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2536" name="Button 2664" hidden="1">
              <a:extLst>
                <a:ext uri="{63B3BB69-23CF-44E3-9099-C40C66FF867C}">
                  <a14:compatExt spid="_x0000_s82536"/>
                </a:ext>
                <a:ext uri="{FF2B5EF4-FFF2-40B4-BE49-F238E27FC236}">
                  <a16:creationId xmlns:a16="http://schemas.microsoft.com/office/drawing/2014/main" xmlns="" id="{00000000-0008-0000-1300-00006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2537" name="Button 2665" hidden="1">
              <a:extLst>
                <a:ext uri="{63B3BB69-23CF-44E3-9099-C40C66FF867C}">
                  <a14:compatExt spid="_x0000_s82537"/>
                </a:ext>
                <a:ext uri="{FF2B5EF4-FFF2-40B4-BE49-F238E27FC236}">
                  <a16:creationId xmlns:a16="http://schemas.microsoft.com/office/drawing/2014/main" xmlns="" id="{00000000-0008-0000-1300-00006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2538" name="Button 2666" hidden="1">
              <a:extLst>
                <a:ext uri="{63B3BB69-23CF-44E3-9099-C40C66FF867C}">
                  <a14:compatExt spid="_x0000_s82538"/>
                </a:ext>
                <a:ext uri="{FF2B5EF4-FFF2-40B4-BE49-F238E27FC236}">
                  <a16:creationId xmlns:a16="http://schemas.microsoft.com/office/drawing/2014/main" xmlns="" id="{00000000-0008-0000-1300-00006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2539" name="Button 2667" hidden="1">
              <a:extLst>
                <a:ext uri="{63B3BB69-23CF-44E3-9099-C40C66FF867C}">
                  <a14:compatExt spid="_x0000_s82539"/>
                </a:ext>
                <a:ext uri="{FF2B5EF4-FFF2-40B4-BE49-F238E27FC236}">
                  <a16:creationId xmlns:a16="http://schemas.microsoft.com/office/drawing/2014/main" xmlns="" id="{00000000-0008-0000-1300-00006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2540" name="Button 2668" hidden="1">
              <a:extLst>
                <a:ext uri="{63B3BB69-23CF-44E3-9099-C40C66FF867C}">
                  <a14:compatExt spid="_x0000_s82540"/>
                </a:ext>
                <a:ext uri="{FF2B5EF4-FFF2-40B4-BE49-F238E27FC236}">
                  <a16:creationId xmlns:a16="http://schemas.microsoft.com/office/drawing/2014/main" xmlns="" id="{00000000-0008-0000-1300-00006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2541" name="Button 2669" hidden="1">
              <a:extLst>
                <a:ext uri="{63B3BB69-23CF-44E3-9099-C40C66FF867C}">
                  <a14:compatExt spid="_x0000_s82541"/>
                </a:ext>
                <a:ext uri="{FF2B5EF4-FFF2-40B4-BE49-F238E27FC236}">
                  <a16:creationId xmlns:a16="http://schemas.microsoft.com/office/drawing/2014/main" xmlns="" id="{00000000-0008-0000-1300-00006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2542" name="Button 2670" hidden="1">
              <a:extLst>
                <a:ext uri="{63B3BB69-23CF-44E3-9099-C40C66FF867C}">
                  <a14:compatExt spid="_x0000_s82542"/>
                </a:ext>
                <a:ext uri="{FF2B5EF4-FFF2-40B4-BE49-F238E27FC236}">
                  <a16:creationId xmlns:a16="http://schemas.microsoft.com/office/drawing/2014/main" xmlns="" id="{00000000-0008-0000-1300-00006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2543" name="Button 2671" hidden="1">
              <a:extLst>
                <a:ext uri="{63B3BB69-23CF-44E3-9099-C40C66FF867C}">
                  <a14:compatExt spid="_x0000_s82543"/>
                </a:ext>
                <a:ext uri="{FF2B5EF4-FFF2-40B4-BE49-F238E27FC236}">
                  <a16:creationId xmlns:a16="http://schemas.microsoft.com/office/drawing/2014/main" xmlns="" id="{00000000-0008-0000-1300-00006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2544" name="Button 2672" hidden="1">
              <a:extLst>
                <a:ext uri="{63B3BB69-23CF-44E3-9099-C40C66FF867C}">
                  <a14:compatExt spid="_x0000_s82544"/>
                </a:ext>
                <a:ext uri="{FF2B5EF4-FFF2-40B4-BE49-F238E27FC236}">
                  <a16:creationId xmlns:a16="http://schemas.microsoft.com/office/drawing/2014/main" xmlns="" id="{00000000-0008-0000-1300-00007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2545" name="Button 2673" hidden="1">
              <a:extLst>
                <a:ext uri="{63B3BB69-23CF-44E3-9099-C40C66FF867C}">
                  <a14:compatExt spid="_x0000_s82545"/>
                </a:ext>
                <a:ext uri="{FF2B5EF4-FFF2-40B4-BE49-F238E27FC236}">
                  <a16:creationId xmlns:a16="http://schemas.microsoft.com/office/drawing/2014/main" xmlns="" id="{00000000-0008-0000-1300-00007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2546" name="Button 2674" hidden="1">
              <a:extLst>
                <a:ext uri="{63B3BB69-23CF-44E3-9099-C40C66FF867C}">
                  <a14:compatExt spid="_x0000_s82546"/>
                </a:ext>
                <a:ext uri="{FF2B5EF4-FFF2-40B4-BE49-F238E27FC236}">
                  <a16:creationId xmlns:a16="http://schemas.microsoft.com/office/drawing/2014/main" xmlns="" id="{00000000-0008-0000-1300-00007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2547" name="Button 2675" hidden="1">
              <a:extLst>
                <a:ext uri="{63B3BB69-23CF-44E3-9099-C40C66FF867C}">
                  <a14:compatExt spid="_x0000_s82547"/>
                </a:ext>
                <a:ext uri="{FF2B5EF4-FFF2-40B4-BE49-F238E27FC236}">
                  <a16:creationId xmlns:a16="http://schemas.microsoft.com/office/drawing/2014/main" xmlns="" id="{00000000-0008-0000-1300-00007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2548" name="Button 2676" hidden="1">
              <a:extLst>
                <a:ext uri="{63B3BB69-23CF-44E3-9099-C40C66FF867C}">
                  <a14:compatExt spid="_x0000_s82548"/>
                </a:ext>
                <a:ext uri="{FF2B5EF4-FFF2-40B4-BE49-F238E27FC236}">
                  <a16:creationId xmlns:a16="http://schemas.microsoft.com/office/drawing/2014/main" xmlns="" id="{00000000-0008-0000-1300-00007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2549" name="Button 2677" hidden="1">
              <a:extLst>
                <a:ext uri="{63B3BB69-23CF-44E3-9099-C40C66FF867C}">
                  <a14:compatExt spid="_x0000_s82549"/>
                </a:ext>
                <a:ext uri="{FF2B5EF4-FFF2-40B4-BE49-F238E27FC236}">
                  <a16:creationId xmlns:a16="http://schemas.microsoft.com/office/drawing/2014/main" xmlns="" id="{00000000-0008-0000-1300-00007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2550" name="Button 2678" hidden="1">
              <a:extLst>
                <a:ext uri="{63B3BB69-23CF-44E3-9099-C40C66FF867C}">
                  <a14:compatExt spid="_x0000_s82550"/>
                </a:ext>
                <a:ext uri="{FF2B5EF4-FFF2-40B4-BE49-F238E27FC236}">
                  <a16:creationId xmlns:a16="http://schemas.microsoft.com/office/drawing/2014/main" xmlns="" id="{00000000-0008-0000-1300-00007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2551" name="Button 2679" hidden="1">
              <a:extLst>
                <a:ext uri="{63B3BB69-23CF-44E3-9099-C40C66FF867C}">
                  <a14:compatExt spid="_x0000_s82551"/>
                </a:ext>
                <a:ext uri="{FF2B5EF4-FFF2-40B4-BE49-F238E27FC236}">
                  <a16:creationId xmlns:a16="http://schemas.microsoft.com/office/drawing/2014/main" xmlns="" id="{00000000-0008-0000-1300-00007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2552" name="Button 2680" hidden="1">
              <a:extLst>
                <a:ext uri="{63B3BB69-23CF-44E3-9099-C40C66FF867C}">
                  <a14:compatExt spid="_x0000_s82552"/>
                </a:ext>
                <a:ext uri="{FF2B5EF4-FFF2-40B4-BE49-F238E27FC236}">
                  <a16:creationId xmlns:a16="http://schemas.microsoft.com/office/drawing/2014/main" xmlns="" id="{00000000-0008-0000-1300-00007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2553" name="Button 2681" hidden="1">
              <a:extLst>
                <a:ext uri="{63B3BB69-23CF-44E3-9099-C40C66FF867C}">
                  <a14:compatExt spid="_x0000_s82553"/>
                </a:ext>
                <a:ext uri="{FF2B5EF4-FFF2-40B4-BE49-F238E27FC236}">
                  <a16:creationId xmlns:a16="http://schemas.microsoft.com/office/drawing/2014/main" xmlns="" id="{00000000-0008-0000-1300-00007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2554" name="Button 2682" hidden="1">
              <a:extLst>
                <a:ext uri="{63B3BB69-23CF-44E3-9099-C40C66FF867C}">
                  <a14:compatExt spid="_x0000_s82554"/>
                </a:ext>
                <a:ext uri="{FF2B5EF4-FFF2-40B4-BE49-F238E27FC236}">
                  <a16:creationId xmlns:a16="http://schemas.microsoft.com/office/drawing/2014/main" xmlns="" id="{00000000-0008-0000-1300-00007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2555" name="Button 2683" hidden="1">
              <a:extLst>
                <a:ext uri="{63B3BB69-23CF-44E3-9099-C40C66FF867C}">
                  <a14:compatExt spid="_x0000_s82555"/>
                </a:ext>
                <a:ext uri="{FF2B5EF4-FFF2-40B4-BE49-F238E27FC236}">
                  <a16:creationId xmlns:a16="http://schemas.microsoft.com/office/drawing/2014/main" xmlns="" id="{00000000-0008-0000-1300-00007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2556" name="Button 2684" hidden="1">
              <a:extLst>
                <a:ext uri="{63B3BB69-23CF-44E3-9099-C40C66FF867C}">
                  <a14:compatExt spid="_x0000_s82556"/>
                </a:ext>
                <a:ext uri="{FF2B5EF4-FFF2-40B4-BE49-F238E27FC236}">
                  <a16:creationId xmlns:a16="http://schemas.microsoft.com/office/drawing/2014/main" xmlns="" id="{00000000-0008-0000-1300-00007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2557" name="Button 2685" hidden="1">
              <a:extLst>
                <a:ext uri="{63B3BB69-23CF-44E3-9099-C40C66FF867C}">
                  <a14:compatExt spid="_x0000_s82557"/>
                </a:ext>
                <a:ext uri="{FF2B5EF4-FFF2-40B4-BE49-F238E27FC236}">
                  <a16:creationId xmlns:a16="http://schemas.microsoft.com/office/drawing/2014/main" xmlns="" id="{00000000-0008-0000-1300-00007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2558" name="Button 2686" hidden="1">
              <a:extLst>
                <a:ext uri="{63B3BB69-23CF-44E3-9099-C40C66FF867C}">
                  <a14:compatExt spid="_x0000_s82558"/>
                </a:ext>
                <a:ext uri="{FF2B5EF4-FFF2-40B4-BE49-F238E27FC236}">
                  <a16:creationId xmlns:a16="http://schemas.microsoft.com/office/drawing/2014/main" xmlns="" id="{00000000-0008-0000-1300-00007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2559" name="Button 2687" hidden="1">
              <a:extLst>
                <a:ext uri="{63B3BB69-23CF-44E3-9099-C40C66FF867C}">
                  <a14:compatExt spid="_x0000_s82559"/>
                </a:ext>
                <a:ext uri="{FF2B5EF4-FFF2-40B4-BE49-F238E27FC236}">
                  <a16:creationId xmlns:a16="http://schemas.microsoft.com/office/drawing/2014/main" xmlns="" id="{00000000-0008-0000-1300-00007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2560" name="Button 2688" hidden="1">
              <a:extLst>
                <a:ext uri="{63B3BB69-23CF-44E3-9099-C40C66FF867C}">
                  <a14:compatExt spid="_x0000_s82560"/>
                </a:ext>
                <a:ext uri="{FF2B5EF4-FFF2-40B4-BE49-F238E27FC236}">
                  <a16:creationId xmlns:a16="http://schemas.microsoft.com/office/drawing/2014/main" xmlns="" id="{00000000-0008-0000-1300-00008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2561" name="Button 2689" hidden="1">
              <a:extLst>
                <a:ext uri="{63B3BB69-23CF-44E3-9099-C40C66FF867C}">
                  <a14:compatExt spid="_x0000_s82561"/>
                </a:ext>
                <a:ext uri="{FF2B5EF4-FFF2-40B4-BE49-F238E27FC236}">
                  <a16:creationId xmlns:a16="http://schemas.microsoft.com/office/drawing/2014/main" xmlns="" id="{00000000-0008-0000-1300-00008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2562" name="Button 2690" hidden="1">
              <a:extLst>
                <a:ext uri="{63B3BB69-23CF-44E3-9099-C40C66FF867C}">
                  <a14:compatExt spid="_x0000_s82562"/>
                </a:ext>
                <a:ext uri="{FF2B5EF4-FFF2-40B4-BE49-F238E27FC236}">
                  <a16:creationId xmlns:a16="http://schemas.microsoft.com/office/drawing/2014/main" xmlns="" id="{00000000-0008-0000-1300-00008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2563" name="Button 2691" hidden="1">
              <a:extLst>
                <a:ext uri="{63B3BB69-23CF-44E3-9099-C40C66FF867C}">
                  <a14:compatExt spid="_x0000_s82563"/>
                </a:ext>
                <a:ext uri="{FF2B5EF4-FFF2-40B4-BE49-F238E27FC236}">
                  <a16:creationId xmlns:a16="http://schemas.microsoft.com/office/drawing/2014/main" xmlns="" id="{00000000-0008-0000-1300-00008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2564" name="Button 2692" hidden="1">
              <a:extLst>
                <a:ext uri="{63B3BB69-23CF-44E3-9099-C40C66FF867C}">
                  <a14:compatExt spid="_x0000_s82564"/>
                </a:ext>
                <a:ext uri="{FF2B5EF4-FFF2-40B4-BE49-F238E27FC236}">
                  <a16:creationId xmlns:a16="http://schemas.microsoft.com/office/drawing/2014/main" xmlns="" id="{00000000-0008-0000-1300-00008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2565" name="Button 2693" hidden="1">
              <a:extLst>
                <a:ext uri="{63B3BB69-23CF-44E3-9099-C40C66FF867C}">
                  <a14:compatExt spid="_x0000_s82565"/>
                </a:ext>
                <a:ext uri="{FF2B5EF4-FFF2-40B4-BE49-F238E27FC236}">
                  <a16:creationId xmlns:a16="http://schemas.microsoft.com/office/drawing/2014/main" xmlns="" id="{00000000-0008-0000-1300-00008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2566" name="Button 2694" hidden="1">
              <a:extLst>
                <a:ext uri="{63B3BB69-23CF-44E3-9099-C40C66FF867C}">
                  <a14:compatExt spid="_x0000_s82566"/>
                </a:ext>
                <a:ext uri="{FF2B5EF4-FFF2-40B4-BE49-F238E27FC236}">
                  <a16:creationId xmlns:a16="http://schemas.microsoft.com/office/drawing/2014/main" xmlns="" id="{00000000-0008-0000-1300-00008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2567" name="Button 2695" hidden="1">
              <a:extLst>
                <a:ext uri="{63B3BB69-23CF-44E3-9099-C40C66FF867C}">
                  <a14:compatExt spid="_x0000_s82567"/>
                </a:ext>
                <a:ext uri="{FF2B5EF4-FFF2-40B4-BE49-F238E27FC236}">
                  <a16:creationId xmlns:a16="http://schemas.microsoft.com/office/drawing/2014/main" xmlns="" id="{00000000-0008-0000-1300-00008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2568" name="Button 2696" hidden="1">
              <a:extLst>
                <a:ext uri="{63B3BB69-23CF-44E3-9099-C40C66FF867C}">
                  <a14:compatExt spid="_x0000_s82568"/>
                </a:ext>
                <a:ext uri="{FF2B5EF4-FFF2-40B4-BE49-F238E27FC236}">
                  <a16:creationId xmlns:a16="http://schemas.microsoft.com/office/drawing/2014/main" xmlns="" id="{00000000-0008-0000-1300-00008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2569" name="Button 2697" hidden="1">
              <a:extLst>
                <a:ext uri="{63B3BB69-23CF-44E3-9099-C40C66FF867C}">
                  <a14:compatExt spid="_x0000_s82569"/>
                </a:ext>
                <a:ext uri="{FF2B5EF4-FFF2-40B4-BE49-F238E27FC236}">
                  <a16:creationId xmlns:a16="http://schemas.microsoft.com/office/drawing/2014/main" xmlns="" id="{00000000-0008-0000-1300-00008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2570" name="Button 2698" hidden="1">
              <a:extLst>
                <a:ext uri="{63B3BB69-23CF-44E3-9099-C40C66FF867C}">
                  <a14:compatExt spid="_x0000_s82570"/>
                </a:ext>
                <a:ext uri="{FF2B5EF4-FFF2-40B4-BE49-F238E27FC236}">
                  <a16:creationId xmlns:a16="http://schemas.microsoft.com/office/drawing/2014/main" xmlns="" id="{00000000-0008-0000-1300-00008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2571" name="Button 2699" hidden="1">
              <a:extLst>
                <a:ext uri="{63B3BB69-23CF-44E3-9099-C40C66FF867C}">
                  <a14:compatExt spid="_x0000_s82571"/>
                </a:ext>
                <a:ext uri="{FF2B5EF4-FFF2-40B4-BE49-F238E27FC236}">
                  <a16:creationId xmlns:a16="http://schemas.microsoft.com/office/drawing/2014/main" xmlns="" id="{00000000-0008-0000-1300-00008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2572" name="Button 2700" hidden="1">
              <a:extLst>
                <a:ext uri="{63B3BB69-23CF-44E3-9099-C40C66FF867C}">
                  <a14:compatExt spid="_x0000_s82572"/>
                </a:ext>
                <a:ext uri="{FF2B5EF4-FFF2-40B4-BE49-F238E27FC236}">
                  <a16:creationId xmlns:a16="http://schemas.microsoft.com/office/drawing/2014/main" xmlns="" id="{00000000-0008-0000-1300-00008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2573" name="Button 2701" hidden="1">
              <a:extLst>
                <a:ext uri="{63B3BB69-23CF-44E3-9099-C40C66FF867C}">
                  <a14:compatExt spid="_x0000_s82573"/>
                </a:ext>
                <a:ext uri="{FF2B5EF4-FFF2-40B4-BE49-F238E27FC236}">
                  <a16:creationId xmlns:a16="http://schemas.microsoft.com/office/drawing/2014/main" xmlns="" id="{00000000-0008-0000-1300-00008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2574" name="Button 2702" hidden="1">
              <a:extLst>
                <a:ext uri="{63B3BB69-23CF-44E3-9099-C40C66FF867C}">
                  <a14:compatExt spid="_x0000_s82574"/>
                </a:ext>
                <a:ext uri="{FF2B5EF4-FFF2-40B4-BE49-F238E27FC236}">
                  <a16:creationId xmlns:a16="http://schemas.microsoft.com/office/drawing/2014/main" xmlns="" id="{00000000-0008-0000-1300-00008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2575" name="Button 2703" hidden="1">
              <a:extLst>
                <a:ext uri="{63B3BB69-23CF-44E3-9099-C40C66FF867C}">
                  <a14:compatExt spid="_x0000_s82575"/>
                </a:ext>
                <a:ext uri="{FF2B5EF4-FFF2-40B4-BE49-F238E27FC236}">
                  <a16:creationId xmlns:a16="http://schemas.microsoft.com/office/drawing/2014/main" xmlns="" id="{00000000-0008-0000-1300-00008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2576" name="Button 2704" hidden="1">
              <a:extLst>
                <a:ext uri="{63B3BB69-23CF-44E3-9099-C40C66FF867C}">
                  <a14:compatExt spid="_x0000_s82576"/>
                </a:ext>
                <a:ext uri="{FF2B5EF4-FFF2-40B4-BE49-F238E27FC236}">
                  <a16:creationId xmlns:a16="http://schemas.microsoft.com/office/drawing/2014/main" xmlns="" id="{00000000-0008-0000-1300-00009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2577" name="Button 2705" hidden="1">
              <a:extLst>
                <a:ext uri="{63B3BB69-23CF-44E3-9099-C40C66FF867C}">
                  <a14:compatExt spid="_x0000_s82577"/>
                </a:ext>
                <a:ext uri="{FF2B5EF4-FFF2-40B4-BE49-F238E27FC236}">
                  <a16:creationId xmlns:a16="http://schemas.microsoft.com/office/drawing/2014/main" xmlns="" id="{00000000-0008-0000-1300-00009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2578" name="Button 2706" hidden="1">
              <a:extLst>
                <a:ext uri="{63B3BB69-23CF-44E3-9099-C40C66FF867C}">
                  <a14:compatExt spid="_x0000_s82578"/>
                </a:ext>
                <a:ext uri="{FF2B5EF4-FFF2-40B4-BE49-F238E27FC236}">
                  <a16:creationId xmlns:a16="http://schemas.microsoft.com/office/drawing/2014/main" xmlns="" id="{00000000-0008-0000-1300-00009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3506" name="Button 2610" hidden="1">
              <a:extLst>
                <a:ext uri="{63B3BB69-23CF-44E3-9099-C40C66FF867C}">
                  <a14:compatExt spid="_x0000_s83506"/>
                </a:ext>
                <a:ext uri="{FF2B5EF4-FFF2-40B4-BE49-F238E27FC236}">
                  <a16:creationId xmlns:a16="http://schemas.microsoft.com/office/drawing/2014/main" xmlns="" id="{00000000-0008-0000-1400-00003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3507" name="Button 2611" hidden="1">
              <a:extLst>
                <a:ext uri="{63B3BB69-23CF-44E3-9099-C40C66FF867C}">
                  <a14:compatExt spid="_x0000_s83507"/>
                </a:ext>
                <a:ext uri="{FF2B5EF4-FFF2-40B4-BE49-F238E27FC236}">
                  <a16:creationId xmlns:a16="http://schemas.microsoft.com/office/drawing/2014/main" xmlns="" id="{00000000-0008-0000-1400-00003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3508" name="Button 2612" hidden="1">
              <a:extLst>
                <a:ext uri="{63B3BB69-23CF-44E3-9099-C40C66FF867C}">
                  <a14:compatExt spid="_x0000_s83508"/>
                </a:ext>
                <a:ext uri="{FF2B5EF4-FFF2-40B4-BE49-F238E27FC236}">
                  <a16:creationId xmlns:a16="http://schemas.microsoft.com/office/drawing/2014/main" xmlns="" id="{00000000-0008-0000-1400-00003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3509" name="Button 2613" hidden="1">
              <a:extLst>
                <a:ext uri="{63B3BB69-23CF-44E3-9099-C40C66FF867C}">
                  <a14:compatExt spid="_x0000_s83509"/>
                </a:ext>
                <a:ext uri="{FF2B5EF4-FFF2-40B4-BE49-F238E27FC236}">
                  <a16:creationId xmlns:a16="http://schemas.microsoft.com/office/drawing/2014/main" xmlns="" id="{00000000-0008-0000-1400-00003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3510" name="Button 2614" hidden="1">
              <a:extLst>
                <a:ext uri="{63B3BB69-23CF-44E3-9099-C40C66FF867C}">
                  <a14:compatExt spid="_x0000_s83510"/>
                </a:ext>
                <a:ext uri="{FF2B5EF4-FFF2-40B4-BE49-F238E27FC236}">
                  <a16:creationId xmlns:a16="http://schemas.microsoft.com/office/drawing/2014/main" xmlns="" id="{00000000-0008-0000-1400-00003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3511" name="Button 2615" hidden="1">
              <a:extLst>
                <a:ext uri="{63B3BB69-23CF-44E3-9099-C40C66FF867C}">
                  <a14:compatExt spid="_x0000_s83511"/>
                </a:ext>
                <a:ext uri="{FF2B5EF4-FFF2-40B4-BE49-F238E27FC236}">
                  <a16:creationId xmlns:a16="http://schemas.microsoft.com/office/drawing/2014/main" xmlns="" id="{00000000-0008-0000-1400-00003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3512" name="Button 2616" hidden="1">
              <a:extLst>
                <a:ext uri="{63B3BB69-23CF-44E3-9099-C40C66FF867C}">
                  <a14:compatExt spid="_x0000_s83512"/>
                </a:ext>
                <a:ext uri="{FF2B5EF4-FFF2-40B4-BE49-F238E27FC236}">
                  <a16:creationId xmlns:a16="http://schemas.microsoft.com/office/drawing/2014/main" xmlns="" id="{00000000-0008-0000-1400-00003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3513" name="Button 2617" hidden="1">
              <a:extLst>
                <a:ext uri="{63B3BB69-23CF-44E3-9099-C40C66FF867C}">
                  <a14:compatExt spid="_x0000_s83513"/>
                </a:ext>
                <a:ext uri="{FF2B5EF4-FFF2-40B4-BE49-F238E27FC236}">
                  <a16:creationId xmlns:a16="http://schemas.microsoft.com/office/drawing/2014/main" xmlns="" id="{00000000-0008-0000-1400-00003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3514" name="Button 2618" hidden="1">
              <a:extLst>
                <a:ext uri="{63B3BB69-23CF-44E3-9099-C40C66FF867C}">
                  <a14:compatExt spid="_x0000_s83514"/>
                </a:ext>
                <a:ext uri="{FF2B5EF4-FFF2-40B4-BE49-F238E27FC236}">
                  <a16:creationId xmlns:a16="http://schemas.microsoft.com/office/drawing/2014/main" xmlns="" id="{00000000-0008-0000-1400-00003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3515" name="Button 2619" hidden="1">
              <a:extLst>
                <a:ext uri="{63B3BB69-23CF-44E3-9099-C40C66FF867C}">
                  <a14:compatExt spid="_x0000_s83515"/>
                </a:ext>
                <a:ext uri="{FF2B5EF4-FFF2-40B4-BE49-F238E27FC236}">
                  <a16:creationId xmlns:a16="http://schemas.microsoft.com/office/drawing/2014/main" xmlns="" id="{00000000-0008-0000-1400-00003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3516" name="Button 2620" hidden="1">
              <a:extLst>
                <a:ext uri="{63B3BB69-23CF-44E3-9099-C40C66FF867C}">
                  <a14:compatExt spid="_x0000_s83516"/>
                </a:ext>
                <a:ext uri="{FF2B5EF4-FFF2-40B4-BE49-F238E27FC236}">
                  <a16:creationId xmlns:a16="http://schemas.microsoft.com/office/drawing/2014/main" xmlns="" id="{00000000-0008-0000-1400-00003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3517" name="Button 2621" hidden="1">
              <a:extLst>
                <a:ext uri="{63B3BB69-23CF-44E3-9099-C40C66FF867C}">
                  <a14:compatExt spid="_x0000_s83517"/>
                </a:ext>
                <a:ext uri="{FF2B5EF4-FFF2-40B4-BE49-F238E27FC236}">
                  <a16:creationId xmlns:a16="http://schemas.microsoft.com/office/drawing/2014/main" xmlns="" id="{00000000-0008-0000-1400-00003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3518" name="Button 2622" hidden="1">
              <a:extLst>
                <a:ext uri="{63B3BB69-23CF-44E3-9099-C40C66FF867C}">
                  <a14:compatExt spid="_x0000_s83518"/>
                </a:ext>
                <a:ext uri="{FF2B5EF4-FFF2-40B4-BE49-F238E27FC236}">
                  <a16:creationId xmlns:a16="http://schemas.microsoft.com/office/drawing/2014/main" xmlns="" id="{00000000-0008-0000-1400-00003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3519" name="Button 2623" hidden="1">
              <a:extLst>
                <a:ext uri="{63B3BB69-23CF-44E3-9099-C40C66FF867C}">
                  <a14:compatExt spid="_x0000_s83519"/>
                </a:ext>
                <a:ext uri="{FF2B5EF4-FFF2-40B4-BE49-F238E27FC236}">
                  <a16:creationId xmlns:a16="http://schemas.microsoft.com/office/drawing/2014/main" xmlns="" id="{00000000-0008-0000-1400-00003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3520" name="Button 2624" hidden="1">
              <a:extLst>
                <a:ext uri="{63B3BB69-23CF-44E3-9099-C40C66FF867C}">
                  <a14:compatExt spid="_x0000_s83520"/>
                </a:ext>
                <a:ext uri="{FF2B5EF4-FFF2-40B4-BE49-F238E27FC236}">
                  <a16:creationId xmlns:a16="http://schemas.microsoft.com/office/drawing/2014/main" xmlns="" id="{00000000-0008-0000-1400-00004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3521" name="Button 2625" hidden="1">
              <a:extLst>
                <a:ext uri="{63B3BB69-23CF-44E3-9099-C40C66FF867C}">
                  <a14:compatExt spid="_x0000_s83521"/>
                </a:ext>
                <a:ext uri="{FF2B5EF4-FFF2-40B4-BE49-F238E27FC236}">
                  <a16:creationId xmlns:a16="http://schemas.microsoft.com/office/drawing/2014/main" xmlns="" id="{00000000-0008-0000-1400-00004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3522" name="Button 2626" hidden="1">
              <a:extLst>
                <a:ext uri="{63B3BB69-23CF-44E3-9099-C40C66FF867C}">
                  <a14:compatExt spid="_x0000_s83522"/>
                </a:ext>
                <a:ext uri="{FF2B5EF4-FFF2-40B4-BE49-F238E27FC236}">
                  <a16:creationId xmlns:a16="http://schemas.microsoft.com/office/drawing/2014/main" xmlns="" id="{00000000-0008-0000-1400-00004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3523" name="Button 2627" hidden="1">
              <a:extLst>
                <a:ext uri="{63B3BB69-23CF-44E3-9099-C40C66FF867C}">
                  <a14:compatExt spid="_x0000_s83523"/>
                </a:ext>
                <a:ext uri="{FF2B5EF4-FFF2-40B4-BE49-F238E27FC236}">
                  <a16:creationId xmlns:a16="http://schemas.microsoft.com/office/drawing/2014/main" xmlns="" id="{00000000-0008-0000-1400-00004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3524" name="Button 2628" hidden="1">
              <a:extLst>
                <a:ext uri="{63B3BB69-23CF-44E3-9099-C40C66FF867C}">
                  <a14:compatExt spid="_x0000_s83524"/>
                </a:ext>
                <a:ext uri="{FF2B5EF4-FFF2-40B4-BE49-F238E27FC236}">
                  <a16:creationId xmlns:a16="http://schemas.microsoft.com/office/drawing/2014/main" xmlns="" id="{00000000-0008-0000-1400-00004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3525" name="Button 2629" hidden="1">
              <a:extLst>
                <a:ext uri="{63B3BB69-23CF-44E3-9099-C40C66FF867C}">
                  <a14:compatExt spid="_x0000_s83525"/>
                </a:ext>
                <a:ext uri="{FF2B5EF4-FFF2-40B4-BE49-F238E27FC236}">
                  <a16:creationId xmlns:a16="http://schemas.microsoft.com/office/drawing/2014/main" xmlns="" id="{00000000-0008-0000-1400-00004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3526" name="Button 2630" hidden="1">
              <a:extLst>
                <a:ext uri="{63B3BB69-23CF-44E3-9099-C40C66FF867C}">
                  <a14:compatExt spid="_x0000_s83526"/>
                </a:ext>
                <a:ext uri="{FF2B5EF4-FFF2-40B4-BE49-F238E27FC236}">
                  <a16:creationId xmlns:a16="http://schemas.microsoft.com/office/drawing/2014/main" xmlns="" id="{00000000-0008-0000-1400-00004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3527" name="Button 2631" hidden="1">
              <a:extLst>
                <a:ext uri="{63B3BB69-23CF-44E3-9099-C40C66FF867C}">
                  <a14:compatExt spid="_x0000_s83527"/>
                </a:ext>
                <a:ext uri="{FF2B5EF4-FFF2-40B4-BE49-F238E27FC236}">
                  <a16:creationId xmlns:a16="http://schemas.microsoft.com/office/drawing/2014/main" xmlns="" id="{00000000-0008-0000-1400-00004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3528" name="Button 2632" hidden="1">
              <a:extLst>
                <a:ext uri="{63B3BB69-23CF-44E3-9099-C40C66FF867C}">
                  <a14:compatExt spid="_x0000_s83528"/>
                </a:ext>
                <a:ext uri="{FF2B5EF4-FFF2-40B4-BE49-F238E27FC236}">
                  <a16:creationId xmlns:a16="http://schemas.microsoft.com/office/drawing/2014/main" xmlns="" id="{00000000-0008-0000-1400-00004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3529" name="Button 2633" hidden="1">
              <a:extLst>
                <a:ext uri="{63B3BB69-23CF-44E3-9099-C40C66FF867C}">
                  <a14:compatExt spid="_x0000_s83529"/>
                </a:ext>
                <a:ext uri="{FF2B5EF4-FFF2-40B4-BE49-F238E27FC236}">
                  <a16:creationId xmlns:a16="http://schemas.microsoft.com/office/drawing/2014/main" xmlns="" id="{00000000-0008-0000-1400-00004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3530" name="Button 2634" hidden="1">
              <a:extLst>
                <a:ext uri="{63B3BB69-23CF-44E3-9099-C40C66FF867C}">
                  <a14:compatExt spid="_x0000_s83530"/>
                </a:ext>
                <a:ext uri="{FF2B5EF4-FFF2-40B4-BE49-F238E27FC236}">
                  <a16:creationId xmlns:a16="http://schemas.microsoft.com/office/drawing/2014/main" xmlns="" id="{00000000-0008-0000-1400-00004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3531" name="Button 2635" hidden="1">
              <a:extLst>
                <a:ext uri="{63B3BB69-23CF-44E3-9099-C40C66FF867C}">
                  <a14:compatExt spid="_x0000_s83531"/>
                </a:ext>
                <a:ext uri="{FF2B5EF4-FFF2-40B4-BE49-F238E27FC236}">
                  <a16:creationId xmlns:a16="http://schemas.microsoft.com/office/drawing/2014/main" xmlns="" id="{00000000-0008-0000-1400-00004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3532" name="Button 2636" hidden="1">
              <a:extLst>
                <a:ext uri="{63B3BB69-23CF-44E3-9099-C40C66FF867C}">
                  <a14:compatExt spid="_x0000_s83532"/>
                </a:ext>
                <a:ext uri="{FF2B5EF4-FFF2-40B4-BE49-F238E27FC236}">
                  <a16:creationId xmlns:a16="http://schemas.microsoft.com/office/drawing/2014/main" xmlns="" id="{00000000-0008-0000-1400-00004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3533" name="Button 2637" hidden="1">
              <a:extLst>
                <a:ext uri="{63B3BB69-23CF-44E3-9099-C40C66FF867C}">
                  <a14:compatExt spid="_x0000_s83533"/>
                </a:ext>
                <a:ext uri="{FF2B5EF4-FFF2-40B4-BE49-F238E27FC236}">
                  <a16:creationId xmlns:a16="http://schemas.microsoft.com/office/drawing/2014/main" xmlns="" id="{00000000-0008-0000-1400-00004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3534" name="Button 2638" hidden="1">
              <a:extLst>
                <a:ext uri="{63B3BB69-23CF-44E3-9099-C40C66FF867C}">
                  <a14:compatExt spid="_x0000_s83534"/>
                </a:ext>
                <a:ext uri="{FF2B5EF4-FFF2-40B4-BE49-F238E27FC236}">
                  <a16:creationId xmlns:a16="http://schemas.microsoft.com/office/drawing/2014/main" xmlns="" id="{00000000-0008-0000-1400-00004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3535" name="Button 2639" hidden="1">
              <a:extLst>
                <a:ext uri="{63B3BB69-23CF-44E3-9099-C40C66FF867C}">
                  <a14:compatExt spid="_x0000_s83535"/>
                </a:ext>
                <a:ext uri="{FF2B5EF4-FFF2-40B4-BE49-F238E27FC236}">
                  <a16:creationId xmlns:a16="http://schemas.microsoft.com/office/drawing/2014/main" xmlns="" id="{00000000-0008-0000-1400-00004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3536" name="Button 2640" hidden="1">
              <a:extLst>
                <a:ext uri="{63B3BB69-23CF-44E3-9099-C40C66FF867C}">
                  <a14:compatExt spid="_x0000_s83536"/>
                </a:ext>
                <a:ext uri="{FF2B5EF4-FFF2-40B4-BE49-F238E27FC236}">
                  <a16:creationId xmlns:a16="http://schemas.microsoft.com/office/drawing/2014/main" xmlns="" id="{00000000-0008-0000-1400-00005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3537" name="Button 2641" hidden="1">
              <a:extLst>
                <a:ext uri="{63B3BB69-23CF-44E3-9099-C40C66FF867C}">
                  <a14:compatExt spid="_x0000_s83537"/>
                </a:ext>
                <a:ext uri="{FF2B5EF4-FFF2-40B4-BE49-F238E27FC236}">
                  <a16:creationId xmlns:a16="http://schemas.microsoft.com/office/drawing/2014/main" xmlns="" id="{00000000-0008-0000-1400-00005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3538" name="Button 2642" hidden="1">
              <a:extLst>
                <a:ext uri="{63B3BB69-23CF-44E3-9099-C40C66FF867C}">
                  <a14:compatExt spid="_x0000_s83538"/>
                </a:ext>
                <a:ext uri="{FF2B5EF4-FFF2-40B4-BE49-F238E27FC236}">
                  <a16:creationId xmlns:a16="http://schemas.microsoft.com/office/drawing/2014/main" xmlns="" id="{00000000-0008-0000-1400-00005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3539" name="Button 2643" hidden="1">
              <a:extLst>
                <a:ext uri="{63B3BB69-23CF-44E3-9099-C40C66FF867C}">
                  <a14:compatExt spid="_x0000_s83539"/>
                </a:ext>
                <a:ext uri="{FF2B5EF4-FFF2-40B4-BE49-F238E27FC236}">
                  <a16:creationId xmlns:a16="http://schemas.microsoft.com/office/drawing/2014/main" xmlns="" id="{00000000-0008-0000-1400-00005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3540" name="Button 2644" hidden="1">
              <a:extLst>
                <a:ext uri="{63B3BB69-23CF-44E3-9099-C40C66FF867C}">
                  <a14:compatExt spid="_x0000_s83540"/>
                </a:ext>
                <a:ext uri="{FF2B5EF4-FFF2-40B4-BE49-F238E27FC236}">
                  <a16:creationId xmlns:a16="http://schemas.microsoft.com/office/drawing/2014/main" xmlns="" id="{00000000-0008-0000-1400-00005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3541" name="Button 2645" hidden="1">
              <a:extLst>
                <a:ext uri="{63B3BB69-23CF-44E3-9099-C40C66FF867C}">
                  <a14:compatExt spid="_x0000_s83541"/>
                </a:ext>
                <a:ext uri="{FF2B5EF4-FFF2-40B4-BE49-F238E27FC236}">
                  <a16:creationId xmlns:a16="http://schemas.microsoft.com/office/drawing/2014/main" xmlns="" id="{00000000-0008-0000-1400-00005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3542" name="Button 2646" hidden="1">
              <a:extLst>
                <a:ext uri="{63B3BB69-23CF-44E3-9099-C40C66FF867C}">
                  <a14:compatExt spid="_x0000_s83542"/>
                </a:ext>
                <a:ext uri="{FF2B5EF4-FFF2-40B4-BE49-F238E27FC236}">
                  <a16:creationId xmlns:a16="http://schemas.microsoft.com/office/drawing/2014/main" xmlns="" id="{00000000-0008-0000-1400-00005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3543" name="Button 2647" hidden="1">
              <a:extLst>
                <a:ext uri="{63B3BB69-23CF-44E3-9099-C40C66FF867C}">
                  <a14:compatExt spid="_x0000_s83543"/>
                </a:ext>
                <a:ext uri="{FF2B5EF4-FFF2-40B4-BE49-F238E27FC236}">
                  <a16:creationId xmlns:a16="http://schemas.microsoft.com/office/drawing/2014/main" xmlns="" id="{00000000-0008-0000-1400-00005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3544" name="Button 2648" hidden="1">
              <a:extLst>
                <a:ext uri="{63B3BB69-23CF-44E3-9099-C40C66FF867C}">
                  <a14:compatExt spid="_x0000_s83544"/>
                </a:ext>
                <a:ext uri="{FF2B5EF4-FFF2-40B4-BE49-F238E27FC236}">
                  <a16:creationId xmlns:a16="http://schemas.microsoft.com/office/drawing/2014/main" xmlns="" id="{00000000-0008-0000-1400-00005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3545" name="Button 2649" hidden="1">
              <a:extLst>
                <a:ext uri="{63B3BB69-23CF-44E3-9099-C40C66FF867C}">
                  <a14:compatExt spid="_x0000_s83545"/>
                </a:ext>
                <a:ext uri="{FF2B5EF4-FFF2-40B4-BE49-F238E27FC236}">
                  <a16:creationId xmlns:a16="http://schemas.microsoft.com/office/drawing/2014/main" xmlns="" id="{00000000-0008-0000-1400-00005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3546" name="Button 2650" hidden="1">
              <a:extLst>
                <a:ext uri="{63B3BB69-23CF-44E3-9099-C40C66FF867C}">
                  <a14:compatExt spid="_x0000_s83546"/>
                </a:ext>
                <a:ext uri="{FF2B5EF4-FFF2-40B4-BE49-F238E27FC236}">
                  <a16:creationId xmlns:a16="http://schemas.microsoft.com/office/drawing/2014/main" xmlns="" id="{00000000-0008-0000-1400-00005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3547" name="Button 2651" hidden="1">
              <a:extLst>
                <a:ext uri="{63B3BB69-23CF-44E3-9099-C40C66FF867C}">
                  <a14:compatExt spid="_x0000_s83547"/>
                </a:ext>
                <a:ext uri="{FF2B5EF4-FFF2-40B4-BE49-F238E27FC236}">
                  <a16:creationId xmlns:a16="http://schemas.microsoft.com/office/drawing/2014/main" xmlns="" id="{00000000-0008-0000-1400-00005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3548" name="Button 2652" hidden="1">
              <a:extLst>
                <a:ext uri="{63B3BB69-23CF-44E3-9099-C40C66FF867C}">
                  <a14:compatExt spid="_x0000_s83548"/>
                </a:ext>
                <a:ext uri="{FF2B5EF4-FFF2-40B4-BE49-F238E27FC236}">
                  <a16:creationId xmlns:a16="http://schemas.microsoft.com/office/drawing/2014/main" xmlns="" id="{00000000-0008-0000-1400-00005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3549" name="Button 2653" hidden="1">
              <a:extLst>
                <a:ext uri="{63B3BB69-23CF-44E3-9099-C40C66FF867C}">
                  <a14:compatExt spid="_x0000_s83549"/>
                </a:ext>
                <a:ext uri="{FF2B5EF4-FFF2-40B4-BE49-F238E27FC236}">
                  <a16:creationId xmlns:a16="http://schemas.microsoft.com/office/drawing/2014/main" xmlns="" id="{00000000-0008-0000-1400-00005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3550" name="Button 2654" hidden="1">
              <a:extLst>
                <a:ext uri="{63B3BB69-23CF-44E3-9099-C40C66FF867C}">
                  <a14:compatExt spid="_x0000_s83550"/>
                </a:ext>
                <a:ext uri="{FF2B5EF4-FFF2-40B4-BE49-F238E27FC236}">
                  <a16:creationId xmlns:a16="http://schemas.microsoft.com/office/drawing/2014/main" xmlns="" id="{00000000-0008-0000-1400-00005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3551" name="Button 2655" hidden="1">
              <a:extLst>
                <a:ext uri="{63B3BB69-23CF-44E3-9099-C40C66FF867C}">
                  <a14:compatExt spid="_x0000_s83551"/>
                </a:ext>
                <a:ext uri="{FF2B5EF4-FFF2-40B4-BE49-F238E27FC236}">
                  <a16:creationId xmlns:a16="http://schemas.microsoft.com/office/drawing/2014/main" xmlns="" id="{00000000-0008-0000-1400-00005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3552" name="Button 2656" hidden="1">
              <a:extLst>
                <a:ext uri="{63B3BB69-23CF-44E3-9099-C40C66FF867C}">
                  <a14:compatExt spid="_x0000_s83552"/>
                </a:ext>
                <a:ext uri="{FF2B5EF4-FFF2-40B4-BE49-F238E27FC236}">
                  <a16:creationId xmlns:a16="http://schemas.microsoft.com/office/drawing/2014/main" xmlns="" id="{00000000-0008-0000-1400-00006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3553" name="Button 2657" hidden="1">
              <a:extLst>
                <a:ext uri="{63B3BB69-23CF-44E3-9099-C40C66FF867C}">
                  <a14:compatExt spid="_x0000_s83553"/>
                </a:ext>
                <a:ext uri="{FF2B5EF4-FFF2-40B4-BE49-F238E27FC236}">
                  <a16:creationId xmlns:a16="http://schemas.microsoft.com/office/drawing/2014/main" xmlns="" id="{00000000-0008-0000-1400-00006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3554" name="Button 2658" hidden="1">
              <a:extLst>
                <a:ext uri="{63B3BB69-23CF-44E3-9099-C40C66FF867C}">
                  <a14:compatExt spid="_x0000_s83554"/>
                </a:ext>
                <a:ext uri="{FF2B5EF4-FFF2-40B4-BE49-F238E27FC236}">
                  <a16:creationId xmlns:a16="http://schemas.microsoft.com/office/drawing/2014/main" xmlns="" id="{00000000-0008-0000-1400-00006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3555" name="Button 2659" hidden="1">
              <a:extLst>
                <a:ext uri="{63B3BB69-23CF-44E3-9099-C40C66FF867C}">
                  <a14:compatExt spid="_x0000_s83555"/>
                </a:ext>
                <a:ext uri="{FF2B5EF4-FFF2-40B4-BE49-F238E27FC236}">
                  <a16:creationId xmlns:a16="http://schemas.microsoft.com/office/drawing/2014/main" xmlns="" id="{00000000-0008-0000-1400-00006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3556" name="Button 2660" hidden="1">
              <a:extLst>
                <a:ext uri="{63B3BB69-23CF-44E3-9099-C40C66FF867C}">
                  <a14:compatExt spid="_x0000_s83556"/>
                </a:ext>
                <a:ext uri="{FF2B5EF4-FFF2-40B4-BE49-F238E27FC236}">
                  <a16:creationId xmlns:a16="http://schemas.microsoft.com/office/drawing/2014/main" xmlns="" id="{00000000-0008-0000-1400-00006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3557" name="Button 2661" hidden="1">
              <a:extLst>
                <a:ext uri="{63B3BB69-23CF-44E3-9099-C40C66FF867C}">
                  <a14:compatExt spid="_x0000_s83557"/>
                </a:ext>
                <a:ext uri="{FF2B5EF4-FFF2-40B4-BE49-F238E27FC236}">
                  <a16:creationId xmlns:a16="http://schemas.microsoft.com/office/drawing/2014/main" xmlns="" id="{00000000-0008-0000-1400-00006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3558" name="Button 2662" hidden="1">
              <a:extLst>
                <a:ext uri="{63B3BB69-23CF-44E3-9099-C40C66FF867C}">
                  <a14:compatExt spid="_x0000_s83558"/>
                </a:ext>
                <a:ext uri="{FF2B5EF4-FFF2-40B4-BE49-F238E27FC236}">
                  <a16:creationId xmlns:a16="http://schemas.microsoft.com/office/drawing/2014/main" xmlns="" id="{00000000-0008-0000-1400-00006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3559" name="Button 2663" hidden="1">
              <a:extLst>
                <a:ext uri="{63B3BB69-23CF-44E3-9099-C40C66FF867C}">
                  <a14:compatExt spid="_x0000_s83559"/>
                </a:ext>
                <a:ext uri="{FF2B5EF4-FFF2-40B4-BE49-F238E27FC236}">
                  <a16:creationId xmlns:a16="http://schemas.microsoft.com/office/drawing/2014/main" xmlns="" id="{00000000-0008-0000-1400-00006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3560" name="Button 2664" hidden="1">
              <a:extLst>
                <a:ext uri="{63B3BB69-23CF-44E3-9099-C40C66FF867C}">
                  <a14:compatExt spid="_x0000_s83560"/>
                </a:ext>
                <a:ext uri="{FF2B5EF4-FFF2-40B4-BE49-F238E27FC236}">
                  <a16:creationId xmlns:a16="http://schemas.microsoft.com/office/drawing/2014/main" xmlns="" id="{00000000-0008-0000-1400-00006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3561" name="Button 2665" hidden="1">
              <a:extLst>
                <a:ext uri="{63B3BB69-23CF-44E3-9099-C40C66FF867C}">
                  <a14:compatExt spid="_x0000_s83561"/>
                </a:ext>
                <a:ext uri="{FF2B5EF4-FFF2-40B4-BE49-F238E27FC236}">
                  <a16:creationId xmlns:a16="http://schemas.microsoft.com/office/drawing/2014/main" xmlns="" id="{00000000-0008-0000-1400-00006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3562" name="Button 2666" hidden="1">
              <a:extLst>
                <a:ext uri="{63B3BB69-23CF-44E3-9099-C40C66FF867C}">
                  <a14:compatExt spid="_x0000_s83562"/>
                </a:ext>
                <a:ext uri="{FF2B5EF4-FFF2-40B4-BE49-F238E27FC236}">
                  <a16:creationId xmlns:a16="http://schemas.microsoft.com/office/drawing/2014/main" xmlns="" id="{00000000-0008-0000-1400-00006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3563" name="Button 2667" hidden="1">
              <a:extLst>
                <a:ext uri="{63B3BB69-23CF-44E3-9099-C40C66FF867C}">
                  <a14:compatExt spid="_x0000_s83563"/>
                </a:ext>
                <a:ext uri="{FF2B5EF4-FFF2-40B4-BE49-F238E27FC236}">
                  <a16:creationId xmlns:a16="http://schemas.microsoft.com/office/drawing/2014/main" xmlns="" id="{00000000-0008-0000-1400-00006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3564" name="Button 2668" hidden="1">
              <a:extLst>
                <a:ext uri="{63B3BB69-23CF-44E3-9099-C40C66FF867C}">
                  <a14:compatExt spid="_x0000_s83564"/>
                </a:ext>
                <a:ext uri="{FF2B5EF4-FFF2-40B4-BE49-F238E27FC236}">
                  <a16:creationId xmlns:a16="http://schemas.microsoft.com/office/drawing/2014/main" xmlns="" id="{00000000-0008-0000-1400-00006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3565" name="Button 2669" hidden="1">
              <a:extLst>
                <a:ext uri="{63B3BB69-23CF-44E3-9099-C40C66FF867C}">
                  <a14:compatExt spid="_x0000_s83565"/>
                </a:ext>
                <a:ext uri="{FF2B5EF4-FFF2-40B4-BE49-F238E27FC236}">
                  <a16:creationId xmlns:a16="http://schemas.microsoft.com/office/drawing/2014/main" xmlns="" id="{00000000-0008-0000-1400-00006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3566" name="Button 2670" hidden="1">
              <a:extLst>
                <a:ext uri="{63B3BB69-23CF-44E3-9099-C40C66FF867C}">
                  <a14:compatExt spid="_x0000_s83566"/>
                </a:ext>
                <a:ext uri="{FF2B5EF4-FFF2-40B4-BE49-F238E27FC236}">
                  <a16:creationId xmlns:a16="http://schemas.microsoft.com/office/drawing/2014/main" xmlns="" id="{00000000-0008-0000-1400-00006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3567" name="Button 2671" hidden="1">
              <a:extLst>
                <a:ext uri="{63B3BB69-23CF-44E3-9099-C40C66FF867C}">
                  <a14:compatExt spid="_x0000_s83567"/>
                </a:ext>
                <a:ext uri="{FF2B5EF4-FFF2-40B4-BE49-F238E27FC236}">
                  <a16:creationId xmlns:a16="http://schemas.microsoft.com/office/drawing/2014/main" xmlns="" id="{00000000-0008-0000-1400-00006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3568" name="Button 2672" hidden="1">
              <a:extLst>
                <a:ext uri="{63B3BB69-23CF-44E3-9099-C40C66FF867C}">
                  <a14:compatExt spid="_x0000_s83568"/>
                </a:ext>
                <a:ext uri="{FF2B5EF4-FFF2-40B4-BE49-F238E27FC236}">
                  <a16:creationId xmlns:a16="http://schemas.microsoft.com/office/drawing/2014/main" xmlns="" id="{00000000-0008-0000-1400-00007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3569" name="Button 2673" hidden="1">
              <a:extLst>
                <a:ext uri="{63B3BB69-23CF-44E3-9099-C40C66FF867C}">
                  <a14:compatExt spid="_x0000_s83569"/>
                </a:ext>
                <a:ext uri="{FF2B5EF4-FFF2-40B4-BE49-F238E27FC236}">
                  <a16:creationId xmlns:a16="http://schemas.microsoft.com/office/drawing/2014/main" xmlns="" id="{00000000-0008-0000-1400-00007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3570" name="Button 2674" hidden="1">
              <a:extLst>
                <a:ext uri="{63B3BB69-23CF-44E3-9099-C40C66FF867C}">
                  <a14:compatExt spid="_x0000_s83570"/>
                </a:ext>
                <a:ext uri="{FF2B5EF4-FFF2-40B4-BE49-F238E27FC236}">
                  <a16:creationId xmlns:a16="http://schemas.microsoft.com/office/drawing/2014/main" xmlns="" id="{00000000-0008-0000-1400-00007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3571" name="Button 2675" hidden="1">
              <a:extLst>
                <a:ext uri="{63B3BB69-23CF-44E3-9099-C40C66FF867C}">
                  <a14:compatExt spid="_x0000_s83571"/>
                </a:ext>
                <a:ext uri="{FF2B5EF4-FFF2-40B4-BE49-F238E27FC236}">
                  <a16:creationId xmlns:a16="http://schemas.microsoft.com/office/drawing/2014/main" xmlns="" id="{00000000-0008-0000-1400-00007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3572" name="Button 2676" hidden="1">
              <a:extLst>
                <a:ext uri="{63B3BB69-23CF-44E3-9099-C40C66FF867C}">
                  <a14:compatExt spid="_x0000_s83572"/>
                </a:ext>
                <a:ext uri="{FF2B5EF4-FFF2-40B4-BE49-F238E27FC236}">
                  <a16:creationId xmlns:a16="http://schemas.microsoft.com/office/drawing/2014/main" xmlns="" id="{00000000-0008-0000-1400-00007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3573" name="Button 2677" hidden="1">
              <a:extLst>
                <a:ext uri="{63B3BB69-23CF-44E3-9099-C40C66FF867C}">
                  <a14:compatExt spid="_x0000_s83573"/>
                </a:ext>
                <a:ext uri="{FF2B5EF4-FFF2-40B4-BE49-F238E27FC236}">
                  <a16:creationId xmlns:a16="http://schemas.microsoft.com/office/drawing/2014/main" xmlns="" id="{00000000-0008-0000-1400-00007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3574" name="Button 2678" hidden="1">
              <a:extLst>
                <a:ext uri="{63B3BB69-23CF-44E3-9099-C40C66FF867C}">
                  <a14:compatExt spid="_x0000_s83574"/>
                </a:ext>
                <a:ext uri="{FF2B5EF4-FFF2-40B4-BE49-F238E27FC236}">
                  <a16:creationId xmlns:a16="http://schemas.microsoft.com/office/drawing/2014/main" xmlns="" id="{00000000-0008-0000-1400-00007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3575" name="Button 2679" hidden="1">
              <a:extLst>
                <a:ext uri="{63B3BB69-23CF-44E3-9099-C40C66FF867C}">
                  <a14:compatExt spid="_x0000_s83575"/>
                </a:ext>
                <a:ext uri="{FF2B5EF4-FFF2-40B4-BE49-F238E27FC236}">
                  <a16:creationId xmlns:a16="http://schemas.microsoft.com/office/drawing/2014/main" xmlns="" id="{00000000-0008-0000-1400-00007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3576" name="Button 2680" hidden="1">
              <a:extLst>
                <a:ext uri="{63B3BB69-23CF-44E3-9099-C40C66FF867C}">
                  <a14:compatExt spid="_x0000_s83576"/>
                </a:ext>
                <a:ext uri="{FF2B5EF4-FFF2-40B4-BE49-F238E27FC236}">
                  <a16:creationId xmlns:a16="http://schemas.microsoft.com/office/drawing/2014/main" xmlns="" id="{00000000-0008-0000-1400-00007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3577" name="Button 2681" hidden="1">
              <a:extLst>
                <a:ext uri="{63B3BB69-23CF-44E3-9099-C40C66FF867C}">
                  <a14:compatExt spid="_x0000_s83577"/>
                </a:ext>
                <a:ext uri="{FF2B5EF4-FFF2-40B4-BE49-F238E27FC236}">
                  <a16:creationId xmlns:a16="http://schemas.microsoft.com/office/drawing/2014/main" xmlns="" id="{00000000-0008-0000-1400-00007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3578" name="Button 2682" hidden="1">
              <a:extLst>
                <a:ext uri="{63B3BB69-23CF-44E3-9099-C40C66FF867C}">
                  <a14:compatExt spid="_x0000_s83578"/>
                </a:ext>
                <a:ext uri="{FF2B5EF4-FFF2-40B4-BE49-F238E27FC236}">
                  <a16:creationId xmlns:a16="http://schemas.microsoft.com/office/drawing/2014/main" xmlns="" id="{00000000-0008-0000-1400-00007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3579" name="Button 2683" hidden="1">
              <a:extLst>
                <a:ext uri="{63B3BB69-23CF-44E3-9099-C40C66FF867C}">
                  <a14:compatExt spid="_x0000_s83579"/>
                </a:ext>
                <a:ext uri="{FF2B5EF4-FFF2-40B4-BE49-F238E27FC236}">
                  <a16:creationId xmlns:a16="http://schemas.microsoft.com/office/drawing/2014/main" xmlns="" id="{00000000-0008-0000-1400-00007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3580" name="Button 2684" hidden="1">
              <a:extLst>
                <a:ext uri="{63B3BB69-23CF-44E3-9099-C40C66FF867C}">
                  <a14:compatExt spid="_x0000_s83580"/>
                </a:ext>
                <a:ext uri="{FF2B5EF4-FFF2-40B4-BE49-F238E27FC236}">
                  <a16:creationId xmlns:a16="http://schemas.microsoft.com/office/drawing/2014/main" xmlns="" id="{00000000-0008-0000-1400-00007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3581" name="Button 2685" hidden="1">
              <a:extLst>
                <a:ext uri="{63B3BB69-23CF-44E3-9099-C40C66FF867C}">
                  <a14:compatExt spid="_x0000_s83581"/>
                </a:ext>
                <a:ext uri="{FF2B5EF4-FFF2-40B4-BE49-F238E27FC236}">
                  <a16:creationId xmlns:a16="http://schemas.microsoft.com/office/drawing/2014/main" xmlns="" id="{00000000-0008-0000-1400-00007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3582" name="Button 2686" hidden="1">
              <a:extLst>
                <a:ext uri="{63B3BB69-23CF-44E3-9099-C40C66FF867C}">
                  <a14:compatExt spid="_x0000_s83582"/>
                </a:ext>
                <a:ext uri="{FF2B5EF4-FFF2-40B4-BE49-F238E27FC236}">
                  <a16:creationId xmlns:a16="http://schemas.microsoft.com/office/drawing/2014/main" xmlns="" id="{00000000-0008-0000-1400-00007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3583" name="Button 2687" hidden="1">
              <a:extLst>
                <a:ext uri="{63B3BB69-23CF-44E3-9099-C40C66FF867C}">
                  <a14:compatExt spid="_x0000_s83583"/>
                </a:ext>
                <a:ext uri="{FF2B5EF4-FFF2-40B4-BE49-F238E27FC236}">
                  <a16:creationId xmlns:a16="http://schemas.microsoft.com/office/drawing/2014/main" xmlns="" id="{00000000-0008-0000-1400-00007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3584" name="Button 2688" hidden="1">
              <a:extLst>
                <a:ext uri="{63B3BB69-23CF-44E3-9099-C40C66FF867C}">
                  <a14:compatExt spid="_x0000_s83584"/>
                </a:ext>
                <a:ext uri="{FF2B5EF4-FFF2-40B4-BE49-F238E27FC236}">
                  <a16:creationId xmlns:a16="http://schemas.microsoft.com/office/drawing/2014/main" xmlns="" id="{00000000-0008-0000-1400-00008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3585" name="Button 2689" hidden="1">
              <a:extLst>
                <a:ext uri="{63B3BB69-23CF-44E3-9099-C40C66FF867C}">
                  <a14:compatExt spid="_x0000_s83585"/>
                </a:ext>
                <a:ext uri="{FF2B5EF4-FFF2-40B4-BE49-F238E27FC236}">
                  <a16:creationId xmlns:a16="http://schemas.microsoft.com/office/drawing/2014/main" xmlns="" id="{00000000-0008-0000-1400-00008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3586" name="Button 2690" hidden="1">
              <a:extLst>
                <a:ext uri="{63B3BB69-23CF-44E3-9099-C40C66FF867C}">
                  <a14:compatExt spid="_x0000_s83586"/>
                </a:ext>
                <a:ext uri="{FF2B5EF4-FFF2-40B4-BE49-F238E27FC236}">
                  <a16:creationId xmlns:a16="http://schemas.microsoft.com/office/drawing/2014/main" xmlns="" id="{00000000-0008-0000-1400-00008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3587" name="Button 2691" hidden="1">
              <a:extLst>
                <a:ext uri="{63B3BB69-23CF-44E3-9099-C40C66FF867C}">
                  <a14:compatExt spid="_x0000_s83587"/>
                </a:ext>
                <a:ext uri="{FF2B5EF4-FFF2-40B4-BE49-F238E27FC236}">
                  <a16:creationId xmlns:a16="http://schemas.microsoft.com/office/drawing/2014/main" xmlns="" id="{00000000-0008-0000-1400-00008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3588" name="Button 2692" hidden="1">
              <a:extLst>
                <a:ext uri="{63B3BB69-23CF-44E3-9099-C40C66FF867C}">
                  <a14:compatExt spid="_x0000_s83588"/>
                </a:ext>
                <a:ext uri="{FF2B5EF4-FFF2-40B4-BE49-F238E27FC236}">
                  <a16:creationId xmlns:a16="http://schemas.microsoft.com/office/drawing/2014/main" xmlns="" id="{00000000-0008-0000-1400-00008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3589" name="Button 2693" hidden="1">
              <a:extLst>
                <a:ext uri="{63B3BB69-23CF-44E3-9099-C40C66FF867C}">
                  <a14:compatExt spid="_x0000_s83589"/>
                </a:ext>
                <a:ext uri="{FF2B5EF4-FFF2-40B4-BE49-F238E27FC236}">
                  <a16:creationId xmlns:a16="http://schemas.microsoft.com/office/drawing/2014/main" xmlns="" id="{00000000-0008-0000-1400-00008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3590" name="Button 2694" hidden="1">
              <a:extLst>
                <a:ext uri="{63B3BB69-23CF-44E3-9099-C40C66FF867C}">
                  <a14:compatExt spid="_x0000_s83590"/>
                </a:ext>
                <a:ext uri="{FF2B5EF4-FFF2-40B4-BE49-F238E27FC236}">
                  <a16:creationId xmlns:a16="http://schemas.microsoft.com/office/drawing/2014/main" xmlns="" id="{00000000-0008-0000-1400-00008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3591" name="Button 2695" hidden="1">
              <a:extLst>
                <a:ext uri="{63B3BB69-23CF-44E3-9099-C40C66FF867C}">
                  <a14:compatExt spid="_x0000_s83591"/>
                </a:ext>
                <a:ext uri="{FF2B5EF4-FFF2-40B4-BE49-F238E27FC236}">
                  <a16:creationId xmlns:a16="http://schemas.microsoft.com/office/drawing/2014/main" xmlns="" id="{00000000-0008-0000-1400-00008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3592" name="Button 2696" hidden="1">
              <a:extLst>
                <a:ext uri="{63B3BB69-23CF-44E3-9099-C40C66FF867C}">
                  <a14:compatExt spid="_x0000_s83592"/>
                </a:ext>
                <a:ext uri="{FF2B5EF4-FFF2-40B4-BE49-F238E27FC236}">
                  <a16:creationId xmlns:a16="http://schemas.microsoft.com/office/drawing/2014/main" xmlns="" id="{00000000-0008-0000-1400-00008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3593" name="Button 2697" hidden="1">
              <a:extLst>
                <a:ext uri="{63B3BB69-23CF-44E3-9099-C40C66FF867C}">
                  <a14:compatExt spid="_x0000_s83593"/>
                </a:ext>
                <a:ext uri="{FF2B5EF4-FFF2-40B4-BE49-F238E27FC236}">
                  <a16:creationId xmlns:a16="http://schemas.microsoft.com/office/drawing/2014/main" xmlns="" id="{00000000-0008-0000-1400-00008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3594" name="Button 2698" hidden="1">
              <a:extLst>
                <a:ext uri="{63B3BB69-23CF-44E3-9099-C40C66FF867C}">
                  <a14:compatExt spid="_x0000_s83594"/>
                </a:ext>
                <a:ext uri="{FF2B5EF4-FFF2-40B4-BE49-F238E27FC236}">
                  <a16:creationId xmlns:a16="http://schemas.microsoft.com/office/drawing/2014/main" xmlns="" id="{00000000-0008-0000-1400-00008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3595" name="Button 2699" hidden="1">
              <a:extLst>
                <a:ext uri="{63B3BB69-23CF-44E3-9099-C40C66FF867C}">
                  <a14:compatExt spid="_x0000_s83595"/>
                </a:ext>
                <a:ext uri="{FF2B5EF4-FFF2-40B4-BE49-F238E27FC236}">
                  <a16:creationId xmlns:a16="http://schemas.microsoft.com/office/drawing/2014/main" xmlns="" id="{00000000-0008-0000-1400-00008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3596" name="Button 2700" hidden="1">
              <a:extLst>
                <a:ext uri="{63B3BB69-23CF-44E3-9099-C40C66FF867C}">
                  <a14:compatExt spid="_x0000_s83596"/>
                </a:ext>
                <a:ext uri="{FF2B5EF4-FFF2-40B4-BE49-F238E27FC236}">
                  <a16:creationId xmlns:a16="http://schemas.microsoft.com/office/drawing/2014/main" xmlns="" id="{00000000-0008-0000-1400-00008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3597" name="Button 2701" hidden="1">
              <a:extLst>
                <a:ext uri="{63B3BB69-23CF-44E3-9099-C40C66FF867C}">
                  <a14:compatExt spid="_x0000_s83597"/>
                </a:ext>
                <a:ext uri="{FF2B5EF4-FFF2-40B4-BE49-F238E27FC236}">
                  <a16:creationId xmlns:a16="http://schemas.microsoft.com/office/drawing/2014/main" xmlns="" id="{00000000-0008-0000-1400-00008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3598" name="Button 2702" hidden="1">
              <a:extLst>
                <a:ext uri="{63B3BB69-23CF-44E3-9099-C40C66FF867C}">
                  <a14:compatExt spid="_x0000_s83598"/>
                </a:ext>
                <a:ext uri="{FF2B5EF4-FFF2-40B4-BE49-F238E27FC236}">
                  <a16:creationId xmlns:a16="http://schemas.microsoft.com/office/drawing/2014/main" xmlns="" id="{00000000-0008-0000-1400-00008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3599" name="Button 2703" hidden="1">
              <a:extLst>
                <a:ext uri="{63B3BB69-23CF-44E3-9099-C40C66FF867C}">
                  <a14:compatExt spid="_x0000_s83599"/>
                </a:ext>
                <a:ext uri="{FF2B5EF4-FFF2-40B4-BE49-F238E27FC236}">
                  <a16:creationId xmlns:a16="http://schemas.microsoft.com/office/drawing/2014/main" xmlns="" id="{00000000-0008-0000-1400-00008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3600" name="Button 2704" hidden="1">
              <a:extLst>
                <a:ext uri="{63B3BB69-23CF-44E3-9099-C40C66FF867C}">
                  <a14:compatExt spid="_x0000_s83600"/>
                </a:ext>
                <a:ext uri="{FF2B5EF4-FFF2-40B4-BE49-F238E27FC236}">
                  <a16:creationId xmlns:a16="http://schemas.microsoft.com/office/drawing/2014/main" xmlns="" id="{00000000-0008-0000-1400-00009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3601" name="Button 2705" hidden="1">
              <a:extLst>
                <a:ext uri="{63B3BB69-23CF-44E3-9099-C40C66FF867C}">
                  <a14:compatExt spid="_x0000_s83601"/>
                </a:ext>
                <a:ext uri="{FF2B5EF4-FFF2-40B4-BE49-F238E27FC236}">
                  <a16:creationId xmlns:a16="http://schemas.microsoft.com/office/drawing/2014/main" xmlns="" id="{00000000-0008-0000-1400-00009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3602" name="Button 2706" hidden="1">
              <a:extLst>
                <a:ext uri="{63B3BB69-23CF-44E3-9099-C40C66FF867C}">
                  <a14:compatExt spid="_x0000_s83602"/>
                </a:ext>
                <a:ext uri="{FF2B5EF4-FFF2-40B4-BE49-F238E27FC236}">
                  <a16:creationId xmlns:a16="http://schemas.microsoft.com/office/drawing/2014/main" xmlns="" id="{00000000-0008-0000-1400-00009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3603" name="Button 2707" hidden="1">
              <a:extLst>
                <a:ext uri="{63B3BB69-23CF-44E3-9099-C40C66FF867C}">
                  <a14:compatExt spid="_x0000_s83603"/>
                </a:ext>
                <a:ext uri="{FF2B5EF4-FFF2-40B4-BE49-F238E27FC236}">
                  <a16:creationId xmlns:a16="http://schemas.microsoft.com/office/drawing/2014/main" xmlns="" id="{00000000-0008-0000-1400-00009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3604" name="Button 2708" hidden="1">
              <a:extLst>
                <a:ext uri="{63B3BB69-23CF-44E3-9099-C40C66FF867C}">
                  <a14:compatExt spid="_x0000_s83604"/>
                </a:ext>
                <a:ext uri="{FF2B5EF4-FFF2-40B4-BE49-F238E27FC236}">
                  <a16:creationId xmlns:a16="http://schemas.microsoft.com/office/drawing/2014/main" xmlns="" id="{00000000-0008-0000-1400-00009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3605" name="Button 2709" hidden="1">
              <a:extLst>
                <a:ext uri="{63B3BB69-23CF-44E3-9099-C40C66FF867C}">
                  <a14:compatExt spid="_x0000_s83605"/>
                </a:ext>
                <a:ext uri="{FF2B5EF4-FFF2-40B4-BE49-F238E27FC236}">
                  <a16:creationId xmlns:a16="http://schemas.microsoft.com/office/drawing/2014/main" xmlns="" id="{00000000-0008-0000-1400-00009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56</xdr:col>
      <xdr:colOff>0</xdr:colOff>
      <xdr:row>12</xdr:row>
      <xdr:rowOff>129540</xdr:rowOff>
    </xdr:from>
    <xdr:ext cx="184731" cy="264560"/>
    <xdr:sp macro="" textlink="">
      <xdr:nvSpPr>
        <xdr:cNvPr id="2" name="TextBox 1">
          <a:extLst>
            <a:ext uri="{FF2B5EF4-FFF2-40B4-BE49-F238E27FC236}">
              <a16:creationId xmlns:a16="http://schemas.microsoft.com/office/drawing/2014/main" xmlns="" id="{00000000-0008-0000-2800-000002000000}"/>
            </a:ext>
          </a:extLst>
        </xdr:cNvPr>
        <xdr:cNvSpPr txBox="1"/>
      </xdr:nvSpPr>
      <xdr:spPr>
        <a:xfrm>
          <a:off x="44889420" y="33070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a16="http://schemas.microsoft.com/office/drawing/2014/main" xmlns="" id="{00000000-0008-0000-35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a16="http://schemas.microsoft.com/office/drawing/2014/main" xmlns="" id="{00000000-0008-0000-35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a16="http://schemas.microsoft.com/office/drawing/2014/main" xmlns="" id="{00000000-0008-0000-35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a16="http://schemas.microsoft.com/office/drawing/2014/main" xmlns="" id="{00000000-0008-0000-35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a16="http://schemas.microsoft.com/office/drawing/2014/main" xmlns="" id="{00000000-0008-0000-35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a16="http://schemas.microsoft.com/office/drawing/2014/main" xmlns="" id="{00000000-0008-0000-35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a16="http://schemas.microsoft.com/office/drawing/2014/main" xmlns="" id="{00000000-0008-0000-35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a16="http://schemas.microsoft.com/office/drawing/2014/main" xmlns="" id="{00000000-0008-0000-35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a16="http://schemas.microsoft.com/office/drawing/2014/main" xmlns="" id="{00000000-0008-0000-35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a16="http://schemas.microsoft.com/office/drawing/2014/main" xmlns="" id="{00000000-0008-0000-35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a16="http://schemas.microsoft.com/office/drawing/2014/main" xmlns="" id="{00000000-0008-0000-35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a16="http://schemas.microsoft.com/office/drawing/2014/main" xmlns="" id="{00000000-0008-0000-35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a16="http://schemas.microsoft.com/office/drawing/2014/main" xmlns="" id="{00000000-0008-0000-35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a16="http://schemas.microsoft.com/office/drawing/2014/main" xmlns="" id="{00000000-0008-0000-35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a16="http://schemas.microsoft.com/office/drawing/2014/main" xmlns="" id="{00000000-0008-0000-35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a16="http://schemas.microsoft.com/office/drawing/2014/main" xmlns="" id="{00000000-0008-0000-35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a16="http://schemas.microsoft.com/office/drawing/2014/main" xmlns="" id="{00000000-0008-0000-35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a16="http://schemas.microsoft.com/office/drawing/2014/main" xmlns="" id="{00000000-0008-0000-35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a16="http://schemas.microsoft.com/office/drawing/2014/main" xmlns="" id="{00000000-0008-0000-35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a16="http://schemas.microsoft.com/office/drawing/2014/main" xmlns="" id="{00000000-0008-0000-35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a16="http://schemas.microsoft.com/office/drawing/2014/main" xmlns="" id="{00000000-0008-0000-35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a16="http://schemas.microsoft.com/office/drawing/2014/main" xmlns="" id="{00000000-0008-0000-35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a16="http://schemas.microsoft.com/office/drawing/2014/main" xmlns="" id="{00000000-0008-0000-35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a16="http://schemas.microsoft.com/office/drawing/2014/main" xmlns="" id="{00000000-0008-0000-35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a16="http://schemas.microsoft.com/office/drawing/2014/main" xmlns="" id="{00000000-0008-0000-35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a16="http://schemas.microsoft.com/office/drawing/2014/main" xmlns="" id="{00000000-0008-0000-35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a16="http://schemas.microsoft.com/office/drawing/2014/main" xmlns="" id="{00000000-0008-0000-35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a16="http://schemas.microsoft.com/office/drawing/2014/main" xmlns="" id="{00000000-0008-0000-35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a16="http://schemas.microsoft.com/office/drawing/2014/main" xmlns="" id="{00000000-0008-0000-35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a16="http://schemas.microsoft.com/office/drawing/2014/main" xmlns="" id="{00000000-0008-0000-35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a16="http://schemas.microsoft.com/office/drawing/2014/main" xmlns="" id="{00000000-0008-0000-38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a16="http://schemas.microsoft.com/office/drawing/2014/main" xmlns="" id="{00000000-0008-0000-38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UO/NUOnet%20draft4%202017%2004%2024%20nw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CalcNutrientEfficiency"/>
      <sheetName val="MgtAmendments"/>
      <sheetName val="MgtPlanting"/>
      <sheetName val="MgtTillage"/>
      <sheetName val="MgtGrowthStages"/>
      <sheetName val="MgtResidue"/>
      <sheetName val="MgtGrazing"/>
      <sheetName val="MeasSoilPhys"/>
      <sheetName val="MeasSoilChem"/>
      <sheetName val="MeasSoilBiol"/>
      <sheetName val="MeasSoilCover"/>
      <sheetName val="MeasNutrientMonitoring"/>
      <sheetName val="MeasModYieldNutrientUptake"/>
      <sheetName val="MeasModBiomassMinAn"/>
      <sheetName val="MeasCropForageQuality "/>
      <sheetName val="MeasHarvestFraction"/>
      <sheetName val="MeasBiomassCHO"/>
      <sheetName val="MeasResidueMgt"/>
      <sheetName val="MeasModNutrientCycling"/>
      <sheetName val="MeasGHGFlux"/>
      <sheetName val="MeasModGasLeachingNutrientLoss"/>
      <sheetName val="MeasModWaterErosionNutriTranspt"/>
      <sheetName val="MeasModWindErosionNutriTranspt"/>
      <sheetName val="MeasGrazingPlants"/>
      <sheetName val="MeasSuppRes"/>
      <sheetName val="AllCellComments"/>
      <sheetName val="DropDownLists"/>
      <sheetName val="ValueDomains"/>
      <sheetName val="ValidationData"/>
      <sheetName val="DET_Import"/>
      <sheetName val="AutoCorrect"/>
    </sheetNames>
    <definedNames>
      <definedName name="expand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mailto:steve.delgrosso@ars.usda.gov"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rs.usda.gov/research/GRACEnet"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nrrc.ars.usda.gov/arsdataportal/"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2.xml"/><Relationship Id="rId29" Type="http://schemas.openxmlformats.org/officeDocument/2006/relationships/ctrlProp" Target="../ctrlProps/ctrlProp45.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74" Type="http://schemas.openxmlformats.org/officeDocument/2006/relationships/ctrlProp" Target="../ctrlProps/ctrlProp90.xml"/><Relationship Id="rId79" Type="http://schemas.openxmlformats.org/officeDocument/2006/relationships/ctrlProp" Target="../ctrlProps/ctrlProp95.xml"/><Relationship Id="rId87" Type="http://schemas.openxmlformats.org/officeDocument/2006/relationships/ctrlProp" Target="../ctrlProps/ctrlProp103.xml"/><Relationship Id="rId102" Type="http://schemas.openxmlformats.org/officeDocument/2006/relationships/ctrlProp" Target="../ctrlProps/ctrlProp118.xml"/><Relationship Id="rId5" Type="http://schemas.openxmlformats.org/officeDocument/2006/relationships/ctrlProp" Target="../ctrlProps/ctrlProp21.xml"/><Relationship Id="rId61" Type="http://schemas.openxmlformats.org/officeDocument/2006/relationships/ctrlProp" Target="../ctrlProps/ctrlProp77.xml"/><Relationship Id="rId82" Type="http://schemas.openxmlformats.org/officeDocument/2006/relationships/ctrlProp" Target="../ctrlProps/ctrlProp98.xml"/><Relationship Id="rId90" Type="http://schemas.openxmlformats.org/officeDocument/2006/relationships/ctrlProp" Target="../ctrlProps/ctrlProp106.xml"/><Relationship Id="rId95" Type="http://schemas.openxmlformats.org/officeDocument/2006/relationships/ctrlProp" Target="../ctrlProps/ctrlProp111.xml"/><Relationship Id="rId19" Type="http://schemas.openxmlformats.org/officeDocument/2006/relationships/ctrlProp" Target="../ctrlProps/ctrlProp3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69" Type="http://schemas.openxmlformats.org/officeDocument/2006/relationships/ctrlProp" Target="../ctrlProps/ctrlProp85.xml"/><Relationship Id="rId77" Type="http://schemas.openxmlformats.org/officeDocument/2006/relationships/ctrlProp" Target="../ctrlProps/ctrlProp93.xml"/><Relationship Id="rId100" Type="http://schemas.openxmlformats.org/officeDocument/2006/relationships/ctrlProp" Target="../ctrlProps/ctrlProp116.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80" Type="http://schemas.openxmlformats.org/officeDocument/2006/relationships/ctrlProp" Target="../ctrlProps/ctrlProp96.xml"/><Relationship Id="rId85" Type="http://schemas.openxmlformats.org/officeDocument/2006/relationships/ctrlProp" Target="../ctrlProps/ctrlProp101.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drawing" Target="../drawings/drawing3.xml"/><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 Id="rId67" Type="http://schemas.openxmlformats.org/officeDocument/2006/relationships/ctrlProp" Target="../ctrlProps/ctrlProp83.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vmlDrawing" Target="../drawings/vmlDrawing2.v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47" Type="http://schemas.openxmlformats.org/officeDocument/2006/relationships/ctrlProp" Target="../ctrlProps/ctrlProp165.xml"/><Relationship Id="rId50" Type="http://schemas.openxmlformats.org/officeDocument/2006/relationships/ctrlProp" Target="../ctrlProps/ctrlProp168.xml"/><Relationship Id="rId55" Type="http://schemas.openxmlformats.org/officeDocument/2006/relationships/ctrlProp" Target="../ctrlProps/ctrlProp173.xml"/><Relationship Id="rId63" Type="http://schemas.openxmlformats.org/officeDocument/2006/relationships/ctrlProp" Target="../ctrlProps/ctrlProp181.xml"/><Relationship Id="rId68" Type="http://schemas.openxmlformats.org/officeDocument/2006/relationships/ctrlProp" Target="../ctrlProps/ctrlProp186.xml"/><Relationship Id="rId76" Type="http://schemas.openxmlformats.org/officeDocument/2006/relationships/ctrlProp" Target="../ctrlProps/ctrlProp194.xml"/><Relationship Id="rId84" Type="http://schemas.openxmlformats.org/officeDocument/2006/relationships/ctrlProp" Target="../ctrlProps/ctrlProp202.xml"/><Relationship Id="rId89" Type="http://schemas.openxmlformats.org/officeDocument/2006/relationships/ctrlProp" Target="../ctrlProps/ctrlProp207.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16" Type="http://schemas.openxmlformats.org/officeDocument/2006/relationships/ctrlProp" Target="../ctrlProps/ctrlProp134.xml"/><Relationship Id="rId29" Type="http://schemas.openxmlformats.org/officeDocument/2006/relationships/ctrlProp" Target="../ctrlProps/ctrlProp147.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45" Type="http://schemas.openxmlformats.org/officeDocument/2006/relationships/ctrlProp" Target="../ctrlProps/ctrlProp163.xml"/><Relationship Id="rId53" Type="http://schemas.openxmlformats.org/officeDocument/2006/relationships/ctrlProp" Target="../ctrlProps/ctrlProp171.xml"/><Relationship Id="rId58" Type="http://schemas.openxmlformats.org/officeDocument/2006/relationships/ctrlProp" Target="../ctrlProps/ctrlProp176.xml"/><Relationship Id="rId66" Type="http://schemas.openxmlformats.org/officeDocument/2006/relationships/ctrlProp" Target="../ctrlProps/ctrlProp184.xml"/><Relationship Id="rId74" Type="http://schemas.openxmlformats.org/officeDocument/2006/relationships/ctrlProp" Target="../ctrlProps/ctrlProp192.xml"/><Relationship Id="rId79" Type="http://schemas.openxmlformats.org/officeDocument/2006/relationships/ctrlProp" Target="../ctrlProps/ctrlProp197.xml"/><Relationship Id="rId87" Type="http://schemas.openxmlformats.org/officeDocument/2006/relationships/ctrlProp" Target="../ctrlProps/ctrlProp205.xml"/><Relationship Id="rId102" Type="http://schemas.openxmlformats.org/officeDocument/2006/relationships/ctrlProp" Target="../ctrlProps/ctrlProp220.xml"/><Relationship Id="rId5" Type="http://schemas.openxmlformats.org/officeDocument/2006/relationships/ctrlProp" Target="../ctrlProps/ctrlProp123.xml"/><Relationship Id="rId61" Type="http://schemas.openxmlformats.org/officeDocument/2006/relationships/ctrlProp" Target="../ctrlProps/ctrlProp179.xml"/><Relationship Id="rId82" Type="http://schemas.openxmlformats.org/officeDocument/2006/relationships/ctrlProp" Target="../ctrlProps/ctrlProp200.xml"/><Relationship Id="rId90" Type="http://schemas.openxmlformats.org/officeDocument/2006/relationships/ctrlProp" Target="../ctrlProps/ctrlProp208.xml"/><Relationship Id="rId95" Type="http://schemas.openxmlformats.org/officeDocument/2006/relationships/ctrlProp" Target="../ctrlProps/ctrlProp213.xml"/><Relationship Id="rId19" Type="http://schemas.openxmlformats.org/officeDocument/2006/relationships/ctrlProp" Target="../ctrlProps/ctrlProp13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48" Type="http://schemas.openxmlformats.org/officeDocument/2006/relationships/ctrlProp" Target="../ctrlProps/ctrlProp166.xml"/><Relationship Id="rId56" Type="http://schemas.openxmlformats.org/officeDocument/2006/relationships/ctrlProp" Target="../ctrlProps/ctrlProp174.xml"/><Relationship Id="rId64" Type="http://schemas.openxmlformats.org/officeDocument/2006/relationships/ctrlProp" Target="../ctrlProps/ctrlProp182.xml"/><Relationship Id="rId69" Type="http://schemas.openxmlformats.org/officeDocument/2006/relationships/ctrlProp" Target="../ctrlProps/ctrlProp187.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80" Type="http://schemas.openxmlformats.org/officeDocument/2006/relationships/ctrlProp" Target="../ctrlProps/ctrlProp198.xml"/><Relationship Id="rId85" Type="http://schemas.openxmlformats.org/officeDocument/2006/relationships/ctrlProp" Target="../ctrlProps/ctrlProp203.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4.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5.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3" Type="http://schemas.openxmlformats.org/officeDocument/2006/relationships/ctrlProp" Target="../ctrlProps/ctrlProp270.xml"/><Relationship Id="rId58" Type="http://schemas.openxmlformats.org/officeDocument/2006/relationships/ctrlProp" Target="../ctrlProps/ctrlProp275.xml"/><Relationship Id="rId66" Type="http://schemas.openxmlformats.org/officeDocument/2006/relationships/ctrlProp" Target="../ctrlProps/ctrlProp283.xml"/><Relationship Id="rId74" Type="http://schemas.openxmlformats.org/officeDocument/2006/relationships/ctrlProp" Target="../ctrlProps/ctrlProp291.xml"/><Relationship Id="rId79" Type="http://schemas.openxmlformats.org/officeDocument/2006/relationships/ctrlProp" Target="../ctrlProps/ctrlProp296.xml"/><Relationship Id="rId87" Type="http://schemas.openxmlformats.org/officeDocument/2006/relationships/ctrlProp" Target="../ctrlProps/ctrlProp304.xml"/><Relationship Id="rId102" Type="http://schemas.openxmlformats.org/officeDocument/2006/relationships/ctrlProp" Target="../ctrlProps/ctrlProp319.xml"/><Relationship Id="rId5" Type="http://schemas.openxmlformats.org/officeDocument/2006/relationships/ctrlProp" Target="../ctrlProps/ctrlProp222.xml"/><Relationship Id="rId61" Type="http://schemas.openxmlformats.org/officeDocument/2006/relationships/ctrlProp" Target="../ctrlProps/ctrlProp278.xml"/><Relationship Id="rId82" Type="http://schemas.openxmlformats.org/officeDocument/2006/relationships/ctrlProp" Target="../ctrlProps/ctrlProp299.xml"/><Relationship Id="rId90" Type="http://schemas.openxmlformats.org/officeDocument/2006/relationships/ctrlProp" Target="../ctrlProps/ctrlProp307.xml"/><Relationship Id="rId95" Type="http://schemas.openxmlformats.org/officeDocument/2006/relationships/ctrlProp" Target="../ctrlProps/ctrlProp312.xml"/><Relationship Id="rId19" Type="http://schemas.openxmlformats.org/officeDocument/2006/relationships/ctrlProp" Target="../ctrlProps/ctrlProp23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56" Type="http://schemas.openxmlformats.org/officeDocument/2006/relationships/ctrlProp" Target="../ctrlProps/ctrlProp273.xml"/><Relationship Id="rId64" Type="http://schemas.openxmlformats.org/officeDocument/2006/relationships/ctrlProp" Target="../ctrlProps/ctrlProp281.xml"/><Relationship Id="rId69" Type="http://schemas.openxmlformats.org/officeDocument/2006/relationships/ctrlProp" Target="../ctrlProps/ctrlProp286.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80" Type="http://schemas.openxmlformats.org/officeDocument/2006/relationships/ctrlProp" Target="../ctrlProps/ctrlProp297.xml"/><Relationship Id="rId85" Type="http://schemas.openxmlformats.org/officeDocument/2006/relationships/ctrlProp" Target="../ctrlProps/ctrlProp302.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0.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6.xml"/><Relationship Id="rId16" Type="http://schemas.openxmlformats.org/officeDocument/2006/relationships/ctrlProp" Target="../ctrlProps/ctrlProp333.xml"/><Relationship Id="rId29" Type="http://schemas.openxmlformats.org/officeDocument/2006/relationships/ctrlProp" Target="../ctrlProps/ctrlProp346.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40" Type="http://schemas.openxmlformats.org/officeDocument/2006/relationships/ctrlProp" Target="../ctrlProps/ctrlProp357.xml"/><Relationship Id="rId45" Type="http://schemas.openxmlformats.org/officeDocument/2006/relationships/ctrlProp" Target="../ctrlProps/ctrlProp362.xml"/><Relationship Id="rId53" Type="http://schemas.openxmlformats.org/officeDocument/2006/relationships/ctrlProp" Target="../ctrlProps/ctrlProp370.xml"/><Relationship Id="rId58" Type="http://schemas.openxmlformats.org/officeDocument/2006/relationships/ctrlProp" Target="../ctrlProps/ctrlProp375.xml"/><Relationship Id="rId66" Type="http://schemas.openxmlformats.org/officeDocument/2006/relationships/ctrlProp" Target="../ctrlProps/ctrlProp383.xml"/><Relationship Id="rId74" Type="http://schemas.openxmlformats.org/officeDocument/2006/relationships/ctrlProp" Target="../ctrlProps/ctrlProp391.xml"/><Relationship Id="rId79" Type="http://schemas.openxmlformats.org/officeDocument/2006/relationships/ctrlProp" Target="../ctrlProps/ctrlProp396.xml"/><Relationship Id="rId87" Type="http://schemas.openxmlformats.org/officeDocument/2006/relationships/ctrlProp" Target="../ctrlProps/ctrlProp404.xml"/><Relationship Id="rId102" Type="http://schemas.openxmlformats.org/officeDocument/2006/relationships/ctrlProp" Target="../ctrlProps/ctrlProp419.xml"/><Relationship Id="rId5" Type="http://schemas.openxmlformats.org/officeDocument/2006/relationships/ctrlProp" Target="../ctrlProps/ctrlProp322.xml"/><Relationship Id="rId61" Type="http://schemas.openxmlformats.org/officeDocument/2006/relationships/ctrlProp" Target="../ctrlProps/ctrlProp378.xml"/><Relationship Id="rId82" Type="http://schemas.openxmlformats.org/officeDocument/2006/relationships/ctrlProp" Target="../ctrlProps/ctrlProp399.xml"/><Relationship Id="rId90" Type="http://schemas.openxmlformats.org/officeDocument/2006/relationships/ctrlProp" Target="../ctrlProps/ctrlProp407.xml"/><Relationship Id="rId95" Type="http://schemas.openxmlformats.org/officeDocument/2006/relationships/ctrlProp" Target="../ctrlProps/ctrlProp412.xml"/><Relationship Id="rId19" Type="http://schemas.openxmlformats.org/officeDocument/2006/relationships/ctrlProp" Target="../ctrlProps/ctrlProp33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43" Type="http://schemas.openxmlformats.org/officeDocument/2006/relationships/ctrlProp" Target="../ctrlProps/ctrlProp360.xml"/><Relationship Id="rId48" Type="http://schemas.openxmlformats.org/officeDocument/2006/relationships/ctrlProp" Target="../ctrlProps/ctrlProp365.xml"/><Relationship Id="rId56" Type="http://schemas.openxmlformats.org/officeDocument/2006/relationships/ctrlProp" Target="../ctrlProps/ctrlProp373.xml"/><Relationship Id="rId64" Type="http://schemas.openxmlformats.org/officeDocument/2006/relationships/ctrlProp" Target="../ctrlProps/ctrlProp381.xml"/><Relationship Id="rId69" Type="http://schemas.openxmlformats.org/officeDocument/2006/relationships/ctrlProp" Target="../ctrlProps/ctrlProp386.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80" Type="http://schemas.openxmlformats.org/officeDocument/2006/relationships/ctrlProp" Target="../ctrlProps/ctrlProp397.xml"/><Relationship Id="rId85" Type="http://schemas.openxmlformats.org/officeDocument/2006/relationships/ctrlProp" Target="../ctrlProps/ctrlProp402.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1.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42" Type="http://schemas.openxmlformats.org/officeDocument/2006/relationships/ctrlProp" Target="../ctrlProps/ctrlProp460.xml"/><Relationship Id="rId47" Type="http://schemas.openxmlformats.org/officeDocument/2006/relationships/ctrlProp" Target="../ctrlProps/ctrlProp465.xml"/><Relationship Id="rId50" Type="http://schemas.openxmlformats.org/officeDocument/2006/relationships/ctrlProp" Target="../ctrlProps/ctrlProp468.xml"/><Relationship Id="rId55" Type="http://schemas.openxmlformats.org/officeDocument/2006/relationships/ctrlProp" Target="../ctrlProps/ctrlProp473.xml"/><Relationship Id="rId63" Type="http://schemas.openxmlformats.org/officeDocument/2006/relationships/ctrlProp" Target="../ctrlProps/ctrlProp481.xml"/><Relationship Id="rId68" Type="http://schemas.openxmlformats.org/officeDocument/2006/relationships/ctrlProp" Target="../ctrlProps/ctrlProp486.xml"/><Relationship Id="rId76" Type="http://schemas.openxmlformats.org/officeDocument/2006/relationships/ctrlProp" Target="../ctrlProps/ctrlProp494.xml"/><Relationship Id="rId84" Type="http://schemas.openxmlformats.org/officeDocument/2006/relationships/ctrlProp" Target="../ctrlProps/ctrlProp502.xml"/><Relationship Id="rId89" Type="http://schemas.openxmlformats.org/officeDocument/2006/relationships/ctrlProp" Target="../ctrlProps/ctrlProp507.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16" Type="http://schemas.openxmlformats.org/officeDocument/2006/relationships/ctrlProp" Target="../ctrlProps/ctrlProp434.xml"/><Relationship Id="rId29" Type="http://schemas.openxmlformats.org/officeDocument/2006/relationships/ctrlProp" Target="../ctrlProps/ctrlProp447.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40" Type="http://schemas.openxmlformats.org/officeDocument/2006/relationships/ctrlProp" Target="../ctrlProps/ctrlProp458.xml"/><Relationship Id="rId45" Type="http://schemas.openxmlformats.org/officeDocument/2006/relationships/ctrlProp" Target="../ctrlProps/ctrlProp463.xml"/><Relationship Id="rId53" Type="http://schemas.openxmlformats.org/officeDocument/2006/relationships/ctrlProp" Target="../ctrlProps/ctrlProp471.xml"/><Relationship Id="rId58" Type="http://schemas.openxmlformats.org/officeDocument/2006/relationships/ctrlProp" Target="../ctrlProps/ctrlProp476.xml"/><Relationship Id="rId66" Type="http://schemas.openxmlformats.org/officeDocument/2006/relationships/ctrlProp" Target="../ctrlProps/ctrlProp484.xml"/><Relationship Id="rId74" Type="http://schemas.openxmlformats.org/officeDocument/2006/relationships/ctrlProp" Target="../ctrlProps/ctrlProp492.xml"/><Relationship Id="rId79" Type="http://schemas.openxmlformats.org/officeDocument/2006/relationships/ctrlProp" Target="../ctrlProps/ctrlProp497.xml"/><Relationship Id="rId87" Type="http://schemas.openxmlformats.org/officeDocument/2006/relationships/ctrlProp" Target="../ctrlProps/ctrlProp505.xml"/><Relationship Id="rId102" Type="http://schemas.openxmlformats.org/officeDocument/2006/relationships/ctrlProp" Target="../ctrlProps/ctrlProp520.xml"/><Relationship Id="rId5" Type="http://schemas.openxmlformats.org/officeDocument/2006/relationships/ctrlProp" Target="../ctrlProps/ctrlProp423.xml"/><Relationship Id="rId61" Type="http://schemas.openxmlformats.org/officeDocument/2006/relationships/ctrlProp" Target="../ctrlProps/ctrlProp479.xml"/><Relationship Id="rId82" Type="http://schemas.openxmlformats.org/officeDocument/2006/relationships/ctrlProp" Target="../ctrlProps/ctrlProp500.xml"/><Relationship Id="rId90" Type="http://schemas.openxmlformats.org/officeDocument/2006/relationships/ctrlProp" Target="../ctrlProps/ctrlProp508.xml"/><Relationship Id="rId95" Type="http://schemas.openxmlformats.org/officeDocument/2006/relationships/ctrlProp" Target="../ctrlProps/ctrlProp513.xml"/><Relationship Id="rId19" Type="http://schemas.openxmlformats.org/officeDocument/2006/relationships/ctrlProp" Target="../ctrlProps/ctrlProp43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43" Type="http://schemas.openxmlformats.org/officeDocument/2006/relationships/ctrlProp" Target="../ctrlProps/ctrlProp461.xml"/><Relationship Id="rId48" Type="http://schemas.openxmlformats.org/officeDocument/2006/relationships/ctrlProp" Target="../ctrlProps/ctrlProp466.xml"/><Relationship Id="rId56" Type="http://schemas.openxmlformats.org/officeDocument/2006/relationships/ctrlProp" Target="../ctrlProps/ctrlProp474.xml"/><Relationship Id="rId64" Type="http://schemas.openxmlformats.org/officeDocument/2006/relationships/ctrlProp" Target="../ctrlProps/ctrlProp482.xml"/><Relationship Id="rId69" Type="http://schemas.openxmlformats.org/officeDocument/2006/relationships/ctrlProp" Target="../ctrlProps/ctrlProp487.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80" Type="http://schemas.openxmlformats.org/officeDocument/2006/relationships/ctrlProp" Target="../ctrlProps/ctrlProp498.xml"/><Relationship Id="rId85" Type="http://schemas.openxmlformats.org/officeDocument/2006/relationships/ctrlProp" Target="../ctrlProps/ctrlProp503.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7.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s>
</file>

<file path=xl/worksheets/_rels/sheet21.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8.xml"/><Relationship Id="rId16" Type="http://schemas.openxmlformats.org/officeDocument/2006/relationships/ctrlProp" Target="../ctrlProps/ctrlProp533.xml"/><Relationship Id="rId29" Type="http://schemas.openxmlformats.org/officeDocument/2006/relationships/ctrlProp" Target="../ctrlProps/ctrlProp546.xml"/><Relationship Id="rId11" Type="http://schemas.openxmlformats.org/officeDocument/2006/relationships/ctrlProp" Target="../ctrlProps/ctrlProp528.xml"/><Relationship Id="rId24" Type="http://schemas.openxmlformats.org/officeDocument/2006/relationships/ctrlProp" Target="../ctrlProps/ctrlProp541.xml"/><Relationship Id="rId32" Type="http://schemas.openxmlformats.org/officeDocument/2006/relationships/ctrlProp" Target="../ctrlProps/ctrlProp549.xml"/><Relationship Id="rId37" Type="http://schemas.openxmlformats.org/officeDocument/2006/relationships/ctrlProp" Target="../ctrlProps/ctrlProp554.xml"/><Relationship Id="rId40" Type="http://schemas.openxmlformats.org/officeDocument/2006/relationships/ctrlProp" Target="../ctrlProps/ctrlProp557.xml"/><Relationship Id="rId45" Type="http://schemas.openxmlformats.org/officeDocument/2006/relationships/ctrlProp" Target="../ctrlProps/ctrlProp562.xml"/><Relationship Id="rId53" Type="http://schemas.openxmlformats.org/officeDocument/2006/relationships/ctrlProp" Target="../ctrlProps/ctrlProp570.xml"/><Relationship Id="rId58" Type="http://schemas.openxmlformats.org/officeDocument/2006/relationships/ctrlProp" Target="../ctrlProps/ctrlProp575.xml"/><Relationship Id="rId66" Type="http://schemas.openxmlformats.org/officeDocument/2006/relationships/ctrlProp" Target="../ctrlProps/ctrlProp583.xml"/><Relationship Id="rId74" Type="http://schemas.openxmlformats.org/officeDocument/2006/relationships/ctrlProp" Target="../ctrlProps/ctrlProp591.xml"/><Relationship Id="rId79" Type="http://schemas.openxmlformats.org/officeDocument/2006/relationships/ctrlProp" Target="../ctrlProps/ctrlProp596.xml"/><Relationship Id="rId87" Type="http://schemas.openxmlformats.org/officeDocument/2006/relationships/ctrlProp" Target="../ctrlProps/ctrlProp604.xml"/><Relationship Id="rId102" Type="http://schemas.openxmlformats.org/officeDocument/2006/relationships/ctrlProp" Target="../ctrlProps/ctrlProp619.xml"/><Relationship Id="rId5" Type="http://schemas.openxmlformats.org/officeDocument/2006/relationships/ctrlProp" Target="../ctrlProps/ctrlProp522.xml"/><Relationship Id="rId61" Type="http://schemas.openxmlformats.org/officeDocument/2006/relationships/ctrlProp" Target="../ctrlProps/ctrlProp578.xml"/><Relationship Id="rId82" Type="http://schemas.openxmlformats.org/officeDocument/2006/relationships/ctrlProp" Target="../ctrlProps/ctrlProp599.xml"/><Relationship Id="rId90" Type="http://schemas.openxmlformats.org/officeDocument/2006/relationships/ctrlProp" Target="../ctrlProps/ctrlProp607.xml"/><Relationship Id="rId95" Type="http://schemas.openxmlformats.org/officeDocument/2006/relationships/ctrlProp" Target="../ctrlProps/ctrlProp612.xml"/><Relationship Id="rId19" Type="http://schemas.openxmlformats.org/officeDocument/2006/relationships/ctrlProp" Target="../ctrlProps/ctrlProp536.xml"/><Relationship Id="rId14" Type="http://schemas.openxmlformats.org/officeDocument/2006/relationships/ctrlProp" Target="../ctrlProps/ctrlProp531.xml"/><Relationship Id="rId22" Type="http://schemas.openxmlformats.org/officeDocument/2006/relationships/ctrlProp" Target="../ctrlProps/ctrlProp539.xml"/><Relationship Id="rId27" Type="http://schemas.openxmlformats.org/officeDocument/2006/relationships/ctrlProp" Target="../ctrlProps/ctrlProp544.xml"/><Relationship Id="rId30" Type="http://schemas.openxmlformats.org/officeDocument/2006/relationships/ctrlProp" Target="../ctrlProps/ctrlProp547.xml"/><Relationship Id="rId35" Type="http://schemas.openxmlformats.org/officeDocument/2006/relationships/ctrlProp" Target="../ctrlProps/ctrlProp552.xml"/><Relationship Id="rId43" Type="http://schemas.openxmlformats.org/officeDocument/2006/relationships/ctrlProp" Target="../ctrlProps/ctrlProp560.xml"/><Relationship Id="rId48" Type="http://schemas.openxmlformats.org/officeDocument/2006/relationships/ctrlProp" Target="../ctrlProps/ctrlProp565.xml"/><Relationship Id="rId56" Type="http://schemas.openxmlformats.org/officeDocument/2006/relationships/ctrlProp" Target="../ctrlProps/ctrlProp573.xml"/><Relationship Id="rId64" Type="http://schemas.openxmlformats.org/officeDocument/2006/relationships/ctrlProp" Target="../ctrlProps/ctrlProp581.xml"/><Relationship Id="rId69" Type="http://schemas.openxmlformats.org/officeDocument/2006/relationships/ctrlProp" Target="../ctrlProps/ctrlProp586.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80" Type="http://schemas.openxmlformats.org/officeDocument/2006/relationships/ctrlProp" Target="../ctrlProps/ctrlProp597.xml"/><Relationship Id="rId85" Type="http://schemas.openxmlformats.org/officeDocument/2006/relationships/ctrlProp" Target="../ctrlProps/ctrlProp602.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2.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8.v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9.v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8.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10.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10.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18.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trlProp" Target="../ctrlProps/ctrlProp652.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tabSelected="1" zoomScaleNormal="100" workbookViewId="0">
      <selection activeCell="B89" sqref="B89"/>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6"/>
  </cols>
  <sheetData>
    <row r="1" spans="1:23" ht="31.5" customHeight="1" x14ac:dyDescent="0.3">
      <c r="A1" s="54" t="s">
        <v>397</v>
      </c>
      <c r="B1" s="52"/>
      <c r="C1" s="53"/>
      <c r="D1" s="53"/>
      <c r="E1" s="53"/>
      <c r="F1" s="53"/>
      <c r="G1" s="53"/>
      <c r="H1" s="53"/>
      <c r="I1" s="53"/>
      <c r="J1" s="53"/>
      <c r="K1" s="880"/>
      <c r="L1" s="880"/>
      <c r="M1" s="880"/>
      <c r="N1" s="880"/>
      <c r="O1" s="47"/>
    </row>
    <row r="2" spans="1:23" ht="21.75" customHeight="1" x14ac:dyDescent="0.4">
      <c r="A2" s="56" t="s">
        <v>400</v>
      </c>
      <c r="B2" s="108"/>
      <c r="C2" s="53"/>
      <c r="D2" s="108"/>
      <c r="E2" s="47"/>
      <c r="F2" s="53"/>
      <c r="G2" s="53"/>
      <c r="H2" s="53"/>
      <c r="I2" s="53"/>
      <c r="J2" s="53"/>
      <c r="K2" s="880"/>
      <c r="L2" s="880"/>
      <c r="M2" s="880"/>
      <c r="N2" s="880"/>
      <c r="O2" s="47"/>
    </row>
    <row r="3" spans="1:23" ht="31.5" customHeight="1" x14ac:dyDescent="0.55000000000000004">
      <c r="A3" s="47"/>
      <c r="B3" s="53"/>
      <c r="C3" s="55" t="s">
        <v>398</v>
      </c>
      <c r="D3" s="47"/>
      <c r="E3" s="53"/>
      <c r="F3" s="53"/>
      <c r="G3" s="53"/>
      <c r="H3" s="53"/>
      <c r="I3" s="53"/>
      <c r="J3" s="880"/>
      <c r="K3" s="880"/>
      <c r="L3" s="880"/>
      <c r="M3" s="47"/>
      <c r="N3" s="880"/>
      <c r="O3" s="47"/>
    </row>
    <row r="4" spans="1:23" ht="21.75" customHeight="1" x14ac:dyDescent="0.4">
      <c r="A4" s="880"/>
      <c r="B4" s="53"/>
      <c r="C4" s="57" t="s">
        <v>1456</v>
      </c>
      <c r="D4" s="880"/>
      <c r="E4" s="880"/>
      <c r="F4" s="880"/>
      <c r="G4" s="880"/>
      <c r="H4" s="880"/>
      <c r="I4" s="880"/>
      <c r="J4" s="880"/>
      <c r="K4" s="880" t="s">
        <v>401</v>
      </c>
      <c r="L4" s="880"/>
      <c r="M4" s="52"/>
      <c r="N4" s="880"/>
      <c r="O4" s="47"/>
    </row>
    <row r="5" spans="1:23" s="43" customFormat="1" ht="17.25" customHeight="1" x14ac:dyDescent="0.4">
      <c r="A5" s="880"/>
      <c r="B5" s="106"/>
      <c r="C5" s="57"/>
      <c r="D5" s="880"/>
      <c r="E5" s="880"/>
      <c r="F5" s="880"/>
      <c r="G5" s="880"/>
      <c r="H5" s="880"/>
      <c r="I5" s="880"/>
      <c r="J5" s="880"/>
      <c r="K5" s="880"/>
      <c r="L5" s="880"/>
      <c r="M5" s="52"/>
      <c r="N5" s="880"/>
      <c r="O5" s="47"/>
    </row>
    <row r="6" spans="1:23" ht="17.25" customHeight="1" x14ac:dyDescent="0.3">
      <c r="A6" s="1475" t="s">
        <v>1527</v>
      </c>
      <c r="B6" s="840" t="s">
        <v>1542</v>
      </c>
      <c r="C6" s="841"/>
      <c r="D6" s="841"/>
      <c r="E6" s="841"/>
      <c r="F6" s="841"/>
      <c r="G6" s="841"/>
      <c r="H6" s="842"/>
      <c r="I6" s="843"/>
      <c r="J6" s="843"/>
      <c r="K6" s="880"/>
      <c r="L6" s="880"/>
      <c r="M6" s="880"/>
      <c r="N6" s="880"/>
      <c r="O6" s="47"/>
    </row>
    <row r="7" spans="1:23" ht="17.25" customHeight="1" x14ac:dyDescent="0.3">
      <c r="A7" s="1475"/>
      <c r="B7" s="844"/>
      <c r="C7" s="844"/>
      <c r="D7" s="844"/>
      <c r="E7" s="844"/>
      <c r="F7" s="844"/>
      <c r="G7" s="844"/>
      <c r="H7" s="844"/>
      <c r="I7" s="845"/>
      <c r="J7" s="846"/>
      <c r="K7" s="880"/>
      <c r="L7" s="880"/>
      <c r="M7" s="880"/>
      <c r="N7" s="880"/>
      <c r="O7" s="47"/>
    </row>
    <row r="8" spans="1:23" ht="17.25" customHeight="1" x14ac:dyDescent="0.3">
      <c r="A8" s="1475"/>
      <c r="B8" s="847" t="s">
        <v>1528</v>
      </c>
      <c r="C8" s="848"/>
      <c r="D8" s="848"/>
      <c r="E8" s="848"/>
      <c r="F8" s="848"/>
      <c r="G8" s="848"/>
      <c r="H8" s="849"/>
      <c r="I8" s="850"/>
      <c r="J8" s="851"/>
      <c r="K8" s="880"/>
      <c r="L8" s="880"/>
      <c r="M8" s="880"/>
      <c r="N8" s="880"/>
      <c r="O8" s="47"/>
    </row>
    <row r="9" spans="1:23" s="45" customFormat="1" ht="17.25" customHeight="1" x14ac:dyDescent="0.3">
      <c r="A9" s="1475"/>
      <c r="B9" s="852"/>
      <c r="C9" s="852"/>
      <c r="D9" s="852"/>
      <c r="E9" s="852"/>
      <c r="F9" s="852"/>
      <c r="G9" s="852"/>
      <c r="H9" s="852"/>
      <c r="I9" s="853"/>
      <c r="J9" s="854"/>
      <c r="K9" s="880"/>
      <c r="L9" s="880"/>
      <c r="M9" s="880"/>
      <c r="N9" s="880"/>
      <c r="O9" s="923"/>
    </row>
    <row r="10" spans="1:23" ht="17.25" customHeight="1" x14ac:dyDescent="0.3">
      <c r="A10" s="1475"/>
      <c r="B10" s="855" t="s">
        <v>1529</v>
      </c>
      <c r="C10" s="856"/>
      <c r="D10" s="856"/>
      <c r="E10" s="856"/>
      <c r="F10" s="856"/>
      <c r="G10" s="856"/>
      <c r="H10" s="857"/>
      <c r="I10" s="858"/>
      <c r="J10" s="858"/>
      <c r="K10" s="880"/>
      <c r="L10" s="880"/>
      <c r="M10" s="880"/>
      <c r="N10" s="880"/>
      <c r="O10" s="47"/>
    </row>
    <row r="11" spans="1:23" s="43" customFormat="1" ht="17.25" customHeight="1" x14ac:dyDescent="0.3">
      <c r="A11" s="1475"/>
      <c r="B11" s="844"/>
      <c r="C11" s="844"/>
      <c r="D11" s="844"/>
      <c r="E11" s="844"/>
      <c r="F11" s="844"/>
      <c r="G11" s="844"/>
      <c r="H11" s="844"/>
      <c r="I11" s="845"/>
      <c r="J11" s="846"/>
      <c r="K11" s="880"/>
      <c r="L11" s="880"/>
      <c r="M11" s="880"/>
      <c r="N11" s="880"/>
      <c r="O11" s="47"/>
    </row>
    <row r="12" spans="1:23" s="43" customFormat="1" ht="17.25" customHeight="1" x14ac:dyDescent="0.3">
      <c r="A12" s="1475"/>
      <c r="B12" s="859" t="s">
        <v>1530</v>
      </c>
      <c r="C12" s="860"/>
      <c r="D12" s="860"/>
      <c r="E12" s="860"/>
      <c r="F12" s="860"/>
      <c r="G12" s="860"/>
      <c r="H12" s="861"/>
      <c r="I12" s="862"/>
      <c r="J12" s="862"/>
      <c r="K12" s="880"/>
      <c r="L12" s="880"/>
      <c r="M12" s="880"/>
      <c r="N12" s="880"/>
      <c r="O12" s="47"/>
    </row>
    <row r="13" spans="1:23" s="43" customFormat="1" ht="17.25" customHeight="1" x14ac:dyDescent="0.3">
      <c r="A13" s="1475"/>
      <c r="B13" s="880"/>
      <c r="C13" s="880"/>
      <c r="D13" s="880"/>
      <c r="E13" s="880"/>
      <c r="F13" s="880"/>
      <c r="G13" s="880"/>
      <c r="H13" s="880"/>
      <c r="I13" s="880"/>
      <c r="J13" s="880"/>
      <c r="K13" s="880"/>
      <c r="L13" s="880"/>
      <c r="M13" s="880"/>
      <c r="N13" s="880"/>
      <c r="O13" s="47"/>
    </row>
    <row r="14" spans="1:23" s="43" customFormat="1" ht="17.25" customHeight="1" x14ac:dyDescent="0.3">
      <c r="A14" s="1475"/>
      <c r="B14" s="863" t="s">
        <v>1531</v>
      </c>
      <c r="C14" s="864"/>
      <c r="D14" s="864"/>
      <c r="E14" s="864"/>
      <c r="F14" s="864"/>
      <c r="G14" s="864"/>
      <c r="H14" s="865"/>
      <c r="I14" s="866"/>
      <c r="J14" s="866"/>
      <c r="K14" s="880"/>
      <c r="L14" s="880"/>
      <c r="M14" s="880"/>
      <c r="N14" s="880"/>
      <c r="O14" s="47"/>
    </row>
    <row r="15" spans="1:23" ht="17.25" customHeight="1" x14ac:dyDescent="0.3">
      <c r="A15" s="880"/>
      <c r="B15" s="880"/>
      <c r="C15" s="880"/>
      <c r="D15" s="880"/>
      <c r="E15" s="880"/>
      <c r="F15" s="880"/>
      <c r="G15" s="880"/>
      <c r="H15" s="880"/>
      <c r="I15" s="880"/>
      <c r="J15" s="880"/>
      <c r="K15" s="880"/>
      <c r="L15" s="880"/>
      <c r="M15" s="880"/>
      <c r="N15" s="880"/>
      <c r="O15" s="47"/>
    </row>
    <row r="16" spans="1:23" ht="17.25" customHeight="1" x14ac:dyDescent="0.3">
      <c r="A16" s="880"/>
      <c r="B16" s="867" t="s">
        <v>399</v>
      </c>
      <c r="C16" s="868"/>
      <c r="D16" s="53"/>
      <c r="E16" s="880"/>
      <c r="F16" s="880"/>
      <c r="G16" s="880"/>
      <c r="H16" s="880"/>
      <c r="I16" s="880"/>
      <c r="J16" s="880"/>
      <c r="K16" s="880"/>
      <c r="L16" s="880"/>
      <c r="M16" s="880"/>
      <c r="N16" s="880"/>
      <c r="O16" s="924"/>
      <c r="P16" s="42"/>
      <c r="Q16" s="42"/>
      <c r="R16" s="42"/>
      <c r="S16" s="42"/>
      <c r="T16" s="42"/>
      <c r="U16" s="42"/>
      <c r="V16" s="42"/>
      <c r="W16" s="42"/>
    </row>
    <row r="17" spans="1:23" ht="17.25" customHeight="1" x14ac:dyDescent="0.3">
      <c r="A17" s="880"/>
      <c r="B17" s="170" t="s">
        <v>1538</v>
      </c>
      <c r="C17" s="170"/>
      <c r="D17" s="170"/>
      <c r="E17" s="170"/>
      <c r="F17" s="170"/>
      <c r="G17" s="170"/>
      <c r="H17" s="170"/>
      <c r="I17" s="170"/>
      <c r="J17" s="170"/>
      <c r="K17" s="880"/>
      <c r="L17" s="880"/>
      <c r="M17" s="880"/>
      <c r="N17" s="880"/>
      <c r="O17" s="924"/>
      <c r="P17" s="42"/>
      <c r="Q17" s="42"/>
      <c r="R17" s="42"/>
      <c r="S17" s="42"/>
      <c r="T17" s="42"/>
      <c r="U17" s="42"/>
      <c r="V17" s="42"/>
      <c r="W17" s="42"/>
    </row>
    <row r="18" spans="1:23" ht="17.25" customHeight="1" x14ac:dyDescent="0.3">
      <c r="A18" s="880"/>
      <c r="B18" s="170" t="s">
        <v>1532</v>
      </c>
      <c r="C18" s="170"/>
      <c r="D18" s="170"/>
      <c r="E18" s="170"/>
      <c r="F18" s="170"/>
      <c r="G18" s="170"/>
      <c r="H18" s="170"/>
      <c r="I18" s="170"/>
      <c r="J18" s="170"/>
      <c r="K18" s="880"/>
      <c r="L18" s="880"/>
      <c r="M18" s="880"/>
      <c r="N18" s="880"/>
      <c r="O18" s="924"/>
      <c r="P18" s="42"/>
      <c r="Q18" s="42"/>
      <c r="R18" s="42"/>
      <c r="S18" s="42"/>
      <c r="T18" s="42"/>
      <c r="U18" s="42"/>
      <c r="V18" s="42"/>
      <c r="W18" s="42"/>
    </row>
    <row r="19" spans="1:23" ht="17.25" customHeight="1" x14ac:dyDescent="0.3">
      <c r="A19" s="880"/>
      <c r="B19" s="170" t="s">
        <v>1533</v>
      </c>
      <c r="C19" s="961"/>
      <c r="D19" s="961"/>
      <c r="E19" s="961"/>
      <c r="F19" s="961"/>
      <c r="G19" s="961"/>
      <c r="H19" s="961"/>
      <c r="I19" s="961"/>
      <c r="J19" s="961"/>
      <c r="K19" s="880"/>
      <c r="L19" s="880"/>
      <c r="M19" s="880"/>
      <c r="N19" s="880"/>
      <c r="O19" s="924"/>
      <c r="P19" s="42"/>
      <c r="Q19" s="42"/>
      <c r="R19" s="42"/>
      <c r="S19" s="42"/>
      <c r="T19" s="42"/>
      <c r="U19" s="42"/>
      <c r="V19" s="42"/>
      <c r="W19" s="42"/>
    </row>
    <row r="20" spans="1:23" ht="17.25" customHeight="1" x14ac:dyDescent="0.3">
      <c r="A20" s="880"/>
      <c r="B20" s="170" t="s">
        <v>1534</v>
      </c>
      <c r="C20" s="170"/>
      <c r="D20" s="170"/>
      <c r="E20" s="170"/>
      <c r="F20" s="170"/>
      <c r="G20" s="170"/>
      <c r="H20" s="170"/>
      <c r="I20" s="170"/>
      <c r="J20" s="170"/>
      <c r="K20" s="880"/>
      <c r="L20" s="880"/>
      <c r="M20" s="880"/>
      <c r="N20" s="880"/>
      <c r="O20" s="924"/>
      <c r="P20" s="42"/>
      <c r="Q20" s="42"/>
      <c r="R20" s="42"/>
      <c r="S20" s="42"/>
      <c r="T20" s="42"/>
      <c r="U20" s="42"/>
      <c r="V20" s="42"/>
      <c r="W20" s="42"/>
    </row>
    <row r="21" spans="1:23" ht="17.25" customHeight="1" x14ac:dyDescent="0.3">
      <c r="A21" s="880"/>
      <c r="B21" s="170" t="s">
        <v>1535</v>
      </c>
      <c r="C21" s="170"/>
      <c r="D21" s="170"/>
      <c r="E21" s="170"/>
      <c r="F21" s="170"/>
      <c r="G21" s="170"/>
      <c r="H21" s="170"/>
      <c r="I21" s="170"/>
      <c r="J21" s="170"/>
      <c r="K21" s="880"/>
      <c r="L21" s="880"/>
      <c r="M21" s="880"/>
      <c r="N21" s="880"/>
      <c r="O21" s="924"/>
      <c r="P21" s="42"/>
      <c r="Q21" s="42"/>
      <c r="R21" s="42"/>
      <c r="S21" s="42"/>
      <c r="T21" s="42"/>
      <c r="U21" s="42"/>
      <c r="V21" s="42"/>
      <c r="W21" s="42"/>
    </row>
    <row r="22" spans="1:23" ht="17.25" customHeight="1" x14ac:dyDescent="0.3">
      <c r="A22" s="880"/>
      <c r="B22" s="170"/>
      <c r="C22" s="170"/>
      <c r="D22" s="170"/>
      <c r="E22" s="170"/>
      <c r="F22" s="170"/>
      <c r="G22" s="170"/>
      <c r="H22" s="170"/>
      <c r="I22" s="170"/>
      <c r="J22" s="170"/>
      <c r="K22" s="880"/>
      <c r="L22" s="880"/>
      <c r="M22" s="880"/>
      <c r="N22" s="880"/>
      <c r="O22" s="924"/>
      <c r="P22" s="42"/>
      <c r="Q22" s="42"/>
      <c r="R22" s="42"/>
      <c r="S22" s="42"/>
      <c r="T22" s="42"/>
      <c r="U22" s="42"/>
      <c r="V22" s="42"/>
      <c r="W22" s="42"/>
    </row>
    <row r="23" spans="1:23" ht="17.25" customHeight="1" x14ac:dyDescent="0.3">
      <c r="A23" s="880"/>
      <c r="B23" s="869" t="s">
        <v>1536</v>
      </c>
      <c r="C23" s="881"/>
      <c r="D23" s="881"/>
      <c r="E23" s="881"/>
      <c r="F23" s="881"/>
      <c r="G23" s="881"/>
      <c r="H23" s="881"/>
      <c r="I23" s="881"/>
      <c r="J23" s="881"/>
      <c r="K23" s="880"/>
      <c r="L23" s="880"/>
      <c r="M23" s="880"/>
      <c r="N23" s="880"/>
      <c r="O23" s="924"/>
      <c r="P23" s="42"/>
      <c r="Q23" s="42"/>
      <c r="R23" s="42"/>
      <c r="S23" s="42"/>
      <c r="T23" s="42"/>
      <c r="U23" s="42"/>
      <c r="V23" s="42"/>
      <c r="W23" s="42"/>
    </row>
    <row r="24" spans="1:23" ht="30" customHeight="1" x14ac:dyDescent="0.3">
      <c r="A24" s="880"/>
      <c r="B24" s="1476" t="s">
        <v>1545</v>
      </c>
      <c r="C24" s="1476"/>
      <c r="D24" s="1476"/>
      <c r="E24" s="1476"/>
      <c r="F24" s="1476"/>
      <c r="G24" s="1476"/>
      <c r="H24" s="1476"/>
      <c r="I24" s="1476"/>
      <c r="J24" s="1476"/>
      <c r="K24" s="880"/>
      <c r="L24" s="880"/>
      <c r="M24" s="880"/>
      <c r="N24" s="880"/>
      <c r="O24" s="924"/>
      <c r="P24" s="42"/>
      <c r="Q24" s="42"/>
      <c r="R24" s="42"/>
      <c r="S24" s="42"/>
      <c r="T24" s="42"/>
      <c r="U24" s="42"/>
      <c r="V24" s="42"/>
      <c r="W24" s="42"/>
    </row>
    <row r="25" spans="1:23" ht="34.5" customHeight="1" x14ac:dyDescent="0.3">
      <c r="A25" s="880"/>
      <c r="B25" s="1476" t="s">
        <v>1554</v>
      </c>
      <c r="C25" s="1476"/>
      <c r="D25" s="1476"/>
      <c r="E25" s="1476"/>
      <c r="F25" s="1476"/>
      <c r="G25" s="1476"/>
      <c r="H25" s="1476"/>
      <c r="I25" s="1476"/>
      <c r="J25" s="1476"/>
      <c r="K25" s="880"/>
      <c r="L25" s="880"/>
      <c r="M25" s="880"/>
      <c r="N25" s="880"/>
      <c r="O25" s="924"/>
      <c r="P25" s="42"/>
      <c r="Q25" s="42"/>
      <c r="R25" s="42"/>
      <c r="S25" s="42"/>
      <c r="T25" s="42"/>
      <c r="U25" s="42"/>
      <c r="V25" s="42"/>
      <c r="W25" s="42"/>
    </row>
    <row r="26" spans="1:23" ht="15.75" customHeight="1" x14ac:dyDescent="0.3">
      <c r="A26" s="880"/>
      <c r="B26" s="881" t="s">
        <v>1556</v>
      </c>
      <c r="C26" s="960"/>
      <c r="D26" s="960"/>
      <c r="E26" s="960"/>
      <c r="F26" s="960"/>
      <c r="G26" s="960"/>
      <c r="H26" s="960"/>
      <c r="I26" s="960"/>
      <c r="J26" s="960"/>
      <c r="K26" s="880"/>
      <c r="L26" s="880"/>
      <c r="M26" s="880"/>
      <c r="N26" s="880"/>
      <c r="O26" s="924"/>
      <c r="P26" s="42"/>
      <c r="Q26" s="42"/>
      <c r="R26" s="42"/>
      <c r="S26" s="42"/>
      <c r="T26" s="42"/>
      <c r="U26" s="42"/>
      <c r="V26" s="42"/>
      <c r="W26" s="42"/>
    </row>
    <row r="27" spans="1:23" ht="15.6" x14ac:dyDescent="0.3">
      <c r="A27" s="880"/>
      <c r="B27" s="881" t="s">
        <v>1546</v>
      </c>
      <c r="C27" s="960"/>
      <c r="D27" s="960"/>
      <c r="E27" s="960"/>
      <c r="F27" s="960"/>
      <c r="G27" s="960"/>
      <c r="H27" s="960"/>
      <c r="I27" s="919" t="s">
        <v>1557</v>
      </c>
      <c r="J27" s="960"/>
      <c r="K27" s="880"/>
      <c r="L27" s="880"/>
      <c r="M27" s="880"/>
      <c r="N27" s="880"/>
      <c r="O27" s="47"/>
    </row>
    <row r="28" spans="1:23" x14ac:dyDescent="0.3">
      <c r="A28" s="47"/>
      <c r="B28" s="53"/>
      <c r="C28" s="53"/>
      <c r="D28" s="53"/>
      <c r="E28" s="53"/>
      <c r="F28" s="53"/>
      <c r="G28" s="53"/>
      <c r="H28" s="53"/>
      <c r="I28" s="53"/>
      <c r="J28" s="53"/>
      <c r="K28" s="47"/>
      <c r="L28" s="47"/>
      <c r="M28" s="47"/>
      <c r="N28" s="880"/>
      <c r="O28" s="47"/>
    </row>
    <row r="29" spans="1:23" ht="17.25" customHeight="1" x14ac:dyDescent="0.3">
      <c r="A29" s="880"/>
      <c r="B29" s="867" t="s">
        <v>784</v>
      </c>
      <c r="C29" s="870"/>
      <c r="D29" s="162"/>
      <c r="E29" s="162"/>
      <c r="F29" s="162"/>
      <c r="G29" s="162"/>
      <c r="H29" s="162"/>
      <c r="I29" s="162"/>
      <c r="J29" s="162"/>
      <c r="K29" s="880"/>
      <c r="L29" s="880"/>
      <c r="M29" s="880"/>
      <c r="N29" s="880"/>
      <c r="O29" s="47"/>
    </row>
    <row r="30" spans="1:23" ht="17.25" customHeight="1" x14ac:dyDescent="0.3">
      <c r="A30" s="880"/>
      <c r="B30" s="163" t="s">
        <v>788</v>
      </c>
      <c r="C30" s="162"/>
      <c r="D30" s="162"/>
      <c r="E30" s="162"/>
      <c r="F30" s="162"/>
      <c r="G30" s="162"/>
      <c r="H30" s="162"/>
      <c r="I30" s="162"/>
      <c r="J30" s="162"/>
      <c r="K30" s="880"/>
      <c r="L30" s="880"/>
      <c r="M30" s="880"/>
      <c r="N30" s="880"/>
      <c r="O30" s="47"/>
    </row>
    <row r="31" spans="1:23" ht="45" customHeight="1" x14ac:dyDescent="0.3">
      <c r="A31" s="880"/>
      <c r="B31" s="1477" t="s">
        <v>1537</v>
      </c>
      <c r="C31" s="1477"/>
      <c r="D31" s="1477"/>
      <c r="E31" s="1477"/>
      <c r="F31" s="1477"/>
      <c r="G31" s="1477"/>
      <c r="H31" s="1477"/>
      <c r="I31" s="1477"/>
      <c r="J31" s="1477"/>
      <c r="K31" s="880"/>
      <c r="L31" s="880"/>
      <c r="M31" s="880"/>
      <c r="N31" s="880"/>
      <c r="O31" s="47"/>
    </row>
    <row r="32" spans="1:23" ht="17.25" customHeight="1" x14ac:dyDescent="0.3">
      <c r="A32" s="880"/>
      <c r="B32" s="880"/>
      <c r="C32" s="59"/>
      <c r="D32" s="880"/>
      <c r="E32" s="880"/>
      <c r="F32" s="880"/>
      <c r="G32" s="880"/>
      <c r="H32" s="880"/>
      <c r="I32" s="880"/>
      <c r="J32" s="880"/>
      <c r="K32" s="880"/>
      <c r="L32" s="880"/>
      <c r="M32" s="880"/>
      <c r="N32" s="880"/>
      <c r="O32" s="47"/>
    </row>
    <row r="33" spans="1:15" ht="24.75" customHeight="1" x14ac:dyDescent="0.3">
      <c r="A33" s="880"/>
      <c r="B33" s="880"/>
      <c r="C33" s="59"/>
      <c r="D33" s="880"/>
      <c r="E33" s="880"/>
      <c r="F33" s="880"/>
      <c r="G33" s="880"/>
      <c r="H33" s="880"/>
      <c r="I33" s="880"/>
      <c r="J33" s="880"/>
      <c r="K33" s="880"/>
      <c r="L33" s="880"/>
      <c r="M33" s="880"/>
      <c r="N33" s="880"/>
      <c r="O33" s="47"/>
    </row>
    <row r="34" spans="1:15" ht="15.6" x14ac:dyDescent="0.3">
      <c r="A34" s="880"/>
      <c r="B34" s="880"/>
      <c r="C34" s="296" t="s">
        <v>785</v>
      </c>
      <c r="D34" s="296" t="s">
        <v>786</v>
      </c>
      <c r="E34" s="296" t="s">
        <v>787</v>
      </c>
      <c r="F34" s="962" t="s">
        <v>2003</v>
      </c>
      <c r="G34" s="880"/>
      <c r="H34" s="880"/>
      <c r="I34" s="880"/>
      <c r="J34" s="880"/>
      <c r="K34" s="880"/>
      <c r="L34" s="880"/>
      <c r="M34" s="880"/>
      <c r="N34" s="880" t="s">
        <v>401</v>
      </c>
      <c r="O34" s="47"/>
    </row>
    <row r="35" spans="1:15" ht="15" x14ac:dyDescent="0.3">
      <c r="A35" s="880"/>
      <c r="B35" s="880"/>
      <c r="C35" s="297" t="s">
        <v>1052</v>
      </c>
      <c r="D35" s="298">
        <v>0</v>
      </c>
      <c r="E35" s="963">
        <f ca="1">IF(ValidationData!A2 = 0, SUM(INDEX(Vad_Overview,,5)),"-")</f>
        <v>0</v>
      </c>
      <c r="F35" s="964"/>
      <c r="G35" s="880"/>
      <c r="H35" s="880"/>
      <c r="I35" s="880"/>
      <c r="J35" s="880"/>
      <c r="K35" s="880"/>
      <c r="L35" s="880"/>
      <c r="M35" s="880"/>
      <c r="N35" s="880"/>
      <c r="O35" s="47"/>
    </row>
    <row r="36" spans="1:15" ht="15" x14ac:dyDescent="0.3">
      <c r="A36" s="880"/>
      <c r="B36" s="880"/>
      <c r="C36" s="297" t="s">
        <v>1053</v>
      </c>
      <c r="D36" s="298">
        <v>0</v>
      </c>
      <c r="E36" s="963">
        <f ca="1">IF(ValidationData!A2 = 0, SUM(INDEX(Vad_FieldSites,,5)),"-")</f>
        <v>0</v>
      </c>
      <c r="F36" s="964"/>
      <c r="G36" s="880"/>
      <c r="H36" s="880"/>
      <c r="I36" s="880"/>
      <c r="J36" s="880"/>
      <c r="K36" s="880"/>
      <c r="L36" s="880"/>
      <c r="M36" s="880"/>
      <c r="N36" s="880"/>
      <c r="O36" s="47"/>
    </row>
    <row r="37" spans="1:15" ht="15" x14ac:dyDescent="0.3">
      <c r="A37" s="880"/>
      <c r="B37" s="880"/>
      <c r="C37" s="297" t="s">
        <v>214</v>
      </c>
      <c r="D37" s="298">
        <v>0</v>
      </c>
      <c r="E37" s="963">
        <f ca="1">IF(ValidationData!A2 = 0, SUM(INDEX(Vad_Persons,,5)),"-")</f>
        <v>0</v>
      </c>
      <c r="F37" s="964"/>
      <c r="G37" s="880"/>
      <c r="H37" s="880"/>
      <c r="I37" s="880"/>
      <c r="J37" s="880"/>
      <c r="K37" s="880"/>
      <c r="L37" s="880"/>
      <c r="M37" s="880"/>
      <c r="N37" s="880"/>
      <c r="O37" s="47"/>
    </row>
    <row r="38" spans="1:15" ht="15" x14ac:dyDescent="0.3">
      <c r="A38" s="880"/>
      <c r="B38" s="880"/>
      <c r="C38" s="297" t="s">
        <v>226</v>
      </c>
      <c r="D38" s="298">
        <v>0</v>
      </c>
      <c r="E38" s="963">
        <f ca="1">IF(ValidationData!A2 = 0, SUM(INDEX(Vad_Citations,,5)),"-")</f>
        <v>0</v>
      </c>
      <c r="F38" s="964"/>
      <c r="G38" s="880"/>
      <c r="H38" s="880"/>
      <c r="I38" s="880"/>
      <c r="J38" s="880"/>
      <c r="K38" s="880"/>
      <c r="L38" s="880"/>
      <c r="M38" s="880"/>
      <c r="N38" s="880"/>
      <c r="O38" s="47"/>
    </row>
    <row r="39" spans="1:15" ht="15" x14ac:dyDescent="0.3">
      <c r="A39" s="880"/>
      <c r="B39" s="880"/>
      <c r="C39" s="297" t="s">
        <v>228</v>
      </c>
      <c r="D39" s="298">
        <v>0</v>
      </c>
      <c r="E39" s="963">
        <f ca="1">IF(ValidationData!A2 = 0, SUM(INDEX(Vad_Treatments,,5)),"-")</f>
        <v>0</v>
      </c>
      <c r="F39" s="964"/>
      <c r="G39" s="880"/>
      <c r="H39" s="880"/>
      <c r="I39" s="880"/>
      <c r="J39" s="880"/>
      <c r="K39" s="880"/>
      <c r="L39" s="880"/>
      <c r="M39" s="880"/>
      <c r="N39" s="880"/>
      <c r="O39" s="47"/>
    </row>
    <row r="40" spans="1:15" ht="15" x14ac:dyDescent="0.3">
      <c r="A40" s="880"/>
      <c r="B40" s="880"/>
      <c r="C40" s="297" t="s">
        <v>546</v>
      </c>
      <c r="D40" s="298">
        <v>0</v>
      </c>
      <c r="E40" s="963">
        <f ca="1">IF(ValidationData!A2 = 0, SUM(INDEX(Vad_ExperUnits,,5)),"-")</f>
        <v>0</v>
      </c>
      <c r="F40" s="964"/>
      <c r="G40" s="880"/>
      <c r="H40" s="880"/>
      <c r="I40" s="880"/>
      <c r="J40" s="880"/>
      <c r="K40" s="880"/>
      <c r="L40" s="880"/>
      <c r="M40" s="880"/>
      <c r="N40" s="880"/>
      <c r="O40" s="47"/>
    </row>
    <row r="41" spans="1:15" ht="15" x14ac:dyDescent="0.3">
      <c r="A41" s="880"/>
      <c r="B41" s="880"/>
      <c r="C41" s="299" t="s">
        <v>510</v>
      </c>
      <c r="D41" s="298">
        <v>0</v>
      </c>
      <c r="E41" s="963">
        <f ca="1">IF(ValidationData!A2 = 0, SUM(INDEX(Vad_WeatherStation,,5)),"-")</f>
        <v>0</v>
      </c>
      <c r="F41" s="964"/>
      <c r="G41" s="880"/>
      <c r="H41" s="880"/>
      <c r="I41" s="880"/>
      <c r="J41" s="880"/>
      <c r="K41" s="880"/>
      <c r="L41" s="880"/>
      <c r="M41" s="880"/>
      <c r="N41" s="880"/>
      <c r="O41" s="47"/>
    </row>
    <row r="42" spans="1:15" ht="15" x14ac:dyDescent="0.3">
      <c r="A42" s="880"/>
      <c r="B42" s="880"/>
      <c r="C42" s="299" t="s">
        <v>511</v>
      </c>
      <c r="D42" s="298">
        <v>0</v>
      </c>
      <c r="E42" s="963">
        <f ca="1">IF(ValidationData!A2 = 0, SUM(INDEX(Vad_WeatherDaily,,5)),"-")</f>
        <v>0</v>
      </c>
      <c r="F42" s="964"/>
      <c r="G42" s="880"/>
      <c r="H42" s="880"/>
      <c r="I42" s="880"/>
      <c r="J42" s="880"/>
      <c r="K42" s="880"/>
      <c r="L42" s="880"/>
      <c r="M42" s="880"/>
      <c r="N42" s="880"/>
      <c r="O42" s="47"/>
    </row>
    <row r="43" spans="1:15" ht="15" x14ac:dyDescent="0.3">
      <c r="A43" s="880"/>
      <c r="B43" s="880"/>
      <c r="C43" s="300" t="s">
        <v>601</v>
      </c>
      <c r="D43" s="298">
        <v>0</v>
      </c>
      <c r="E43" s="963">
        <f ca="1">IF(ValidationData!A2 = 0, SUM(INDEX(Vad_MgtAmendments,,5)),"-")</f>
        <v>0</v>
      </c>
      <c r="F43" s="964" t="b">
        <v>1</v>
      </c>
      <c r="G43" s="880"/>
      <c r="H43" s="880"/>
      <c r="I43" s="880"/>
      <c r="J43" s="880"/>
      <c r="K43" s="880"/>
      <c r="L43" s="880"/>
      <c r="M43" s="880"/>
      <c r="N43" s="880"/>
      <c r="O43" s="47"/>
    </row>
    <row r="44" spans="1:15" ht="15" x14ac:dyDescent="0.3">
      <c r="A44" s="880"/>
      <c r="B44" s="880"/>
      <c r="C44" s="300" t="s">
        <v>602</v>
      </c>
      <c r="D44" s="298">
        <v>0</v>
      </c>
      <c r="E44" s="963">
        <f ca="1">IF(ValidationData!A2 = 0, SUM(INDEX(Vad_MgtPlanting,,5)),"-")</f>
        <v>0</v>
      </c>
      <c r="F44" s="964" t="b">
        <v>1</v>
      </c>
      <c r="G44" s="880"/>
      <c r="H44" s="880"/>
      <c r="I44" s="880"/>
      <c r="J44" s="880"/>
      <c r="K44" s="880"/>
      <c r="L44" s="880"/>
      <c r="M44" s="880"/>
      <c r="N44" s="880"/>
      <c r="O44" s="47"/>
    </row>
    <row r="45" spans="1:15" ht="15" x14ac:dyDescent="0.3">
      <c r="A45" s="880"/>
      <c r="B45" s="880"/>
      <c r="C45" s="300" t="s">
        <v>603</v>
      </c>
      <c r="D45" s="298">
        <v>0</v>
      </c>
      <c r="E45" s="963">
        <f ca="1">IF(ValidationData!A2 = 0, SUM(INDEX(Vad_MgtTillage,,5)),"-")</f>
        <v>0</v>
      </c>
      <c r="F45" s="964" t="b">
        <v>1</v>
      </c>
      <c r="G45" s="880"/>
      <c r="H45" s="880"/>
      <c r="I45" s="880"/>
      <c r="J45" s="880"/>
      <c r="K45" s="880"/>
      <c r="L45" s="880"/>
      <c r="M45" s="880"/>
      <c r="N45" s="880"/>
      <c r="O45" s="47"/>
    </row>
    <row r="46" spans="1:15" ht="15" x14ac:dyDescent="0.3">
      <c r="A46" s="880"/>
      <c r="B46" s="880"/>
      <c r="C46" s="300" t="s">
        <v>604</v>
      </c>
      <c r="D46" s="298">
        <v>0</v>
      </c>
      <c r="E46" s="963">
        <f ca="1">IF(ValidationData!A2 = 0, SUM(INDEX(Vad_MgtGrowthStages,,5)),"-")</f>
        <v>0</v>
      </c>
      <c r="F46" s="964" t="b">
        <v>1</v>
      </c>
      <c r="G46" s="880"/>
      <c r="H46" s="880"/>
      <c r="I46" s="880"/>
      <c r="J46" s="880"/>
      <c r="K46" s="880"/>
      <c r="L46" s="880"/>
      <c r="M46" s="880"/>
      <c r="N46" s="880"/>
      <c r="O46" s="47"/>
    </row>
    <row r="47" spans="1:15" ht="15" x14ac:dyDescent="0.3">
      <c r="A47" s="880"/>
      <c r="B47" s="880"/>
      <c r="C47" s="300" t="s">
        <v>605</v>
      </c>
      <c r="D47" s="298">
        <v>0</v>
      </c>
      <c r="E47" s="963">
        <f ca="1">IF(ValidationData!A2 = 0, SUM(INDEX(Vad_MgtResidue,,5)),"-")</f>
        <v>0</v>
      </c>
      <c r="F47" s="964" t="b">
        <v>1</v>
      </c>
      <c r="G47" s="880"/>
      <c r="H47" s="880"/>
      <c r="I47" s="880"/>
      <c r="J47" s="880"/>
      <c r="K47" s="880"/>
      <c r="L47" s="880"/>
      <c r="M47" s="880"/>
      <c r="N47" s="880"/>
      <c r="O47" s="47"/>
    </row>
    <row r="48" spans="1:15" ht="15" x14ac:dyDescent="0.3">
      <c r="A48" s="880"/>
      <c r="B48" s="880"/>
      <c r="C48" s="300" t="s">
        <v>606</v>
      </c>
      <c r="D48" s="298">
        <v>0</v>
      </c>
      <c r="E48" s="963">
        <f ca="1">IF(ValidationData!A2 = 0, SUM(INDEX(Vad_MgtGrazing,,5)),"-")</f>
        <v>0</v>
      </c>
      <c r="F48" s="964" t="b">
        <v>1</v>
      </c>
      <c r="G48" s="880"/>
      <c r="H48" s="880"/>
      <c r="I48" s="880"/>
      <c r="J48" s="880"/>
      <c r="K48" s="880"/>
      <c r="L48" s="880"/>
      <c r="M48" s="880"/>
      <c r="N48" s="880"/>
      <c r="O48" s="47"/>
    </row>
    <row r="49" spans="1:15" ht="15" x14ac:dyDescent="0.3">
      <c r="A49" s="880"/>
      <c r="B49" s="880"/>
      <c r="C49" s="301" t="s">
        <v>607</v>
      </c>
      <c r="D49" s="298">
        <v>0</v>
      </c>
      <c r="E49" s="963">
        <f ca="1">IF(ValidationData!A2 = 0, SUM(INDEX(Vad_MeasSoilPhys,,5)),"-")</f>
        <v>0</v>
      </c>
      <c r="F49" s="964" t="b">
        <v>1</v>
      </c>
      <c r="G49" s="880"/>
      <c r="H49" s="880"/>
      <c r="I49" s="880"/>
      <c r="J49" s="880"/>
      <c r="K49" s="880"/>
      <c r="L49" s="880"/>
      <c r="M49" s="880"/>
      <c r="N49" s="880"/>
      <c r="O49" s="47"/>
    </row>
    <row r="50" spans="1:15" ht="15" x14ac:dyDescent="0.3">
      <c r="A50" s="880"/>
      <c r="B50" s="880"/>
      <c r="C50" s="301" t="s">
        <v>608</v>
      </c>
      <c r="D50" s="298">
        <v>0</v>
      </c>
      <c r="E50" s="963">
        <f ca="1">IF(ValidationData!A2 = 0, SUM(INDEX(Vad_MeasSoilChem,,5)),"-")</f>
        <v>0</v>
      </c>
      <c r="F50" s="964" t="b">
        <v>1</v>
      </c>
      <c r="G50" s="880"/>
      <c r="H50" s="880"/>
      <c r="I50" s="880"/>
      <c r="J50" s="880"/>
      <c r="K50" s="880"/>
      <c r="L50" s="880"/>
      <c r="M50" s="880"/>
      <c r="N50" s="880"/>
      <c r="O50" s="47"/>
    </row>
    <row r="51" spans="1:15" ht="15" x14ac:dyDescent="0.3">
      <c r="A51" s="880"/>
      <c r="B51" s="880"/>
      <c r="C51" s="301" t="s">
        <v>609</v>
      </c>
      <c r="D51" s="298">
        <v>0</v>
      </c>
      <c r="E51" s="963">
        <f ca="1">IF(ValidationData!A2 = 0, SUM(INDEX(Vad_MeasSoilBiol,,5)),"-")</f>
        <v>0</v>
      </c>
      <c r="F51" s="964" t="b">
        <v>1</v>
      </c>
      <c r="G51" s="880"/>
      <c r="H51" s="880"/>
      <c r="I51" s="880"/>
      <c r="J51" s="880"/>
      <c r="K51" s="880"/>
      <c r="L51" s="880"/>
      <c r="M51" s="880"/>
      <c r="N51" s="880"/>
      <c r="O51" s="47"/>
    </row>
    <row r="52" spans="1:15" ht="15" x14ac:dyDescent="0.3">
      <c r="A52" s="880"/>
      <c r="B52" s="880"/>
      <c r="C52" s="301" t="s">
        <v>610</v>
      </c>
      <c r="D52" s="298">
        <v>0</v>
      </c>
      <c r="E52" s="963">
        <f ca="1">IF(ValidationData!A2 = 0, SUM(INDEX(Vad_MeasSoilCover,,5)),"-")</f>
        <v>0</v>
      </c>
      <c r="F52" s="964" t="b">
        <v>1</v>
      </c>
      <c r="G52" s="880"/>
      <c r="H52" s="880" t="s">
        <v>401</v>
      </c>
      <c r="I52" s="880"/>
      <c r="J52" s="880"/>
      <c r="K52" s="880"/>
      <c r="L52" s="880"/>
      <c r="M52" s="880"/>
      <c r="N52" s="880"/>
      <c r="O52" s="47"/>
    </row>
    <row r="53" spans="1:15" ht="15" x14ac:dyDescent="0.3">
      <c r="A53" s="880"/>
      <c r="B53" s="880"/>
      <c r="C53" s="301" t="s">
        <v>611</v>
      </c>
      <c r="D53" s="298">
        <v>0</v>
      </c>
      <c r="E53" s="963">
        <f ca="1">IF(ValidationData!A2 = 0, SUM(INDEX(Vad_MeasGHGFlux,,5)),"-")</f>
        <v>0</v>
      </c>
      <c r="F53" s="964" t="b">
        <v>1</v>
      </c>
      <c r="G53" s="880"/>
      <c r="H53" s="880"/>
      <c r="I53" s="880"/>
      <c r="J53" s="880"/>
      <c r="K53" s="880"/>
      <c r="L53" s="880"/>
      <c r="M53" s="880"/>
      <c r="N53" s="880"/>
      <c r="O53" s="47"/>
    </row>
    <row r="54" spans="1:15" ht="15" x14ac:dyDescent="0.3">
      <c r="A54" s="880"/>
      <c r="B54" s="880"/>
      <c r="C54" s="301" t="s">
        <v>1990</v>
      </c>
      <c r="D54" s="298">
        <v>0</v>
      </c>
      <c r="E54" s="963">
        <f ca="1">IF(ValidationData!A2 = 0, SUM(INDEX(Vad_MeasHarvestFraction,,5)),"-")</f>
        <v>0</v>
      </c>
      <c r="F54" s="964" t="b">
        <v>1</v>
      </c>
      <c r="G54" s="880"/>
      <c r="H54" s="880"/>
      <c r="I54" s="880"/>
      <c r="J54" s="880"/>
      <c r="K54" s="880"/>
      <c r="L54" s="880"/>
      <c r="M54" s="880"/>
      <c r="N54" s="880"/>
      <c r="O54" s="47"/>
    </row>
    <row r="55" spans="1:15" ht="15" x14ac:dyDescent="0.3">
      <c r="A55" s="880"/>
      <c r="B55" s="880"/>
      <c r="C55" s="301" t="s">
        <v>2028</v>
      </c>
      <c r="D55" s="298">
        <v>0</v>
      </c>
      <c r="E55" s="963">
        <f ca="1">IF(ValidationData!A2 = 0, SUM(INDEX(Vad_MeasResidueMgnt,,5)),"-")</f>
        <v>0</v>
      </c>
      <c r="F55" s="964" t="b">
        <v>1</v>
      </c>
      <c r="G55" s="880"/>
      <c r="H55" s="880"/>
      <c r="I55" s="880"/>
      <c r="J55" s="880"/>
      <c r="K55" s="880"/>
      <c r="L55" s="880"/>
      <c r="M55" s="880"/>
      <c r="N55" s="880"/>
      <c r="O55" s="47"/>
    </row>
    <row r="56" spans="1:15" ht="15" x14ac:dyDescent="0.3">
      <c r="A56" s="880"/>
      <c r="B56" s="880"/>
      <c r="C56" s="301" t="s">
        <v>612</v>
      </c>
      <c r="D56" s="298">
        <v>0</v>
      </c>
      <c r="E56" s="963">
        <f ca="1">IF(ValidationData!A2 = 0, SUM(INDEX(Vad_MeasBiomassCHO,,5)),"-")</f>
        <v>0</v>
      </c>
      <c r="F56" s="964" t="b">
        <v>1</v>
      </c>
      <c r="G56" s="880"/>
      <c r="H56" s="880"/>
      <c r="I56" s="880"/>
      <c r="J56" s="880"/>
      <c r="K56" s="880"/>
      <c r="L56" s="880"/>
      <c r="M56" s="880"/>
      <c r="N56" s="880"/>
      <c r="O56" s="47"/>
    </row>
    <row r="57" spans="1:15" ht="15" x14ac:dyDescent="0.3">
      <c r="A57" s="880"/>
      <c r="B57" s="880"/>
      <c r="C57" s="301" t="s">
        <v>613</v>
      </c>
      <c r="D57" s="298">
        <v>0</v>
      </c>
      <c r="E57" s="963">
        <f ca="1">IF(ValidationData!A2 = 0, SUM(INDEX(Vad_MeasBiomassEnergy,,5)),"-")</f>
        <v>0</v>
      </c>
      <c r="F57" s="964" t="b">
        <v>1</v>
      </c>
      <c r="G57" s="880"/>
      <c r="H57" s="880"/>
      <c r="I57" s="880"/>
      <c r="J57" s="880"/>
      <c r="K57" s="880"/>
      <c r="L57" s="880"/>
      <c r="M57" s="880"/>
      <c r="N57" s="880"/>
      <c r="O57" s="47"/>
    </row>
    <row r="58" spans="1:15" ht="15" x14ac:dyDescent="0.3">
      <c r="A58" s="880"/>
      <c r="B58" s="880"/>
      <c r="C58" s="301" t="s">
        <v>614</v>
      </c>
      <c r="D58" s="298">
        <v>0</v>
      </c>
      <c r="E58" s="963">
        <f ca="1">IF(ValidationData!A2 = 0, SUM(INDEX(Vad_MeasBiomassMinAn,,5)),"-")</f>
        <v>0</v>
      </c>
      <c r="F58" s="964" t="b">
        <v>1</v>
      </c>
      <c r="G58" s="880"/>
      <c r="H58" s="880"/>
      <c r="I58" s="880"/>
      <c r="J58" s="880"/>
      <c r="K58" s="880"/>
      <c r="L58" s="880"/>
      <c r="M58" s="880"/>
      <c r="N58" s="880"/>
      <c r="O58" s="47"/>
    </row>
    <row r="59" spans="1:15" ht="15" x14ac:dyDescent="0.3">
      <c r="A59" s="880"/>
      <c r="B59" s="880"/>
      <c r="C59" s="301" t="s">
        <v>615</v>
      </c>
      <c r="D59" s="298">
        <v>0</v>
      </c>
      <c r="E59" s="963">
        <f ca="1">IF(ValidationData!A2 = 0, SUM(INDEX(Vad_MeasGrazingPlants,,5)),"-")</f>
        <v>0</v>
      </c>
      <c r="F59" s="964" t="b">
        <v>1</v>
      </c>
      <c r="G59" s="880"/>
      <c r="H59" s="880"/>
      <c r="I59" s="880"/>
      <c r="J59" s="880"/>
      <c r="K59" s="880"/>
      <c r="L59" s="880"/>
      <c r="M59" s="880"/>
      <c r="N59" s="880"/>
      <c r="O59" s="47"/>
    </row>
    <row r="60" spans="1:15" ht="15" x14ac:dyDescent="0.3">
      <c r="A60" s="880"/>
      <c r="B60" s="880"/>
      <c r="C60" s="965" t="s">
        <v>616</v>
      </c>
      <c r="D60" s="966">
        <v>0</v>
      </c>
      <c r="E60" s="967">
        <f ca="1">IF(ValidationData!A2 = 0, SUM(INDEX(Vad_MeasSuppRes,,5)),"-")</f>
        <v>0</v>
      </c>
      <c r="F60" s="968" t="b">
        <v>1</v>
      </c>
      <c r="G60" s="880"/>
      <c r="H60" s="880"/>
      <c r="I60" s="880"/>
      <c r="J60" s="880"/>
      <c r="K60" s="880"/>
      <c r="L60" s="880"/>
      <c r="M60" s="880"/>
      <c r="N60" s="880"/>
      <c r="O60" s="47"/>
    </row>
    <row r="61" spans="1:15" ht="15" x14ac:dyDescent="0.3">
      <c r="A61" s="880"/>
      <c r="B61" s="880"/>
      <c r="C61" s="969" t="s">
        <v>542</v>
      </c>
      <c r="D61" s="970">
        <v>0</v>
      </c>
      <c r="E61" s="971" t="s">
        <v>2004</v>
      </c>
      <c r="F61" s="964"/>
      <c r="G61" s="880"/>
      <c r="H61" s="880"/>
      <c r="I61" s="880"/>
      <c r="J61" s="880"/>
      <c r="K61" s="880"/>
      <c r="L61" s="880"/>
      <c r="M61" s="880"/>
      <c r="N61" s="880"/>
      <c r="O61" s="47"/>
    </row>
    <row r="62" spans="1:15" x14ac:dyDescent="0.3">
      <c r="A62" s="880"/>
      <c r="B62" s="880"/>
      <c r="C62" s="880"/>
      <c r="D62" s="880"/>
      <c r="E62" s="880"/>
      <c r="F62" s="880"/>
      <c r="G62" s="880"/>
      <c r="H62" s="880"/>
      <c r="I62" s="880"/>
      <c r="J62" s="880"/>
      <c r="K62" s="880"/>
      <c r="L62" s="880"/>
      <c r="M62" s="880"/>
      <c r="N62" s="880"/>
      <c r="O62" s="47"/>
    </row>
    <row r="63" spans="1:15" ht="15.6" x14ac:dyDescent="0.3">
      <c r="A63" s="880"/>
      <c r="B63" s="880"/>
      <c r="C63" s="880"/>
      <c r="D63" s="880"/>
      <c r="E63" s="877"/>
      <c r="F63" s="880"/>
      <c r="G63" s="880"/>
      <c r="H63" s="880"/>
      <c r="I63" s="880"/>
      <c r="J63" s="880"/>
      <c r="K63" s="880"/>
      <c r="L63" s="880"/>
      <c r="M63" s="880"/>
      <c r="N63" s="880"/>
      <c r="O63" s="47"/>
    </row>
    <row r="64" spans="1:15" ht="15.75" customHeight="1" x14ac:dyDescent="0.3">
      <c r="A64" s="880"/>
      <c r="B64" s="47"/>
      <c r="C64" s="871"/>
      <c r="D64" s="871"/>
      <c r="E64" s="880"/>
      <c r="F64" s="871"/>
      <c r="G64" s="871"/>
      <c r="H64" s="47"/>
      <c r="I64" s="871"/>
      <c r="J64" s="871"/>
      <c r="K64" s="871"/>
      <c r="L64" s="880"/>
      <c r="M64" s="880"/>
      <c r="N64" s="880"/>
      <c r="O64" s="47"/>
    </row>
    <row r="65" spans="1:22" ht="15.75" customHeight="1" x14ac:dyDescent="0.3">
      <c r="A65" s="880"/>
      <c r="B65" s="877" t="s">
        <v>1543</v>
      </c>
      <c r="C65" s="877"/>
      <c r="D65" s="877"/>
      <c r="E65" s="880"/>
      <c r="F65" s="877"/>
      <c r="G65" s="871"/>
      <c r="H65" s="878" t="s">
        <v>1544</v>
      </c>
      <c r="I65" s="871"/>
      <c r="J65" s="871"/>
      <c r="K65" s="871"/>
      <c r="L65" s="880"/>
      <c r="M65" s="880"/>
      <c r="N65" s="880"/>
      <c r="O65" s="47"/>
    </row>
    <row r="66" spans="1:22" ht="15.75" customHeight="1" x14ac:dyDescent="0.3">
      <c r="A66" s="880"/>
      <c r="B66" s="871"/>
      <c r="C66" s="871"/>
      <c r="D66" s="871"/>
      <c r="E66" s="880"/>
      <c r="F66" s="871"/>
      <c r="G66" s="877"/>
      <c r="H66" s="878"/>
      <c r="I66" s="871"/>
      <c r="J66" s="871"/>
      <c r="K66" s="871"/>
      <c r="L66" s="880"/>
      <c r="M66" s="880"/>
      <c r="N66" s="880"/>
      <c r="O66" s="47"/>
    </row>
    <row r="67" spans="1:22" ht="15.75" customHeight="1" x14ac:dyDescent="0.3">
      <c r="A67" s="880"/>
      <c r="B67" s="933" t="s">
        <v>1571</v>
      </c>
      <c r="C67" s="871"/>
      <c r="D67" s="871"/>
      <c r="E67" s="871"/>
      <c r="F67" s="871"/>
      <c r="G67" s="934" t="s">
        <v>1572</v>
      </c>
      <c r="H67" s="871"/>
      <c r="I67" s="878"/>
      <c r="J67" s="871"/>
      <c r="K67" s="871"/>
      <c r="L67" s="871"/>
      <c r="M67" s="880"/>
      <c r="N67" s="880"/>
      <c r="O67" s="880"/>
      <c r="P67" s="47"/>
    </row>
    <row r="68" spans="1:22" ht="15.75" customHeight="1" x14ac:dyDescent="0.3">
      <c r="A68" s="880"/>
      <c r="B68" s="935"/>
      <c r="C68" s="871"/>
      <c r="D68" s="871"/>
      <c r="E68" s="871"/>
      <c r="F68" s="871"/>
      <c r="G68" s="934"/>
      <c r="H68" s="871"/>
      <c r="I68" s="878"/>
      <c r="J68" s="871"/>
      <c r="K68" s="871"/>
      <c r="L68" s="871"/>
      <c r="M68" s="880"/>
      <c r="N68" s="880"/>
      <c r="O68" s="880"/>
      <c r="P68" s="47"/>
    </row>
    <row r="69" spans="1:22" ht="15.75" customHeight="1" x14ac:dyDescent="0.3">
      <c r="A69" s="880"/>
      <c r="B69" s="160" t="s">
        <v>377</v>
      </c>
      <c r="C69" s="872"/>
      <c r="D69" s="872"/>
      <c r="E69" s="161"/>
      <c r="F69" s="880"/>
      <c r="G69" s="880"/>
      <c r="H69" s="880"/>
      <c r="I69" s="880"/>
      <c r="J69" s="880"/>
      <c r="K69" s="880"/>
      <c r="L69" s="880"/>
      <c r="M69" s="880"/>
      <c r="N69" s="880"/>
      <c r="O69" s="47"/>
    </row>
    <row r="70" spans="1:22" ht="15.75" customHeight="1" x14ac:dyDescent="0.3">
      <c r="A70" s="880"/>
      <c r="B70" s="170" t="s">
        <v>402</v>
      </c>
      <c r="C70" s="161"/>
      <c r="D70" s="161"/>
      <c r="E70" s="170"/>
      <c r="F70" s="880"/>
      <c r="G70" s="880"/>
      <c r="H70" s="880"/>
      <c r="I70" s="880"/>
      <c r="J70" s="880"/>
      <c r="K70" s="880"/>
      <c r="L70" s="880"/>
      <c r="M70" s="880"/>
      <c r="N70" s="880"/>
      <c r="O70" s="47"/>
    </row>
    <row r="71" spans="1:22" ht="9.9" customHeight="1" x14ac:dyDescent="0.3">
      <c r="A71" s="880"/>
      <c r="B71" s="13"/>
      <c r="C71" s="170"/>
      <c r="D71" s="170"/>
      <c r="E71" s="961"/>
      <c r="F71" s="170"/>
      <c r="G71" s="170"/>
      <c r="H71" s="170"/>
      <c r="I71" s="170"/>
      <c r="J71" s="170"/>
      <c r="K71" s="170"/>
      <c r="L71" s="880"/>
      <c r="M71" s="880"/>
      <c r="N71" s="880"/>
      <c r="O71" s="47"/>
    </row>
    <row r="72" spans="1:22" ht="15.75" customHeight="1" x14ac:dyDescent="0.3">
      <c r="A72" s="880"/>
      <c r="B72" s="170" t="s">
        <v>403</v>
      </c>
      <c r="C72" s="961"/>
      <c r="D72" s="961"/>
      <c r="E72" s="961"/>
      <c r="F72" s="961"/>
      <c r="G72" s="961"/>
      <c r="H72" s="961"/>
      <c r="I72" s="961"/>
      <c r="J72" s="961"/>
      <c r="K72" s="961"/>
      <c r="L72" s="880"/>
      <c r="M72" s="880"/>
      <c r="N72" s="880"/>
      <c r="O72" s="925"/>
      <c r="P72" s="46"/>
      <c r="Q72" s="46"/>
      <c r="R72" s="46"/>
      <c r="S72" s="46"/>
      <c r="T72" s="46"/>
      <c r="U72" s="46"/>
      <c r="V72" s="46"/>
    </row>
    <row r="73" spans="1:22" ht="9.9" customHeight="1" x14ac:dyDescent="0.3">
      <c r="A73" s="880"/>
      <c r="B73" s="170"/>
      <c r="C73" s="961"/>
      <c r="D73" s="961"/>
      <c r="E73" s="170"/>
      <c r="F73" s="961"/>
      <c r="G73" s="961"/>
      <c r="H73" s="961"/>
      <c r="I73" s="961"/>
      <c r="J73" s="961"/>
      <c r="K73" s="961"/>
      <c r="L73" s="880"/>
      <c r="M73" s="880"/>
      <c r="N73" s="880"/>
      <c r="O73" s="925"/>
      <c r="P73" s="46"/>
      <c r="Q73" s="46"/>
      <c r="R73" s="46"/>
      <c r="S73" s="46"/>
      <c r="T73" s="46"/>
      <c r="U73" s="46"/>
      <c r="V73" s="46"/>
    </row>
    <row r="74" spans="1:22" ht="15.75" customHeight="1" x14ac:dyDescent="0.3">
      <c r="A74" s="880"/>
      <c r="B74" s="170" t="s">
        <v>404</v>
      </c>
      <c r="C74" s="170"/>
      <c r="D74" s="170"/>
      <c r="E74" s="170"/>
      <c r="F74" s="170"/>
      <c r="G74" s="170"/>
      <c r="H74" s="170"/>
      <c r="I74" s="170"/>
      <c r="J74" s="170"/>
      <c r="K74" s="170"/>
      <c r="L74" s="880"/>
      <c r="M74" s="880"/>
      <c r="N74" s="880"/>
      <c r="O74" s="47"/>
    </row>
    <row r="75" spans="1:22" ht="9.9" customHeight="1" x14ac:dyDescent="0.3">
      <c r="A75" s="880"/>
      <c r="B75" s="170"/>
      <c r="C75" s="170"/>
      <c r="D75" s="170"/>
      <c r="E75" s="961"/>
      <c r="F75" s="170"/>
      <c r="G75" s="170"/>
      <c r="H75" s="170"/>
      <c r="I75" s="170"/>
      <c r="J75" s="170"/>
      <c r="K75" s="170"/>
      <c r="L75" s="880"/>
      <c r="M75" s="880"/>
      <c r="N75" s="880"/>
      <c r="O75" s="47"/>
    </row>
    <row r="76" spans="1:22" ht="15.75" customHeight="1" x14ac:dyDescent="0.3">
      <c r="A76" s="880"/>
      <c r="B76" s="170" t="s">
        <v>405</v>
      </c>
      <c r="C76" s="961"/>
      <c r="D76" s="961"/>
      <c r="E76" s="961"/>
      <c r="F76" s="961"/>
      <c r="G76" s="961"/>
      <c r="H76" s="961"/>
      <c r="I76" s="961"/>
      <c r="J76" s="961"/>
      <c r="K76" s="961"/>
      <c r="L76" s="880"/>
      <c r="M76" s="880"/>
      <c r="N76" s="880"/>
      <c r="O76" s="47"/>
    </row>
    <row r="77" spans="1:22" ht="9.9" customHeight="1" x14ac:dyDescent="0.3">
      <c r="A77" s="880"/>
      <c r="B77" s="170"/>
      <c r="C77" s="961"/>
      <c r="D77" s="961"/>
      <c r="E77" s="961"/>
      <c r="F77" s="961"/>
      <c r="G77" s="961"/>
      <c r="H77" s="961"/>
      <c r="I77" s="961"/>
      <c r="J77" s="961"/>
      <c r="K77" s="961"/>
      <c r="L77" s="880"/>
      <c r="M77" s="880"/>
      <c r="N77" s="880"/>
      <c r="O77" s="47"/>
    </row>
    <row r="78" spans="1:22" ht="15.75" customHeight="1" x14ac:dyDescent="0.3">
      <c r="A78" s="880"/>
      <c r="B78" s="170" t="s">
        <v>406</v>
      </c>
      <c r="C78" s="961"/>
      <c r="D78" s="961"/>
      <c r="E78" s="880"/>
      <c r="F78" s="961"/>
      <c r="G78" s="961"/>
      <c r="H78" s="961"/>
      <c r="I78" s="961"/>
      <c r="J78" s="961"/>
      <c r="K78" s="961"/>
      <c r="L78" s="880"/>
      <c r="M78" s="880"/>
      <c r="N78" s="880"/>
      <c r="O78" s="47"/>
    </row>
    <row r="79" spans="1:22" ht="9.75" customHeight="1" x14ac:dyDescent="0.3">
      <c r="A79" s="880"/>
      <c r="B79" s="162"/>
      <c r="C79" s="880"/>
      <c r="D79" s="880"/>
      <c r="E79" s="961"/>
      <c r="F79" s="880"/>
      <c r="G79" s="880"/>
      <c r="H79" s="880"/>
      <c r="I79" s="880"/>
      <c r="J79" s="880"/>
      <c r="K79" s="880"/>
      <c r="L79" s="880"/>
      <c r="M79" s="880"/>
      <c r="N79" s="880"/>
      <c r="O79" s="47"/>
    </row>
    <row r="80" spans="1:22" ht="15.75" customHeight="1" x14ac:dyDescent="0.3">
      <c r="A80" s="880"/>
      <c r="B80" s="170" t="s">
        <v>1561</v>
      </c>
      <c r="C80" s="880"/>
      <c r="D80" s="880"/>
      <c r="E80" s="961"/>
      <c r="F80" s="880"/>
      <c r="G80" s="880"/>
      <c r="H80" s="880"/>
      <c r="I80" s="880"/>
      <c r="J80" s="880"/>
      <c r="K80" s="880"/>
      <c r="L80" s="880"/>
      <c r="M80" s="880"/>
      <c r="N80" s="880"/>
      <c r="O80" s="47"/>
    </row>
    <row r="81" spans="1:16" ht="9.75" customHeight="1" x14ac:dyDescent="0.3">
      <c r="A81" s="880"/>
      <c r="B81" s="927"/>
      <c r="C81" s="880"/>
      <c r="D81" s="880"/>
      <c r="E81" s="961"/>
      <c r="F81" s="880"/>
      <c r="G81" s="880"/>
      <c r="H81" s="880"/>
      <c r="I81" s="880"/>
      <c r="J81" s="880"/>
      <c r="K81" s="880"/>
      <c r="L81" s="880"/>
      <c r="M81" s="880"/>
      <c r="N81" s="880"/>
      <c r="O81" s="47"/>
    </row>
    <row r="82" spans="1:16" ht="15.75" customHeight="1" x14ac:dyDescent="0.3">
      <c r="A82" s="880"/>
      <c r="B82" s="170" t="s">
        <v>1559</v>
      </c>
      <c r="C82" s="880"/>
      <c r="D82" s="880"/>
      <c r="E82" s="961"/>
      <c r="F82" s="880"/>
      <c r="G82" s="880"/>
      <c r="H82" s="880"/>
      <c r="I82" s="880"/>
      <c r="J82" s="880"/>
      <c r="K82" s="880"/>
      <c r="L82" s="880"/>
      <c r="M82" s="880"/>
      <c r="N82" s="880"/>
      <c r="O82" s="47"/>
    </row>
    <row r="83" spans="1:16" ht="15.75" customHeight="1" x14ac:dyDescent="0.3">
      <c r="A83" s="880"/>
      <c r="B83" s="170" t="s">
        <v>1560</v>
      </c>
      <c r="C83" s="880"/>
      <c r="D83" s="880"/>
      <c r="E83" s="961"/>
      <c r="F83" s="880"/>
      <c r="G83" s="880"/>
      <c r="H83" s="880"/>
      <c r="I83" s="880"/>
      <c r="J83" s="880"/>
      <c r="K83" s="880"/>
      <c r="L83" s="880"/>
      <c r="M83" s="880"/>
      <c r="N83" s="880"/>
      <c r="O83" s="47"/>
    </row>
    <row r="84" spans="1:16" ht="15.75" customHeight="1" x14ac:dyDescent="0.3">
      <c r="A84" s="880"/>
      <c r="B84" s="921"/>
      <c r="C84" s="880"/>
      <c r="D84" s="880"/>
      <c r="E84" s="961"/>
      <c r="F84" s="880"/>
      <c r="G84" s="880"/>
      <c r="H84" s="880"/>
      <c r="I84" s="880"/>
      <c r="J84" s="880"/>
      <c r="K84" s="880"/>
      <c r="L84" s="880"/>
      <c r="M84" s="880"/>
      <c r="N84" s="880"/>
      <c r="O84" s="47"/>
    </row>
    <row r="85" spans="1:16" ht="15.75" customHeight="1" x14ac:dyDescent="0.3">
      <c r="A85" s="880"/>
      <c r="B85" s="106"/>
      <c r="C85" s="926" t="s">
        <v>1558</v>
      </c>
      <c r="D85" s="106"/>
      <c r="E85" s="878" t="s">
        <v>1544</v>
      </c>
      <c r="F85" s="961"/>
      <c r="G85" s="961"/>
      <c r="H85" s="162"/>
      <c r="I85" s="880"/>
      <c r="J85" s="880"/>
      <c r="K85" s="880"/>
      <c r="L85" s="880"/>
      <c r="M85" s="880"/>
      <c r="N85" s="880"/>
      <c r="O85" s="880"/>
      <c r="P85" s="47"/>
    </row>
    <row r="86" spans="1:16" ht="15.75" customHeight="1" x14ac:dyDescent="0.3">
      <c r="A86" s="880"/>
      <c r="B86" s="922"/>
      <c r="C86" s="170"/>
      <c r="D86" s="879"/>
      <c r="E86" s="961"/>
      <c r="F86" s="961"/>
      <c r="G86" s="880"/>
      <c r="H86" s="880"/>
      <c r="I86" s="880"/>
      <c r="J86" s="880"/>
      <c r="K86" s="880"/>
      <c r="L86" s="880"/>
      <c r="M86" s="880"/>
      <c r="N86" s="880"/>
      <c r="O86" s="47"/>
    </row>
    <row r="87" spans="1:16" ht="15.75" customHeight="1" x14ac:dyDescent="0.3">
      <c r="A87" s="880"/>
      <c r="B87" s="106"/>
      <c r="C87" s="961"/>
      <c r="D87" s="961"/>
      <c r="E87" s="961"/>
      <c r="F87" s="961"/>
      <c r="G87" s="880"/>
      <c r="H87" s="880"/>
      <c r="I87" s="880"/>
      <c r="J87" s="880"/>
      <c r="K87" s="880"/>
      <c r="L87" s="880"/>
      <c r="M87" s="880"/>
      <c r="N87" s="880"/>
      <c r="O87" s="47"/>
    </row>
    <row r="88" spans="1:16" ht="15.75" customHeight="1" x14ac:dyDescent="0.3">
      <c r="A88" s="880"/>
      <c r="B88" s="928" t="s">
        <v>3883</v>
      </c>
      <c r="C88" s="961"/>
      <c r="D88" s="961"/>
      <c r="E88" s="961"/>
      <c r="F88" s="961"/>
      <c r="G88" s="880"/>
      <c r="H88" s="880"/>
      <c r="I88" s="880"/>
      <c r="J88" s="880"/>
      <c r="K88" s="880"/>
      <c r="L88" s="880"/>
      <c r="M88" s="880"/>
      <c r="N88" s="880"/>
      <c r="O88" s="47"/>
    </row>
    <row r="89" spans="1:16" ht="15.75" customHeight="1" x14ac:dyDescent="0.3">
      <c r="A89" s="880"/>
      <c r="B89" s="922"/>
      <c r="C89" s="961"/>
      <c r="D89" s="961"/>
      <c r="E89" s="961"/>
      <c r="F89" s="961"/>
      <c r="G89" s="880"/>
      <c r="H89" s="880"/>
      <c r="I89" s="880"/>
      <c r="J89" s="880"/>
      <c r="K89" s="880"/>
      <c r="L89" s="880"/>
      <c r="M89" s="880"/>
      <c r="N89" s="880"/>
      <c r="O89" s="47"/>
    </row>
    <row r="90" spans="1:16" ht="15.75" customHeight="1" x14ac:dyDescent="0.3">
      <c r="A90" s="880"/>
      <c r="B90" s="922"/>
      <c r="C90" s="961"/>
      <c r="D90" s="961"/>
      <c r="E90" s="961"/>
      <c r="F90" s="961"/>
      <c r="G90" s="880"/>
      <c r="H90" s="880"/>
      <c r="I90" s="880"/>
      <c r="J90" s="880"/>
      <c r="K90" s="880"/>
      <c r="L90" s="880"/>
      <c r="M90" s="880"/>
      <c r="N90" s="880"/>
      <c r="O90" s="47"/>
    </row>
    <row r="91" spans="1:16" ht="16.8" x14ac:dyDescent="0.3">
      <c r="B91" s="920"/>
    </row>
    <row r="92" spans="1:16" ht="16.8" x14ac:dyDescent="0.3">
      <c r="B92" s="920"/>
    </row>
    <row r="93" spans="1:16" ht="16.8" x14ac:dyDescent="0.3">
      <c r="B93" s="920"/>
      <c r="C93" s="195"/>
    </row>
  </sheetData>
  <mergeCells count="4">
    <mergeCell ref="A6:A14"/>
    <mergeCell ref="B24:J24"/>
    <mergeCell ref="B25:J25"/>
    <mergeCell ref="B31:J31"/>
  </mergeCells>
  <conditionalFormatting sqref="E35:E60">
    <cfRule type="expression" dxfId="99" priority="1">
      <formula>AND(E35&gt;0,E35&lt;&gt;"-")</formula>
    </cfRule>
    <cfRule type="expression" dxfId="98" priority="2">
      <formula>AND(E35=0,E35&lt;&gt;"-")</formula>
    </cfRule>
  </conditionalFormatting>
  <hyperlinks>
    <hyperlink ref="H65" r:id="rId1"/>
    <hyperlink ref="E85" r:id="rId2"/>
    <hyperlink ref="I27" r:id="rId3"/>
    <hyperlink ref="G67" r:id="rId4" location="/Home"/>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61</xdr:row>
                    <xdr:rowOff>99060</xdr:rowOff>
                  </from>
                  <to>
                    <xdr:col>2</xdr:col>
                    <xdr:colOff>1127760</xdr:colOff>
                    <xdr:row>63</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51</xdr:row>
                    <xdr:rowOff>7620</xdr:rowOff>
                  </from>
                  <to>
                    <xdr:col>5</xdr:col>
                    <xdr:colOff>647700</xdr:colOff>
                    <xdr:row>52</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52</xdr:row>
                    <xdr:rowOff>7620</xdr:rowOff>
                  </from>
                  <to>
                    <xdr:col>5</xdr:col>
                    <xdr:colOff>647700</xdr:colOff>
                    <xdr:row>53</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B43" sqref="B43"/>
    </sheetView>
  </sheetViews>
  <sheetFormatPr defaultColWidth="9.109375" defaultRowHeight="13.2" x14ac:dyDescent="0.25"/>
  <cols>
    <col min="1" max="1" width="29.33203125" style="312" customWidth="1"/>
    <col min="2" max="2" width="102.33203125" style="312" customWidth="1"/>
    <col min="3" max="3" width="18.44140625" style="312" customWidth="1"/>
    <col min="4" max="4" width="4.6640625" style="312" customWidth="1"/>
    <col min="5" max="16384" width="9.109375" style="311"/>
  </cols>
  <sheetData>
    <row r="1" spans="1:4" x14ac:dyDescent="0.25">
      <c r="A1" s="776" t="s">
        <v>407</v>
      </c>
    </row>
    <row r="2" spans="1:4" x14ac:dyDescent="0.25">
      <c r="A2" s="776" t="s">
        <v>559</v>
      </c>
    </row>
    <row r="3" spans="1:4" x14ac:dyDescent="0.25">
      <c r="A3" s="776" t="s">
        <v>1453</v>
      </c>
    </row>
    <row r="5" spans="1:4" x14ac:dyDescent="0.25">
      <c r="A5" s="777" t="s">
        <v>408</v>
      </c>
      <c r="B5" s="778" t="s">
        <v>409</v>
      </c>
      <c r="C5" s="778" t="s">
        <v>410</v>
      </c>
      <c r="D5" s="776"/>
    </row>
    <row r="6" spans="1:4" ht="12.75" customHeight="1" x14ac:dyDescent="0.25">
      <c r="A6" s="776" t="s">
        <v>476</v>
      </c>
      <c r="B6" s="776"/>
      <c r="C6" s="776" t="s">
        <v>411</v>
      </c>
      <c r="D6" s="776"/>
    </row>
    <row r="7" spans="1:4" ht="12.75" customHeight="1" x14ac:dyDescent="0.25">
      <c r="A7" s="776" t="s">
        <v>544</v>
      </c>
      <c r="B7" s="776"/>
      <c r="C7" s="776" t="s">
        <v>411</v>
      </c>
      <c r="D7" s="776"/>
    </row>
    <row r="8" spans="1:4" ht="12.75" customHeight="1" x14ac:dyDescent="0.25">
      <c r="A8" s="776" t="s">
        <v>545</v>
      </c>
      <c r="B8" s="776" t="s">
        <v>442</v>
      </c>
      <c r="C8" s="776" t="s">
        <v>412</v>
      </c>
      <c r="D8" s="776"/>
    </row>
    <row r="9" spans="1:4" ht="12.75" customHeight="1" x14ac:dyDescent="0.25">
      <c r="A9" s="77" t="s">
        <v>1052</v>
      </c>
      <c r="B9" s="776" t="s">
        <v>1054</v>
      </c>
      <c r="C9" s="776" t="s">
        <v>412</v>
      </c>
      <c r="D9" s="776"/>
    </row>
    <row r="10" spans="1:4" ht="12.75" customHeight="1" x14ac:dyDescent="0.25">
      <c r="A10" s="77" t="s">
        <v>1053</v>
      </c>
      <c r="B10" s="776" t="s">
        <v>1055</v>
      </c>
      <c r="C10" s="776" t="s">
        <v>412</v>
      </c>
      <c r="D10" s="776"/>
    </row>
    <row r="11" spans="1:4" ht="12.75" customHeight="1" x14ac:dyDescent="0.25">
      <c r="A11" s="77" t="s">
        <v>214</v>
      </c>
      <c r="B11" s="776" t="s">
        <v>413</v>
      </c>
      <c r="C11" s="776" t="s">
        <v>412</v>
      </c>
      <c r="D11" s="776"/>
    </row>
    <row r="12" spans="1:4" ht="12.75" customHeight="1" x14ac:dyDescent="0.25">
      <c r="A12" s="77" t="s">
        <v>226</v>
      </c>
      <c r="B12" s="776" t="s">
        <v>414</v>
      </c>
      <c r="C12" s="776" t="s">
        <v>412</v>
      </c>
      <c r="D12" s="776"/>
    </row>
    <row r="13" spans="1:4" ht="12.75" customHeight="1" x14ac:dyDescent="0.25">
      <c r="A13" s="77" t="s">
        <v>228</v>
      </c>
      <c r="B13" s="776" t="s">
        <v>415</v>
      </c>
      <c r="C13" s="776" t="s">
        <v>412</v>
      </c>
      <c r="D13" s="776"/>
    </row>
    <row r="14" spans="1:4" ht="12.75" customHeight="1" x14ac:dyDescent="0.25">
      <c r="A14" s="77" t="s">
        <v>546</v>
      </c>
      <c r="B14" s="776" t="s">
        <v>416</v>
      </c>
      <c r="C14" s="776" t="s">
        <v>412</v>
      </c>
      <c r="D14" s="776"/>
    </row>
    <row r="15" spans="1:4" ht="12.75" customHeight="1" x14ac:dyDescent="0.25">
      <c r="A15" s="77" t="s">
        <v>417</v>
      </c>
      <c r="B15" s="776" t="s">
        <v>418</v>
      </c>
      <c r="C15" s="776" t="s">
        <v>412</v>
      </c>
      <c r="D15" s="776"/>
    </row>
    <row r="16" spans="1:4" ht="12.75" customHeight="1" x14ac:dyDescent="0.25">
      <c r="A16" s="77" t="s">
        <v>540</v>
      </c>
      <c r="B16" s="776" t="s">
        <v>541</v>
      </c>
      <c r="C16" s="776" t="s">
        <v>412</v>
      </c>
      <c r="D16" s="776"/>
    </row>
    <row r="17" spans="1:4" ht="12.75" customHeight="1" x14ac:dyDescent="0.25">
      <c r="A17" s="78" t="s">
        <v>510</v>
      </c>
      <c r="B17" s="776" t="s">
        <v>419</v>
      </c>
      <c r="C17" s="776" t="s">
        <v>488</v>
      </c>
      <c r="D17" s="776"/>
    </row>
    <row r="18" spans="1:4" ht="12.75" customHeight="1" x14ac:dyDescent="0.25">
      <c r="A18" s="78" t="s">
        <v>511</v>
      </c>
      <c r="B18" s="776" t="s">
        <v>420</v>
      </c>
      <c r="C18" s="776" t="s">
        <v>488</v>
      </c>
      <c r="D18" s="776"/>
    </row>
    <row r="19" spans="1:4" ht="12.75" customHeight="1" x14ac:dyDescent="0.25">
      <c r="A19" s="102" t="s">
        <v>601</v>
      </c>
      <c r="B19" s="776" t="s">
        <v>421</v>
      </c>
      <c r="C19" s="776" t="s">
        <v>422</v>
      </c>
      <c r="D19" s="776"/>
    </row>
    <row r="20" spans="1:4" ht="12.75" customHeight="1" x14ac:dyDescent="0.25">
      <c r="A20" s="102" t="s">
        <v>602</v>
      </c>
      <c r="B20" s="776" t="s">
        <v>423</v>
      </c>
      <c r="C20" s="776" t="s">
        <v>422</v>
      </c>
      <c r="D20" s="776"/>
    </row>
    <row r="21" spans="1:4" ht="12.75" customHeight="1" x14ac:dyDescent="0.25">
      <c r="A21" s="102" t="s">
        <v>603</v>
      </c>
      <c r="B21" s="776" t="s">
        <v>424</v>
      </c>
      <c r="C21" s="776" t="s">
        <v>422</v>
      </c>
      <c r="D21" s="776"/>
    </row>
    <row r="22" spans="1:4" ht="12.75" customHeight="1" x14ac:dyDescent="0.25">
      <c r="A22" s="102" t="s">
        <v>604</v>
      </c>
      <c r="B22" s="776" t="s">
        <v>489</v>
      </c>
      <c r="C22" s="776" t="s">
        <v>422</v>
      </c>
    </row>
    <row r="23" spans="1:4" ht="12.75" customHeight="1" x14ac:dyDescent="0.25">
      <c r="A23" s="102" t="s">
        <v>605</v>
      </c>
      <c r="B23" s="776" t="s">
        <v>425</v>
      </c>
      <c r="C23" s="776" t="s">
        <v>422</v>
      </c>
      <c r="D23" s="776"/>
    </row>
    <row r="24" spans="1:4" ht="12.75" customHeight="1" x14ac:dyDescent="0.25">
      <c r="A24" s="95" t="s">
        <v>606</v>
      </c>
      <c r="B24" s="776" t="s">
        <v>490</v>
      </c>
      <c r="C24" s="776" t="s">
        <v>422</v>
      </c>
    </row>
    <row r="25" spans="1:4" ht="12.75" customHeight="1" x14ac:dyDescent="0.25">
      <c r="A25" s="167" t="s">
        <v>607</v>
      </c>
      <c r="B25" s="776" t="s">
        <v>435</v>
      </c>
      <c r="C25" s="776" t="s">
        <v>427</v>
      </c>
      <c r="D25" s="776"/>
    </row>
    <row r="26" spans="1:4" ht="12.75" customHeight="1" x14ac:dyDescent="0.25">
      <c r="A26" s="167" t="s">
        <v>608</v>
      </c>
      <c r="B26" s="776" t="s">
        <v>433</v>
      </c>
      <c r="C26" s="776" t="s">
        <v>427</v>
      </c>
      <c r="D26" s="776"/>
    </row>
    <row r="27" spans="1:4" ht="12.75" customHeight="1" x14ac:dyDescent="0.25">
      <c r="A27" s="167" t="s">
        <v>609</v>
      </c>
      <c r="B27" s="776" t="s">
        <v>434</v>
      </c>
      <c r="C27" s="776" t="s">
        <v>427</v>
      </c>
      <c r="D27" s="776"/>
    </row>
    <row r="28" spans="1:4" ht="12.75" customHeight="1" x14ac:dyDescent="0.25">
      <c r="A28" s="167" t="s">
        <v>610</v>
      </c>
      <c r="B28" s="776" t="s">
        <v>436</v>
      </c>
      <c r="C28" s="776" t="s">
        <v>427</v>
      </c>
      <c r="D28" s="776"/>
    </row>
    <row r="29" spans="1:4" ht="12.75" customHeight="1" x14ac:dyDescent="0.25">
      <c r="A29" s="167" t="s">
        <v>611</v>
      </c>
      <c r="B29" s="776" t="s">
        <v>432</v>
      </c>
      <c r="C29" s="776" t="s">
        <v>427</v>
      </c>
      <c r="D29" s="776"/>
    </row>
    <row r="30" spans="1:4" ht="12.75" customHeight="1" x14ac:dyDescent="0.25">
      <c r="A30" s="167" t="s">
        <v>1989</v>
      </c>
      <c r="B30" s="776" t="s">
        <v>431</v>
      </c>
      <c r="C30" s="776" t="s">
        <v>427</v>
      </c>
      <c r="D30" s="776"/>
    </row>
    <row r="31" spans="1:4" ht="12.75" customHeight="1" x14ac:dyDescent="0.25">
      <c r="A31" s="167" t="s">
        <v>1990</v>
      </c>
      <c r="B31" s="776" t="s">
        <v>430</v>
      </c>
      <c r="C31" s="776" t="s">
        <v>427</v>
      </c>
      <c r="D31" s="776"/>
    </row>
    <row r="32" spans="1:4" ht="12.75" customHeight="1" x14ac:dyDescent="0.25">
      <c r="A32" s="167" t="s">
        <v>612</v>
      </c>
      <c r="B32" s="776" t="s">
        <v>426</v>
      </c>
      <c r="C32" s="776" t="s">
        <v>427</v>
      </c>
      <c r="D32" s="776"/>
    </row>
    <row r="33" spans="1:4" ht="12.75" customHeight="1" x14ac:dyDescent="0.25">
      <c r="A33" s="167" t="s">
        <v>613</v>
      </c>
      <c r="B33" s="776" t="s">
        <v>428</v>
      </c>
      <c r="C33" s="776" t="s">
        <v>427</v>
      </c>
      <c r="D33" s="776"/>
    </row>
    <row r="34" spans="1:4" ht="12.75" customHeight="1" x14ac:dyDescent="0.25">
      <c r="A34" s="167" t="s">
        <v>614</v>
      </c>
      <c r="B34" s="776" t="s">
        <v>429</v>
      </c>
      <c r="C34" s="776" t="s">
        <v>427</v>
      </c>
      <c r="D34" s="776"/>
    </row>
    <row r="35" spans="1:4" ht="12.75" customHeight="1" x14ac:dyDescent="0.25">
      <c r="A35" s="167" t="s">
        <v>615</v>
      </c>
      <c r="B35" s="776" t="s">
        <v>522</v>
      </c>
      <c r="C35" s="776" t="s">
        <v>427</v>
      </c>
      <c r="D35" s="776"/>
    </row>
    <row r="36" spans="1:4" ht="12.75" customHeight="1" x14ac:dyDescent="0.25">
      <c r="A36" s="167" t="s">
        <v>616</v>
      </c>
      <c r="B36" s="776" t="s">
        <v>1555</v>
      </c>
      <c r="C36" s="776" t="s">
        <v>427</v>
      </c>
      <c r="D36" s="776"/>
    </row>
    <row r="37" spans="1:4" ht="12.75" customHeight="1" x14ac:dyDescent="0.25">
      <c r="A37" s="79" t="s">
        <v>542</v>
      </c>
      <c r="B37" s="776" t="s">
        <v>2008</v>
      </c>
      <c r="C37" s="776" t="s">
        <v>437</v>
      </c>
      <c r="D37" s="776"/>
    </row>
    <row r="38" spans="1:4" ht="12.75" customHeight="1" x14ac:dyDescent="0.25">
      <c r="A38" s="88" t="s">
        <v>438</v>
      </c>
      <c r="B38" s="776" t="s">
        <v>439</v>
      </c>
      <c r="C38" s="776" t="s">
        <v>440</v>
      </c>
      <c r="D38" s="776"/>
    </row>
    <row r="39" spans="1:4" ht="12.75" customHeight="1" x14ac:dyDescent="0.25">
      <c r="A39" s="88" t="s">
        <v>543</v>
      </c>
      <c r="B39" s="776" t="s">
        <v>441</v>
      </c>
      <c r="C39" s="776" t="s">
        <v>440</v>
      </c>
      <c r="D39" s="776"/>
    </row>
    <row r="40" spans="1:4" x14ac:dyDescent="0.25">
      <c r="A40" s="88" t="s">
        <v>789</v>
      </c>
      <c r="B40" s="776" t="s">
        <v>912</v>
      </c>
      <c r="C40" s="776" t="s">
        <v>440</v>
      </c>
    </row>
    <row r="41" spans="1:4" x14ac:dyDescent="0.25">
      <c r="A41" s="88" t="s">
        <v>2005</v>
      </c>
      <c r="B41" s="312" t="s">
        <v>2007</v>
      </c>
      <c r="C41" s="312" t="s">
        <v>2006</v>
      </c>
    </row>
    <row r="44" spans="1:4" s="317" customFormat="1" x14ac:dyDescent="0.25">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election activeCell="A6" sqref="A6"/>
    </sheetView>
  </sheetViews>
  <sheetFormatPr defaultColWidth="9.109375" defaultRowHeight="13.2" x14ac:dyDescent="0.25"/>
  <cols>
    <col min="1" max="1" width="29.33203125" style="773" customWidth="1"/>
    <col min="2" max="2" width="102.33203125" style="773" customWidth="1"/>
    <col min="3" max="3" width="18.44140625" style="773" customWidth="1"/>
    <col min="4" max="4" width="4.6640625" style="773" customWidth="1"/>
    <col min="5" max="5" width="23.33203125" style="315" customWidth="1"/>
    <col min="6" max="16384" width="9.109375" style="315"/>
  </cols>
  <sheetData>
    <row r="1" spans="1:5" x14ac:dyDescent="0.25">
      <c r="A1" s="772" t="s">
        <v>1541</v>
      </c>
    </row>
    <row r="2" spans="1:5" x14ac:dyDescent="0.25">
      <c r="A2" s="772"/>
    </row>
    <row r="3" spans="1:5" x14ac:dyDescent="0.25">
      <c r="A3" s="979" t="s">
        <v>2019</v>
      </c>
    </row>
    <row r="5" spans="1:5" x14ac:dyDescent="0.25">
      <c r="A5" s="771"/>
      <c r="B5" s="772"/>
      <c r="C5" s="772"/>
      <c r="D5" s="772"/>
      <c r="E5" s="774"/>
    </row>
    <row r="6" spans="1:5" x14ac:dyDescent="0.25">
      <c r="A6" s="772"/>
      <c r="B6" s="772"/>
      <c r="C6" s="772"/>
      <c r="D6" s="772"/>
    </row>
    <row r="7" spans="1:5" x14ac:dyDescent="0.25">
      <c r="A7" s="772"/>
      <c r="B7" s="772"/>
      <c r="C7" s="772"/>
      <c r="D7" s="772"/>
    </row>
    <row r="8" spans="1:5" x14ac:dyDescent="0.25">
      <c r="A8" s="79"/>
      <c r="B8" s="772"/>
      <c r="C8" s="772"/>
      <c r="D8" s="772"/>
    </row>
    <row r="9" spans="1:5" x14ac:dyDescent="0.25">
      <c r="A9" s="79"/>
      <c r="B9" s="772"/>
      <c r="C9" s="772"/>
      <c r="D9" s="772"/>
    </row>
    <row r="10" spans="1:5" x14ac:dyDescent="0.25">
      <c r="A10" s="79"/>
      <c r="B10" s="772"/>
      <c r="C10" s="772"/>
      <c r="D10" s="772"/>
    </row>
    <row r="11" spans="1:5" x14ac:dyDescent="0.25">
      <c r="A11" s="79"/>
      <c r="B11" s="772"/>
      <c r="C11" s="772"/>
      <c r="D11" s="772"/>
    </row>
    <row r="12" spans="1:5" x14ac:dyDescent="0.25">
      <c r="A12" s="79"/>
      <c r="B12" s="772"/>
      <c r="C12" s="772"/>
      <c r="D12" s="772"/>
    </row>
    <row r="13" spans="1:5" x14ac:dyDescent="0.25">
      <c r="A13" s="79"/>
      <c r="B13" s="772"/>
      <c r="C13" s="772"/>
      <c r="D13" s="772"/>
    </row>
    <row r="14" spans="1:5" x14ac:dyDescent="0.25">
      <c r="A14" s="79"/>
      <c r="B14" s="772"/>
      <c r="C14" s="772"/>
      <c r="D14" s="772"/>
    </row>
    <row r="15" spans="1:5" x14ac:dyDescent="0.25">
      <c r="A15" s="775"/>
      <c r="B15" s="772"/>
      <c r="C15" s="772"/>
      <c r="D15" s="772"/>
    </row>
    <row r="16" spans="1:5" x14ac:dyDescent="0.25">
      <c r="A16" s="775"/>
      <c r="B16" s="772"/>
      <c r="C16" s="772"/>
      <c r="D16" s="772"/>
    </row>
    <row r="17" spans="1:4" x14ac:dyDescent="0.25">
      <c r="A17" s="775"/>
      <c r="B17" s="772"/>
      <c r="C17" s="772"/>
      <c r="D17" s="772"/>
    </row>
    <row r="18" spans="1:4" x14ac:dyDescent="0.25">
      <c r="A18" s="775"/>
      <c r="B18" s="772"/>
      <c r="C18" s="772"/>
      <c r="D18" s="772"/>
    </row>
    <row r="19" spans="1:4" x14ac:dyDescent="0.25">
      <c r="A19" s="775"/>
      <c r="B19" s="772"/>
      <c r="C19" s="772"/>
      <c r="D19" s="772"/>
    </row>
    <row r="20" spans="1:4" x14ac:dyDescent="0.25">
      <c r="A20" s="775"/>
      <c r="B20" s="772"/>
      <c r="C20" s="772"/>
      <c r="D20" s="772"/>
    </row>
    <row r="21" spans="1:4" x14ac:dyDescent="0.25">
      <c r="A21" s="775"/>
      <c r="B21" s="772"/>
      <c r="C21" s="772"/>
      <c r="D21" s="772"/>
    </row>
    <row r="22" spans="1:4" x14ac:dyDescent="0.25">
      <c r="A22" s="775"/>
      <c r="B22" s="772"/>
      <c r="C22" s="772"/>
      <c r="D22" s="772"/>
    </row>
    <row r="23" spans="1:4" x14ac:dyDescent="0.25">
      <c r="A23" s="775"/>
      <c r="B23" s="772"/>
      <c r="C23" s="772"/>
      <c r="D23" s="772"/>
    </row>
    <row r="24" spans="1:4" x14ac:dyDescent="0.25">
      <c r="A24" s="775"/>
      <c r="B24" s="772"/>
      <c r="C24" s="772"/>
      <c r="D24" s="772"/>
    </row>
    <row r="25" spans="1:4" x14ac:dyDescent="0.25">
      <c r="A25" s="775"/>
      <c r="B25" s="772"/>
      <c r="C25" s="772"/>
      <c r="D25" s="772"/>
    </row>
    <row r="26" spans="1:4" x14ac:dyDescent="0.25">
      <c r="A26" s="775"/>
      <c r="B26" s="772"/>
      <c r="C26" s="772"/>
      <c r="D26" s="772"/>
    </row>
    <row r="27" spans="1:4" x14ac:dyDescent="0.25">
      <c r="A27" s="775"/>
      <c r="B27" s="772"/>
      <c r="C27" s="772"/>
      <c r="D27" s="772"/>
    </row>
    <row r="28" spans="1:4" x14ac:dyDescent="0.25">
      <c r="A28" s="775"/>
      <c r="B28" s="772"/>
      <c r="C28" s="772"/>
      <c r="D28" s="772"/>
    </row>
    <row r="29" spans="1:4" x14ac:dyDescent="0.25">
      <c r="A29" s="775"/>
      <c r="B29" s="772"/>
      <c r="C29" s="772"/>
      <c r="D29" s="772"/>
    </row>
    <row r="30" spans="1:4" x14ac:dyDescent="0.25">
      <c r="A30" s="775"/>
      <c r="B30" s="772"/>
      <c r="C30" s="772"/>
      <c r="D30" s="772"/>
    </row>
    <row r="31" spans="1:4" x14ac:dyDescent="0.25">
      <c r="A31" s="775"/>
      <c r="B31" s="772"/>
      <c r="C31" s="772"/>
      <c r="D31" s="772"/>
    </row>
    <row r="32" spans="1:4" x14ac:dyDescent="0.25">
      <c r="A32" s="79"/>
      <c r="B32" s="772"/>
      <c r="C32" s="772"/>
      <c r="D32" s="772"/>
    </row>
    <row r="33" spans="1:4" x14ac:dyDescent="0.25">
      <c r="A33" s="775"/>
      <c r="B33" s="772"/>
      <c r="C33" s="772"/>
      <c r="D33" s="772"/>
    </row>
    <row r="34" spans="1:4" x14ac:dyDescent="0.25">
      <c r="A34" s="775"/>
      <c r="B34" s="772"/>
      <c r="C34" s="772"/>
      <c r="D34" s="772"/>
    </row>
    <row r="39" spans="1:4" x14ac:dyDescent="0.25">
      <c r="A39" s="79"/>
      <c r="B39" s="772"/>
      <c r="C39" s="772"/>
      <c r="D39" s="77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election activeCell="I9" sqref="I9"/>
    </sheetView>
  </sheetViews>
  <sheetFormatPr defaultColWidth="9.109375" defaultRowHeight="13.2" zeroHeight="1" x14ac:dyDescent="0.25"/>
  <cols>
    <col min="1" max="1" width="28.5546875" style="316" customWidth="1"/>
    <col min="2" max="2" width="21.88671875" style="316" customWidth="1"/>
    <col min="3" max="3" width="23.5546875" style="316" customWidth="1"/>
    <col min="4" max="4" width="20.33203125" style="316" customWidth="1"/>
    <col min="5" max="5" width="22.5546875" style="316" bestFit="1" customWidth="1"/>
    <col min="6" max="6" width="23.5546875" style="316" customWidth="1"/>
    <col min="7" max="8" width="22.6640625" style="313" customWidth="1"/>
    <col min="9" max="9" width="18.88671875" style="874" customWidth="1"/>
    <col min="10" max="16384" width="9.109375" style="314"/>
  </cols>
  <sheetData>
    <row r="1" spans="1:10" s="320" customFormat="1" ht="14.4" customHeight="1" x14ac:dyDescent="0.3">
      <c r="A1" s="551"/>
      <c r="B1" s="552"/>
      <c r="C1" s="553"/>
      <c r="D1" s="553"/>
      <c r="E1" s="553"/>
      <c r="F1" s="553"/>
      <c r="G1" s="557"/>
      <c r="H1" s="973"/>
      <c r="I1" s="235"/>
      <c r="J1" s="319"/>
    </row>
    <row r="2" spans="1:10" s="324" customFormat="1" ht="78.75" customHeight="1" x14ac:dyDescent="0.3">
      <c r="A2" s="936" t="s">
        <v>2027</v>
      </c>
      <c r="B2" s="58"/>
      <c r="C2" s="58"/>
      <c r="D2" s="58"/>
      <c r="E2" s="58"/>
      <c r="F2" s="977"/>
      <c r="G2" s="977" t="s">
        <v>2019</v>
      </c>
      <c r="H2" s="977" t="s">
        <v>2019</v>
      </c>
      <c r="I2" s="235"/>
      <c r="J2" s="323"/>
    </row>
    <row r="3" spans="1:10" s="324" customFormat="1" ht="14.4" x14ac:dyDescent="0.3">
      <c r="A3" s="283"/>
      <c r="B3" s="73"/>
      <c r="C3" s="73"/>
      <c r="D3" s="73"/>
      <c r="E3" s="73"/>
      <c r="F3" s="73"/>
      <c r="G3" s="67"/>
      <c r="H3" s="67"/>
      <c r="I3" s="235"/>
      <c r="J3" s="323"/>
    </row>
    <row r="4" spans="1:10" s="324" customFormat="1" ht="14.4" x14ac:dyDescent="0.3">
      <c r="A4" s="284"/>
      <c r="B4" s="73"/>
      <c r="C4" s="73"/>
      <c r="D4" s="73"/>
      <c r="E4" s="73"/>
      <c r="F4" s="73"/>
      <c r="G4" s="67"/>
      <c r="H4" s="67"/>
      <c r="I4" s="975"/>
      <c r="J4" s="323"/>
    </row>
    <row r="5" spans="1:10" s="324" customFormat="1" ht="15.6" x14ac:dyDescent="0.3">
      <c r="A5" s="554" t="s">
        <v>1051</v>
      </c>
      <c r="B5" s="555"/>
      <c r="C5" s="555"/>
      <c r="D5" s="555"/>
      <c r="E5" s="555"/>
      <c r="F5" s="555"/>
      <c r="G5" s="558"/>
      <c r="H5" s="558"/>
      <c r="I5" s="976"/>
      <c r="J5" s="323"/>
    </row>
    <row r="6" spans="1:10" s="330" customFormat="1" x14ac:dyDescent="0.25">
      <c r="A6" s="285"/>
      <c r="B6" s="25"/>
      <c r="C6" s="25"/>
      <c r="D6" s="25"/>
      <c r="E6" s="25"/>
      <c r="F6" s="25"/>
      <c r="G6" s="249" t="s">
        <v>116</v>
      </c>
      <c r="H6" s="249" t="s">
        <v>116</v>
      </c>
      <c r="I6" s="248" t="s">
        <v>2018</v>
      </c>
    </row>
    <row r="7" spans="1:10" s="324" customFormat="1" ht="14.4" x14ac:dyDescent="0.3">
      <c r="A7" s="286"/>
      <c r="B7" s="26"/>
      <c r="C7" s="788" t="str">
        <f>HYPERLINK("#DropDownLists!Y6","Add to this list")</f>
        <v>Add to this list</v>
      </c>
      <c r="D7" s="799" t="str">
        <f>HYPERLINK("#DropDownLists!V6","Add to this list")</f>
        <v>Add to this list</v>
      </c>
      <c r="E7" s="26"/>
      <c r="F7" s="788"/>
      <c r="G7" s="250"/>
      <c r="H7" s="250"/>
      <c r="I7" s="234"/>
      <c r="J7" s="323"/>
    </row>
    <row r="8" spans="1:10" s="333" customFormat="1" ht="28.5" customHeight="1" thickBot="1" x14ac:dyDescent="0.35">
      <c r="A8" s="287" t="s">
        <v>1573</v>
      </c>
      <c r="B8" s="556" t="s">
        <v>1574</v>
      </c>
      <c r="C8" s="556" t="s">
        <v>1575</v>
      </c>
      <c r="D8" s="556" t="s">
        <v>568</v>
      </c>
      <c r="E8" s="556" t="s">
        <v>1562</v>
      </c>
      <c r="F8" s="556" t="s">
        <v>2020</v>
      </c>
      <c r="G8" s="251" t="s">
        <v>1576</v>
      </c>
      <c r="H8" s="251" t="s">
        <v>1577</v>
      </c>
      <c r="I8" s="974" t="s">
        <v>2017</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conditionalFormatting sqref="A8:I8">
    <cfRule type="expression" dxfId="97"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election activeCell="N13" sqref="N13"/>
    </sheetView>
  </sheetViews>
  <sheetFormatPr defaultColWidth="9.109375" defaultRowHeight="13.2" x14ac:dyDescent="0.25"/>
  <cols>
    <col min="1" max="1" width="9.109375" style="316"/>
    <col min="2" max="2" width="9.109375" style="313"/>
    <col min="3" max="5" width="9.109375" style="316"/>
    <col min="6" max="6" width="14.5546875" style="316" customWidth="1"/>
    <col min="7" max="7" width="10.5546875" style="316" customWidth="1"/>
    <col min="8" max="8" width="9.109375" style="316"/>
    <col min="9" max="9" width="11.33203125" style="316" customWidth="1"/>
    <col min="10" max="10" width="13.44140625" style="314" customWidth="1"/>
    <col min="11" max="12" width="16.33203125" style="314" customWidth="1"/>
    <col min="13" max="13" width="11.44140625" style="314" customWidth="1"/>
    <col min="14" max="14" width="10.109375" style="314" customWidth="1"/>
    <col min="15" max="15" width="10.44140625" style="314" customWidth="1"/>
    <col min="16" max="16" width="11.5546875" style="316" customWidth="1"/>
    <col min="17" max="17" width="9.109375" style="316"/>
    <col min="18" max="16384" width="9.109375" style="314"/>
  </cols>
  <sheetData>
    <row r="1" spans="1:19" s="320" customFormat="1" ht="14.4" x14ac:dyDescent="0.3">
      <c r="A1" s="813"/>
      <c r="B1" s="814"/>
      <c r="C1" s="559"/>
      <c r="D1" s="559"/>
      <c r="E1" s="559"/>
      <c r="F1" s="560"/>
      <c r="G1" s="560"/>
      <c r="H1" s="560"/>
      <c r="I1" s="560"/>
      <c r="J1" s="64"/>
      <c r="K1" s="64"/>
      <c r="L1" s="972"/>
      <c r="M1" s="64"/>
      <c r="N1" s="64"/>
      <c r="O1" s="64"/>
      <c r="P1" s="73"/>
      <c r="Q1" s="189"/>
      <c r="R1" s="318"/>
      <c r="S1" s="319"/>
    </row>
    <row r="2" spans="1:19" s="324" customFormat="1" ht="101.25" customHeight="1" x14ac:dyDescent="0.3">
      <c r="A2" s="815"/>
      <c r="B2" s="816"/>
      <c r="C2" s="58" t="s">
        <v>1521</v>
      </c>
      <c r="D2" s="58"/>
      <c r="E2" s="830" t="s">
        <v>1523</v>
      </c>
      <c r="F2" s="58"/>
      <c r="G2" s="58"/>
      <c r="H2" s="58"/>
      <c r="I2" s="58"/>
      <c r="J2" s="831" t="s">
        <v>527</v>
      </c>
      <c r="K2" s="335"/>
      <c r="L2" s="977" t="s">
        <v>2019</v>
      </c>
      <c r="M2" s="321"/>
      <c r="N2" s="321" t="s">
        <v>444</v>
      </c>
      <c r="O2" s="321" t="s">
        <v>445</v>
      </c>
      <c r="P2" s="58"/>
      <c r="Q2" s="178"/>
      <c r="R2" s="322"/>
      <c r="S2" s="323"/>
    </row>
    <row r="3" spans="1:19" s="324" customFormat="1" ht="14.4" x14ac:dyDescent="0.3">
      <c r="A3" s="73"/>
      <c r="B3" s="67"/>
      <c r="C3" s="835" t="s">
        <v>1519</v>
      </c>
      <c r="D3" s="73"/>
      <c r="E3" s="835" t="s">
        <v>1522</v>
      </c>
      <c r="F3" s="560"/>
      <c r="G3" s="73"/>
      <c r="H3" s="73"/>
      <c r="I3" s="73"/>
      <c r="J3" s="336"/>
      <c r="K3" s="64"/>
      <c r="L3" s="972"/>
      <c r="M3" s="64"/>
      <c r="N3" s="64"/>
      <c r="O3" s="64"/>
      <c r="P3" s="73"/>
      <c r="Q3" s="189"/>
      <c r="R3" s="318"/>
      <c r="S3" s="323"/>
    </row>
    <row r="4" spans="1:19" s="324" customFormat="1" ht="14.4" x14ac:dyDescent="0.3">
      <c r="A4" s="73"/>
      <c r="B4" s="67"/>
      <c r="C4" s="835" t="s">
        <v>1520</v>
      </c>
      <c r="D4" s="73"/>
      <c r="E4" s="73"/>
      <c r="F4" s="560"/>
      <c r="G4" s="73"/>
      <c r="H4" s="73"/>
      <c r="I4" s="73"/>
      <c r="J4" s="336"/>
      <c r="K4" s="64"/>
      <c r="L4" s="972"/>
      <c r="M4" s="64"/>
      <c r="N4" s="64"/>
      <c r="O4" s="64"/>
      <c r="P4" s="560"/>
      <c r="Q4" s="561"/>
      <c r="R4" s="326"/>
      <c r="S4" s="323"/>
    </row>
    <row r="5" spans="1:19" s="324" customFormat="1" ht="15.6" x14ac:dyDescent="0.3">
      <c r="A5" s="554" t="s">
        <v>1049</v>
      </c>
      <c r="B5" s="817"/>
      <c r="C5" s="555"/>
      <c r="D5" s="555"/>
      <c r="E5" s="555"/>
      <c r="F5" s="555"/>
      <c r="G5" s="555"/>
      <c r="H5" s="555"/>
      <c r="I5" s="555"/>
      <c r="J5" s="327"/>
      <c r="K5" s="327"/>
      <c r="L5" s="327"/>
      <c r="M5" s="327"/>
      <c r="N5" s="327"/>
      <c r="O5" s="327"/>
      <c r="P5" s="555"/>
      <c r="Q5" s="562"/>
      <c r="R5" s="328"/>
      <c r="S5" s="323"/>
    </row>
    <row r="6" spans="1:19" s="330" customFormat="1" ht="15.6" x14ac:dyDescent="0.25">
      <c r="A6" s="25"/>
      <c r="B6" s="249"/>
      <c r="C6" s="25"/>
      <c r="D6" s="25"/>
      <c r="E6" s="25"/>
      <c r="F6" s="25"/>
      <c r="G6" s="25"/>
      <c r="H6" s="25"/>
      <c r="I6" s="25"/>
      <c r="J6" s="65" t="s">
        <v>112</v>
      </c>
      <c r="K6" s="65" t="s">
        <v>112</v>
      </c>
      <c r="L6" s="65"/>
      <c r="M6" s="65" t="s">
        <v>45</v>
      </c>
      <c r="N6" s="65" t="s">
        <v>41</v>
      </c>
      <c r="O6" s="337" t="s">
        <v>103</v>
      </c>
      <c r="P6" s="563"/>
      <c r="Q6" s="564"/>
      <c r="R6" s="329"/>
    </row>
    <row r="7" spans="1:19" s="324" customFormat="1" ht="16.2" customHeight="1" x14ac:dyDescent="0.3">
      <c r="A7" s="26"/>
      <c r="B7" s="839" t="s">
        <v>116</v>
      </c>
      <c r="C7" s="26"/>
      <c r="D7" s="26"/>
      <c r="E7" s="1478" t="s">
        <v>86</v>
      </c>
      <c r="F7" s="1478"/>
      <c r="G7" s="1478"/>
      <c r="H7" s="1478"/>
      <c r="I7" s="1478"/>
      <c r="J7" s="1478"/>
      <c r="K7" s="1478"/>
      <c r="L7" s="1478"/>
      <c r="M7" s="383"/>
      <c r="N7" s="383"/>
      <c r="O7" s="63"/>
      <c r="P7" s="73"/>
      <c r="Q7" s="565"/>
      <c r="R7" s="328"/>
      <c r="S7" s="323"/>
    </row>
    <row r="8" spans="1:19" s="339" customFormat="1" ht="27.6" thickBot="1" x14ac:dyDescent="0.35">
      <c r="A8" s="287" t="s">
        <v>1573</v>
      </c>
      <c r="B8" s="812" t="s">
        <v>35</v>
      </c>
      <c r="C8" s="556" t="s">
        <v>48</v>
      </c>
      <c r="D8" s="556" t="s">
        <v>1578</v>
      </c>
      <c r="E8" s="556" t="s">
        <v>792</v>
      </c>
      <c r="F8" s="556" t="s">
        <v>379</v>
      </c>
      <c r="G8" s="556" t="s">
        <v>108</v>
      </c>
      <c r="H8" s="556" t="s">
        <v>74</v>
      </c>
      <c r="I8" s="556" t="s">
        <v>2001</v>
      </c>
      <c r="J8" s="114" t="s">
        <v>3442</v>
      </c>
      <c r="K8" s="114" t="s">
        <v>3443</v>
      </c>
      <c r="L8" s="978" t="s">
        <v>2024</v>
      </c>
      <c r="M8" s="331" t="s">
        <v>3444</v>
      </c>
      <c r="N8" s="331" t="s">
        <v>3445</v>
      </c>
      <c r="O8" s="331" t="s">
        <v>3446</v>
      </c>
      <c r="P8" s="556" t="s">
        <v>1583</v>
      </c>
      <c r="Q8" s="566" t="s">
        <v>1584</v>
      </c>
    </row>
  </sheetData>
  <mergeCells count="1">
    <mergeCell ref="E7:L7"/>
  </mergeCells>
  <conditionalFormatting sqref="A8:Q8">
    <cfRule type="expression" dxfId="96"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activeCell="C11" sqref="C11"/>
    </sheetView>
  </sheetViews>
  <sheetFormatPr defaultColWidth="9.109375" defaultRowHeight="13.2" x14ac:dyDescent="0.25"/>
  <cols>
    <col min="1" max="1" width="11.88671875" style="316" customWidth="1"/>
    <col min="2" max="2" width="15.5546875" style="316" customWidth="1"/>
    <col min="3" max="3" width="14.88671875" style="316" customWidth="1"/>
    <col min="4" max="4" width="16.33203125" style="316" customWidth="1"/>
    <col min="5" max="5" width="7.5546875" style="316" customWidth="1"/>
    <col min="6" max="6" width="18.6640625" style="316" customWidth="1"/>
    <col min="7" max="7" width="9.6640625" style="316" customWidth="1"/>
    <col min="8" max="8" width="23.6640625" style="316" customWidth="1"/>
    <col min="9" max="9" width="15.44140625" style="316" customWidth="1"/>
    <col min="10" max="10" width="13.5546875" style="313" customWidth="1"/>
    <col min="11" max="11" width="13" style="316" customWidth="1"/>
    <col min="12" max="12" width="23.5546875" style="316" customWidth="1"/>
    <col min="13" max="13" width="17.33203125" style="316" customWidth="1"/>
    <col min="14" max="14" width="62.44140625" style="314" customWidth="1"/>
    <col min="15" max="15" width="52" style="314" customWidth="1"/>
    <col min="16" max="16384" width="9.109375" style="314"/>
  </cols>
  <sheetData>
    <row r="1" spans="1:15" s="324" customFormat="1" ht="15.6" x14ac:dyDescent="0.3">
      <c r="A1" s="577" t="s">
        <v>1518</v>
      </c>
      <c r="B1" s="253"/>
      <c r="C1" s="579"/>
      <c r="D1" s="579"/>
      <c r="E1" s="579"/>
      <c r="F1" s="826"/>
      <c r="G1" s="579"/>
      <c r="H1" s="579"/>
      <c r="I1" s="580"/>
      <c r="J1" s="827"/>
      <c r="K1" s="827"/>
      <c r="L1" s="828"/>
      <c r="M1" s="828"/>
      <c r="N1" s="828"/>
      <c r="O1" s="829"/>
    </row>
    <row r="2" spans="1:15" s="339" customFormat="1" ht="15" customHeight="1" x14ac:dyDescent="0.3">
      <c r="A2" s="569"/>
      <c r="B2" s="570"/>
      <c r="C2" s="27"/>
      <c r="D2" s="571"/>
      <c r="E2" s="571"/>
      <c r="F2" s="1479" t="s">
        <v>1547</v>
      </c>
      <c r="G2" s="571"/>
      <c r="H2" s="571"/>
      <c r="I2" s="571"/>
      <c r="J2" s="75"/>
      <c r="K2" s="571"/>
      <c r="L2" s="571"/>
      <c r="M2" s="571"/>
      <c r="N2" s="30"/>
      <c r="O2" s="342"/>
    </row>
    <row r="3" spans="1:15" s="339" customFormat="1" ht="14.4" x14ac:dyDescent="0.3">
      <c r="A3" s="73"/>
      <c r="B3" s="1481" t="s">
        <v>2019</v>
      </c>
      <c r="C3" s="1481"/>
      <c r="D3" s="980"/>
      <c r="E3" s="568"/>
      <c r="F3" s="1480"/>
      <c r="G3" s="571"/>
      <c r="H3" s="571"/>
      <c r="I3" s="571"/>
      <c r="J3" s="74"/>
      <c r="K3" s="568"/>
      <c r="L3" s="568"/>
      <c r="M3" s="568"/>
      <c r="N3" s="341"/>
      <c r="O3" s="342"/>
    </row>
    <row r="4" spans="1:15" s="339" customFormat="1" ht="23.25" customHeight="1" x14ac:dyDescent="0.3">
      <c r="A4" s="73"/>
      <c r="B4" s="73"/>
      <c r="C4" s="27"/>
      <c r="D4" s="571"/>
      <c r="E4" s="568"/>
      <c r="F4" s="1480"/>
      <c r="G4" s="571"/>
      <c r="H4" s="571"/>
      <c r="I4" s="571"/>
      <c r="J4" s="74"/>
      <c r="K4" s="568"/>
      <c r="L4" s="568"/>
      <c r="M4" s="568"/>
      <c r="N4" s="341"/>
      <c r="O4" s="344"/>
    </row>
    <row r="5" spans="1:15" s="339" customFormat="1" ht="16.2" x14ac:dyDescent="0.3">
      <c r="A5" s="25"/>
      <c r="B5" s="25"/>
      <c r="C5" s="28"/>
      <c r="D5" s="572"/>
      <c r="E5" s="572"/>
      <c r="F5" s="572"/>
      <c r="G5" s="572"/>
      <c r="H5" s="572"/>
      <c r="I5" s="572"/>
      <c r="K5" s="572"/>
      <c r="L5" s="572"/>
      <c r="N5" s="345"/>
      <c r="O5" s="346"/>
    </row>
    <row r="6" spans="1:15" s="339" customFormat="1" ht="16.2" x14ac:dyDescent="0.3">
      <c r="A6" s="25"/>
      <c r="B6" s="25"/>
      <c r="C6" s="28"/>
      <c r="D6" s="572"/>
      <c r="E6" s="572"/>
      <c r="F6" s="572"/>
      <c r="G6" s="572"/>
      <c r="H6" s="572"/>
      <c r="I6" s="572"/>
      <c r="J6" s="90" t="s">
        <v>116</v>
      </c>
      <c r="K6" s="572"/>
      <c r="L6" s="572"/>
      <c r="M6" s="25" t="s">
        <v>167</v>
      </c>
      <c r="N6" s="345"/>
      <c r="O6" s="346"/>
    </row>
    <row r="7" spans="1:15" s="339" customFormat="1" ht="16.2" x14ac:dyDescent="0.3">
      <c r="A7" s="26"/>
      <c r="B7" s="26"/>
      <c r="C7" s="29"/>
      <c r="D7" s="573"/>
      <c r="E7" s="574"/>
      <c r="F7" s="575"/>
      <c r="G7" s="575"/>
      <c r="H7" s="575"/>
      <c r="I7" s="575"/>
      <c r="J7" s="252"/>
      <c r="K7" s="576"/>
      <c r="L7" s="576"/>
      <c r="M7" s="573"/>
      <c r="N7" s="30"/>
      <c r="O7" s="342"/>
    </row>
    <row r="8" spans="1:15" s="350" customFormat="1" ht="27.6" thickBot="1" x14ac:dyDescent="0.35">
      <c r="A8" s="165" t="s">
        <v>1573</v>
      </c>
      <c r="B8" s="174" t="s">
        <v>1589</v>
      </c>
      <c r="C8" s="174" t="s">
        <v>1588</v>
      </c>
      <c r="D8" s="174" t="s">
        <v>1587</v>
      </c>
      <c r="E8" s="166" t="s">
        <v>144</v>
      </c>
      <c r="F8" s="174" t="s">
        <v>2372</v>
      </c>
      <c r="G8" s="174" t="s">
        <v>1586</v>
      </c>
      <c r="H8" s="174" t="s">
        <v>220</v>
      </c>
      <c r="I8" s="174" t="s">
        <v>145</v>
      </c>
      <c r="J8" s="175" t="s">
        <v>1590</v>
      </c>
      <c r="K8" s="174" t="s">
        <v>146</v>
      </c>
      <c r="L8" s="174" t="s">
        <v>222</v>
      </c>
      <c r="M8" s="176" t="s">
        <v>147</v>
      </c>
      <c r="N8" s="348" t="s">
        <v>1591</v>
      </c>
      <c r="O8" s="349" t="s">
        <v>1592</v>
      </c>
    </row>
    <row r="18" spans="8:9" x14ac:dyDescent="0.25">
      <c r="H18" s="316" t="s">
        <v>401</v>
      </c>
      <c r="I18" s="316" t="s">
        <v>401</v>
      </c>
    </row>
  </sheetData>
  <dataConsolidate/>
  <mergeCells count="2">
    <mergeCell ref="F2:F4"/>
    <mergeCell ref="B3:C3"/>
  </mergeCells>
  <phoneticPr fontId="13" type="noConversion"/>
  <conditionalFormatting sqref="A8:O8">
    <cfRule type="expression" dxfId="95"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activeCell="H19" sqref="H19"/>
    </sheetView>
  </sheetViews>
  <sheetFormatPr defaultColWidth="9.109375" defaultRowHeight="13.2" x14ac:dyDescent="0.25"/>
  <cols>
    <col min="1" max="1" width="12.33203125" style="316" customWidth="1"/>
    <col min="2" max="2" width="20.88671875" style="313" customWidth="1"/>
    <col min="3" max="3" width="22.44140625" style="316" customWidth="1"/>
    <col min="4" max="4" width="12.33203125" style="316" customWidth="1"/>
    <col min="5" max="5" width="14.33203125" style="316" customWidth="1"/>
    <col min="6" max="7" width="20.33203125" style="316" customWidth="1"/>
    <col min="8" max="8" width="40.88671875" style="316" customWidth="1"/>
    <col min="9" max="9" width="20.6640625" style="316" customWidth="1"/>
    <col min="10" max="10" width="29.88671875" style="316" customWidth="1"/>
    <col min="11" max="16384" width="9.109375" style="314"/>
  </cols>
  <sheetData>
    <row r="1" spans="1:10" s="324" customFormat="1" ht="15.6" x14ac:dyDescent="0.3">
      <c r="A1" s="577" t="s">
        <v>888</v>
      </c>
      <c r="B1" s="253"/>
      <c r="C1" s="579"/>
      <c r="D1" s="579"/>
      <c r="E1" s="579"/>
      <c r="F1" s="579"/>
      <c r="G1" s="579"/>
      <c r="H1" s="579"/>
      <c r="I1" s="580"/>
      <c r="J1" s="581"/>
    </row>
    <row r="2" spans="1:10" s="324" customFormat="1" ht="12.75" customHeight="1" x14ac:dyDescent="0.3">
      <c r="A2" s="832"/>
      <c r="B2" s="1485" t="s">
        <v>971</v>
      </c>
      <c r="C2" s="832"/>
      <c r="D2" s="832"/>
      <c r="E2" s="1484" t="s">
        <v>889</v>
      </c>
      <c r="F2" s="832"/>
      <c r="G2" s="832"/>
      <c r="H2" s="832"/>
      <c r="I2" s="832"/>
      <c r="J2" s="833"/>
    </row>
    <row r="3" spans="1:10" s="324" customFormat="1" ht="15" customHeight="1" x14ac:dyDescent="0.3">
      <c r="A3" s="832"/>
      <c r="B3" s="1486"/>
      <c r="C3" s="1482" t="s">
        <v>894</v>
      </c>
      <c r="D3" s="832"/>
      <c r="E3" s="1482"/>
      <c r="F3" s="1482" t="s">
        <v>890</v>
      </c>
      <c r="G3" s="1482" t="s">
        <v>891</v>
      </c>
      <c r="H3" s="832"/>
      <c r="I3" s="1482" t="s">
        <v>892</v>
      </c>
      <c r="J3" s="833"/>
    </row>
    <row r="4" spans="1:10" s="324" customFormat="1" ht="17.25" customHeight="1" x14ac:dyDescent="0.3">
      <c r="A4" s="1482" t="s">
        <v>893</v>
      </c>
      <c r="B4" s="1486"/>
      <c r="C4" s="1482"/>
      <c r="D4" s="1482" t="s">
        <v>895</v>
      </c>
      <c r="E4" s="1482"/>
      <c r="F4" s="1482"/>
      <c r="G4" s="1482"/>
      <c r="H4" s="1482" t="s">
        <v>896</v>
      </c>
      <c r="I4" s="1482"/>
      <c r="J4" s="833"/>
    </row>
    <row r="5" spans="1:10" s="324" customFormat="1" ht="27.75" customHeight="1" x14ac:dyDescent="0.3">
      <c r="A5" s="1482"/>
      <c r="B5" s="834"/>
      <c r="C5" s="1482"/>
      <c r="D5" s="1482"/>
      <c r="E5" s="1482"/>
      <c r="F5" s="1482"/>
      <c r="G5" s="1482"/>
      <c r="H5" s="1482"/>
      <c r="I5" s="1482"/>
      <c r="J5" s="1483" t="s">
        <v>897</v>
      </c>
    </row>
    <row r="6" spans="1:10" s="330" customFormat="1" ht="15" customHeight="1" x14ac:dyDescent="0.25">
      <c r="A6" s="1482"/>
      <c r="B6" s="834" t="s">
        <v>945</v>
      </c>
      <c r="C6" s="834"/>
      <c r="D6" s="1482"/>
      <c r="E6" s="1482"/>
      <c r="F6" s="1482"/>
      <c r="G6" s="1482"/>
      <c r="H6" s="1482"/>
      <c r="I6" s="1482"/>
      <c r="J6" s="1483"/>
    </row>
    <row r="7" spans="1:10" s="324" customFormat="1" ht="14.4" x14ac:dyDescent="0.3">
      <c r="A7" s="578"/>
      <c r="B7" s="76" t="s">
        <v>1526</v>
      </c>
      <c r="C7" s="799" t="str">
        <f>HYPERLINK("#DropDownLists!X6","Add to this list")</f>
        <v>Add to this list</v>
      </c>
      <c r="D7" s="578"/>
      <c r="E7" s="578"/>
      <c r="F7" s="578"/>
      <c r="G7" s="578"/>
      <c r="H7" s="578"/>
      <c r="I7" s="578"/>
      <c r="J7" s="582"/>
    </row>
    <row r="8" spans="1:10" s="351" customFormat="1" ht="45.75" customHeight="1" thickBot="1" x14ac:dyDescent="0.3">
      <c r="A8" s="165" t="s">
        <v>1573</v>
      </c>
      <c r="B8" s="254" t="s">
        <v>1594</v>
      </c>
      <c r="C8" s="174" t="s">
        <v>1595</v>
      </c>
      <c r="D8" s="174" t="s">
        <v>898</v>
      </c>
      <c r="E8" s="174" t="s">
        <v>1593</v>
      </c>
      <c r="F8" s="174" t="s">
        <v>905</v>
      </c>
      <c r="G8" s="174" t="s">
        <v>1596</v>
      </c>
      <c r="H8" s="174" t="s">
        <v>899</v>
      </c>
      <c r="I8" s="174" t="s">
        <v>900</v>
      </c>
      <c r="J8" s="177" t="s">
        <v>1597</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94"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12"/>
  <sheetViews>
    <sheetView workbookViewId="0">
      <pane ySplit="8" topLeftCell="A9" activePane="bottomLeft" state="frozen"/>
      <selection activeCell="D8" sqref="D8"/>
      <selection pane="bottomLeft" activeCell="K2" sqref="K2"/>
    </sheetView>
  </sheetViews>
  <sheetFormatPr defaultColWidth="9.109375" defaultRowHeight="13.2" x14ac:dyDescent="0.25"/>
  <cols>
    <col min="1" max="1" width="28.6640625" style="316" customWidth="1"/>
    <col min="2" max="2" width="11.44140625" style="313" customWidth="1"/>
    <col min="3" max="3" width="27.44140625" style="316" customWidth="1"/>
    <col min="4" max="4" width="28.6640625" style="316" customWidth="1"/>
    <col min="5" max="5" width="18.5546875" style="316" customWidth="1"/>
    <col min="6" max="6" width="30.5546875" style="316" customWidth="1"/>
    <col min="7" max="7" width="20.6640625" style="316" customWidth="1"/>
    <col min="8" max="8" width="24.44140625" style="316" customWidth="1"/>
    <col min="9" max="9" width="20" style="316" customWidth="1"/>
    <col min="10" max="10" width="17.88671875" style="316" customWidth="1"/>
    <col min="11" max="11" width="10" style="316" customWidth="1"/>
    <col min="12" max="12" width="22" style="316" customWidth="1"/>
    <col min="13" max="13" width="18" style="316" customWidth="1"/>
    <col min="14" max="14" width="8.88671875" style="314" customWidth="1"/>
    <col min="15" max="15" width="19.33203125" style="314" customWidth="1"/>
    <col min="16" max="16" width="26.44140625" style="314" customWidth="1"/>
    <col min="17" max="17" width="23.44140625" style="314" customWidth="1"/>
    <col min="18" max="18" width="12.33203125" style="314" customWidth="1"/>
    <col min="19" max="19" width="21.33203125" style="314" customWidth="1"/>
    <col min="20" max="20" width="24.44140625" style="314" customWidth="1"/>
    <col min="21" max="21" width="20" style="314" customWidth="1"/>
    <col min="22" max="22" width="18" style="314" customWidth="1"/>
    <col min="23" max="23" width="17" style="314" customWidth="1"/>
    <col min="24" max="24" width="22.88671875" style="314" customWidth="1"/>
    <col min="25" max="25" width="19.88671875" style="314" customWidth="1"/>
    <col min="26" max="16384" width="9.109375" style="314"/>
  </cols>
  <sheetData>
    <row r="1" spans="1:22" s="324" customFormat="1" ht="15.6" x14ac:dyDescent="0.3">
      <c r="A1" s="779" t="s">
        <v>165</v>
      </c>
      <c r="B1" s="780"/>
      <c r="C1" s="780"/>
      <c r="D1" s="780"/>
      <c r="E1" s="780"/>
      <c r="F1" s="780"/>
      <c r="G1" s="780"/>
      <c r="H1" s="780"/>
      <c r="I1" s="780"/>
      <c r="J1" s="780"/>
      <c r="K1" s="780"/>
      <c r="L1" s="780"/>
      <c r="M1" s="781"/>
      <c r="N1" s="352"/>
      <c r="O1" s="353"/>
      <c r="P1" s="353"/>
      <c r="Q1" s="353"/>
      <c r="R1" s="353"/>
      <c r="S1" s="353"/>
      <c r="T1" s="322"/>
      <c r="U1" s="322"/>
      <c r="V1" s="353"/>
    </row>
    <row r="2" spans="1:22" s="324" customFormat="1" ht="73.5" customHeight="1" x14ac:dyDescent="0.3">
      <c r="A2" s="583" t="s">
        <v>446</v>
      </c>
      <c r="B2" s="255"/>
      <c r="C2" s="583" t="s">
        <v>447</v>
      </c>
      <c r="D2" s="583" t="s">
        <v>443</v>
      </c>
      <c r="E2" s="583" t="s">
        <v>1302</v>
      </c>
      <c r="F2" s="583" t="s">
        <v>591</v>
      </c>
      <c r="G2" s="587" t="s">
        <v>472</v>
      </c>
      <c r="H2" s="583" t="s">
        <v>1302</v>
      </c>
      <c r="I2" s="583" t="s">
        <v>443</v>
      </c>
      <c r="J2" s="583" t="s">
        <v>618</v>
      </c>
      <c r="K2" s="583" t="s">
        <v>448</v>
      </c>
      <c r="L2" s="583" t="s">
        <v>448</v>
      </c>
      <c r="M2" s="583" t="s">
        <v>619</v>
      </c>
      <c r="N2" s="352"/>
      <c r="O2" s="353"/>
      <c r="P2" s="353"/>
      <c r="Q2" s="353"/>
      <c r="R2" s="353"/>
      <c r="S2" s="353"/>
      <c r="T2" s="322"/>
      <c r="U2" s="322"/>
      <c r="V2" s="353"/>
    </row>
    <row r="3" spans="1:22" s="324" customFormat="1" ht="50.25" customHeight="1" x14ac:dyDescent="0.3">
      <c r="A3" s="584"/>
      <c r="B3" s="60"/>
      <c r="C3" s="588"/>
      <c r="D3" s="589" t="s">
        <v>942</v>
      </c>
      <c r="E3" s="590"/>
      <c r="F3" s="588"/>
      <c r="G3" s="1487" t="s">
        <v>910</v>
      </c>
      <c r="H3" s="567"/>
      <c r="I3" s="567"/>
      <c r="J3" s="567"/>
      <c r="K3" s="567"/>
      <c r="L3" s="567"/>
      <c r="M3" s="567"/>
      <c r="N3" s="352"/>
      <c r="O3" s="353"/>
      <c r="P3" s="353"/>
      <c r="Q3" s="353"/>
      <c r="R3" s="353"/>
      <c r="S3" s="353"/>
      <c r="T3" s="322"/>
      <c r="U3" s="322"/>
      <c r="V3" s="353"/>
    </row>
    <row r="4" spans="1:22" s="324" customFormat="1" ht="15.6" x14ac:dyDescent="0.3">
      <c r="A4" s="584"/>
      <c r="B4" s="60"/>
      <c r="C4" s="588"/>
      <c r="D4" s="589" t="s">
        <v>937</v>
      </c>
      <c r="E4" s="590"/>
      <c r="F4" s="588"/>
      <c r="G4" s="1488"/>
      <c r="H4" s="567"/>
      <c r="I4" s="567"/>
      <c r="J4" s="567"/>
      <c r="K4" s="567"/>
      <c r="L4" s="567"/>
      <c r="M4" s="567"/>
      <c r="N4" s="352"/>
      <c r="O4" s="353"/>
      <c r="P4" s="353"/>
      <c r="Q4" s="353"/>
      <c r="R4" s="353"/>
      <c r="S4" s="353"/>
      <c r="T4" s="322"/>
      <c r="U4" s="322"/>
      <c r="V4" s="353"/>
    </row>
    <row r="5" spans="1:22" s="324" customFormat="1" ht="15.6" x14ac:dyDescent="0.3">
      <c r="A5" s="584"/>
      <c r="B5" s="60"/>
      <c r="C5" s="588"/>
      <c r="D5" s="588"/>
      <c r="E5" s="590"/>
      <c r="F5" s="588"/>
      <c r="G5" s="1488"/>
      <c r="H5" s="567"/>
      <c r="I5" s="567"/>
      <c r="J5" s="567"/>
      <c r="K5" s="567"/>
      <c r="L5" s="567"/>
      <c r="M5" s="567"/>
      <c r="N5" s="352"/>
      <c r="O5" s="353"/>
      <c r="P5" s="353"/>
      <c r="Q5" s="353"/>
      <c r="R5" s="353"/>
      <c r="S5" s="353"/>
      <c r="T5" s="322"/>
      <c r="U5" s="322"/>
      <c r="V5" s="353"/>
    </row>
    <row r="6" spans="1:22" s="324" customFormat="1" ht="15.6" x14ac:dyDescent="0.3">
      <c r="A6" s="584"/>
      <c r="B6" s="60"/>
      <c r="C6" s="588"/>
      <c r="D6" s="588"/>
      <c r="E6" s="590"/>
      <c r="F6" s="588"/>
      <c r="G6" s="1488"/>
      <c r="H6" s="567"/>
      <c r="I6" s="567"/>
      <c r="J6" s="567"/>
      <c r="K6" s="567"/>
      <c r="L6" s="567"/>
      <c r="M6" s="567"/>
      <c r="N6" s="352"/>
      <c r="O6" s="353"/>
      <c r="P6" s="353"/>
      <c r="Q6" s="353"/>
      <c r="R6" s="353"/>
      <c r="S6" s="353"/>
      <c r="T6" s="322"/>
      <c r="U6" s="322"/>
      <c r="V6" s="353"/>
    </row>
    <row r="7" spans="1:22" s="324" customFormat="1" ht="14.4" x14ac:dyDescent="0.3">
      <c r="A7" s="585"/>
      <c r="B7" s="21" t="s">
        <v>116</v>
      </c>
      <c r="C7" s="591"/>
      <c r="D7" s="799" t="str">
        <f>HYPERLINK("#DropDownLists!L6","Add to this list")</f>
        <v>Add to this list</v>
      </c>
      <c r="E7" s="800" t="str">
        <f>HYPERLINK("#DropDownLists!AC6","Add to this list")</f>
        <v>Add to this list</v>
      </c>
      <c r="F7" s="591"/>
      <c r="G7" s="1488"/>
      <c r="H7" s="788" t="str">
        <f>HYPERLINK("#DropDownLists!M6","Add to this list")</f>
        <v>Add to this list</v>
      </c>
      <c r="I7" s="798" t="str">
        <f>HYPERLINK("#DropDownLists!J6","Add to this list")</f>
        <v>Add to this list</v>
      </c>
      <c r="J7" s="798" t="str">
        <f>HYPERLINK("#DropDownLists!Z6","Add to this list")</f>
        <v>Add to this list</v>
      </c>
      <c r="K7" s="592"/>
      <c r="L7" s="25"/>
      <c r="M7" s="799" t="str">
        <f>HYPERLINK("#DropDownLists!N6","Add to this list")</f>
        <v>Add to this list</v>
      </c>
      <c r="N7" s="352"/>
      <c r="O7" s="353"/>
      <c r="P7" s="353"/>
      <c r="Q7" s="353"/>
      <c r="R7" s="353"/>
      <c r="S7" s="353"/>
      <c r="T7" s="322"/>
      <c r="U7" s="322"/>
      <c r="V7" s="353"/>
    </row>
    <row r="8" spans="1:22" s="324" customFormat="1" ht="27.6" thickBot="1" x14ac:dyDescent="0.35">
      <c r="A8" s="586" t="s">
        <v>1598</v>
      </c>
      <c r="B8" s="20" t="s">
        <v>1576</v>
      </c>
      <c r="C8" s="586" t="s">
        <v>1599</v>
      </c>
      <c r="D8" s="586" t="s">
        <v>1600</v>
      </c>
      <c r="E8" s="586" t="s">
        <v>1601</v>
      </c>
      <c r="F8" s="586" t="s">
        <v>1602</v>
      </c>
      <c r="G8" s="593" t="s">
        <v>1603</v>
      </c>
      <c r="H8" s="586" t="s">
        <v>2373</v>
      </c>
      <c r="I8" s="7" t="s">
        <v>1604</v>
      </c>
      <c r="J8" s="7" t="s">
        <v>996</v>
      </c>
      <c r="K8" s="7" t="s">
        <v>36</v>
      </c>
      <c r="L8" s="7" t="s">
        <v>999</v>
      </c>
      <c r="M8" s="594" t="s">
        <v>1605</v>
      </c>
      <c r="N8" s="352"/>
      <c r="O8" s="353"/>
      <c r="P8" s="353"/>
      <c r="Q8" s="353"/>
      <c r="R8" s="353"/>
      <c r="S8" s="353"/>
      <c r="T8" s="322"/>
      <c r="U8" s="322"/>
      <c r="V8" s="353"/>
    </row>
    <row r="9" spans="1:22" ht="16.5" customHeight="1" x14ac:dyDescent="0.25"/>
    <row r="11" spans="1:22" ht="15.75" customHeight="1" x14ac:dyDescent="0.25"/>
    <row r="12" spans="1:22" ht="15.75" customHeight="1" x14ac:dyDescent="0.25"/>
  </sheetData>
  <mergeCells count="1">
    <mergeCell ref="G3:G7"/>
  </mergeCells>
  <phoneticPr fontId="0" type="noConversion"/>
  <conditionalFormatting sqref="A8:M8">
    <cfRule type="expression" dxfId="93"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formula1>Yes_No</formula1>
    </dataValidation>
    <dataValidation allowBlank="1" showInputMessage="1" showErrorMessage="1" prompt="Select from the drop down list. " sqref="K8 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zoomScaleNormal="100" workbookViewId="0">
      <pane ySplit="8" topLeftCell="A9" activePane="bottomLeft" state="frozen"/>
      <selection activeCell="D8" sqref="D8"/>
      <selection pane="bottomLeft" activeCell="G22" sqref="G22"/>
    </sheetView>
  </sheetViews>
  <sheetFormatPr defaultColWidth="9.109375" defaultRowHeight="13.2" x14ac:dyDescent="0.25"/>
  <cols>
    <col min="1" max="1" width="18.5546875" style="316" customWidth="1"/>
    <col min="2" max="2" width="12.44140625" style="316" customWidth="1"/>
    <col min="3" max="3" width="16" style="316" customWidth="1"/>
    <col min="4" max="4" width="11.6640625" style="316" customWidth="1"/>
    <col min="5" max="5" width="15.6640625" style="316" customWidth="1"/>
    <col min="6" max="6" width="11.6640625" style="316" customWidth="1"/>
    <col min="7" max="7" width="13.44140625" style="316" customWidth="1"/>
    <col min="8" max="8" width="11.6640625" style="316" customWidth="1"/>
    <col min="9" max="9" width="15.44140625" style="316" customWidth="1"/>
    <col min="10" max="10" width="14.44140625" style="316" customWidth="1"/>
    <col min="11" max="11" width="23.6640625" style="316" customWidth="1"/>
    <col min="12" max="13" width="13.88671875" style="316" customWidth="1"/>
    <col min="14" max="14" width="13.33203125" style="313" customWidth="1"/>
    <col min="15" max="15" width="11.44140625" style="313" customWidth="1"/>
    <col min="16" max="16" width="62.44140625" style="316" customWidth="1"/>
    <col min="17" max="17" width="15.33203125" style="316" customWidth="1"/>
    <col min="18" max="18" width="17.88671875" style="316" customWidth="1"/>
    <col min="19" max="19" width="20" style="316" customWidth="1"/>
    <col min="20" max="21" width="20" style="314" customWidth="1"/>
    <col min="22" max="22" width="10.6640625" style="316" customWidth="1"/>
    <col min="23" max="23" width="10.88671875" style="314" customWidth="1"/>
    <col min="24" max="24" width="5.88671875" style="314" customWidth="1"/>
    <col min="25" max="25" width="19.88671875" style="314" customWidth="1"/>
    <col min="26" max="16384" width="9.109375" style="314"/>
  </cols>
  <sheetData>
    <row r="1" spans="1:24" s="324" customFormat="1" ht="15.6" x14ac:dyDescent="0.3">
      <c r="A1" s="595" t="s">
        <v>164</v>
      </c>
      <c r="B1" s="595"/>
      <c r="C1" s="595"/>
      <c r="D1" s="595"/>
      <c r="E1" s="595"/>
      <c r="F1" s="595"/>
      <c r="G1" s="595"/>
      <c r="H1" s="595"/>
      <c r="I1" s="596"/>
      <c r="J1" s="596"/>
      <c r="K1" s="597"/>
      <c r="L1" s="597"/>
      <c r="M1" s="598"/>
      <c r="N1" s="91"/>
      <c r="O1" s="91"/>
      <c r="P1" s="595"/>
      <c r="Q1" s="595"/>
      <c r="R1" s="595"/>
      <c r="S1" s="595"/>
      <c r="T1" s="354"/>
      <c r="U1" s="354"/>
      <c r="V1" s="595"/>
      <c r="W1" s="355"/>
      <c r="X1" s="356"/>
    </row>
    <row r="2" spans="1:24" s="305" customFormat="1" ht="14.4" x14ac:dyDescent="0.3">
      <c r="A2" s="599"/>
      <c r="B2" s="599"/>
      <c r="C2" s="599"/>
      <c r="D2" s="599"/>
      <c r="E2" s="599"/>
      <c r="F2" s="599"/>
      <c r="G2" s="599"/>
      <c r="H2" s="599"/>
      <c r="I2" s="599"/>
      <c r="J2" s="599"/>
      <c r="K2" s="600"/>
      <c r="L2" s="599"/>
      <c r="M2" s="599"/>
      <c r="N2" s="272"/>
      <c r="O2" s="272"/>
      <c r="P2" s="599"/>
      <c r="Q2" s="599"/>
      <c r="R2" s="599"/>
      <c r="S2" s="599"/>
      <c r="V2" s="599"/>
      <c r="W2" s="357"/>
    </row>
    <row r="3" spans="1:24" s="324" customFormat="1" ht="99" customHeight="1" x14ac:dyDescent="0.3">
      <c r="A3" s="601" t="s">
        <v>1028</v>
      </c>
      <c r="B3" s="602" t="s">
        <v>1029</v>
      </c>
      <c r="C3" s="601" t="s">
        <v>449</v>
      </c>
      <c r="D3" s="602" t="s">
        <v>450</v>
      </c>
      <c r="E3" s="601" t="s">
        <v>451</v>
      </c>
      <c r="F3" s="602" t="s">
        <v>452</v>
      </c>
      <c r="G3" s="601" t="s">
        <v>453</v>
      </c>
      <c r="H3" s="602" t="s">
        <v>454</v>
      </c>
      <c r="I3" s="601" t="s">
        <v>455</v>
      </c>
      <c r="J3" s="603" t="s">
        <v>456</v>
      </c>
      <c r="K3" s="604" t="s">
        <v>457</v>
      </c>
      <c r="L3" s="603" t="s">
        <v>458</v>
      </c>
      <c r="M3" s="603"/>
      <c r="N3" s="61"/>
      <c r="O3" s="61"/>
      <c r="P3" s="615"/>
      <c r="Q3" s="615"/>
      <c r="R3" s="615"/>
      <c r="S3" s="615"/>
      <c r="T3" s="885" t="s">
        <v>1449</v>
      </c>
      <c r="U3" s="40"/>
      <c r="V3" s="615"/>
      <c r="W3" s="357"/>
      <c r="X3" s="356"/>
    </row>
    <row r="4" spans="1:24" s="324" customFormat="1" ht="14.25" customHeight="1" x14ac:dyDescent="0.3">
      <c r="A4" s="603"/>
      <c r="B4" s="602"/>
      <c r="C4" s="601"/>
      <c r="D4" s="602"/>
      <c r="E4" s="601"/>
      <c r="F4" s="602"/>
      <c r="G4" s="601"/>
      <c r="H4" s="602"/>
      <c r="I4" s="603"/>
      <c r="J4" s="603"/>
      <c r="K4" s="604"/>
      <c r="L4" s="603"/>
      <c r="M4" s="603"/>
      <c r="N4" s="61"/>
      <c r="O4" s="61"/>
      <c r="P4" s="615"/>
      <c r="Q4" s="615"/>
      <c r="R4" s="615"/>
      <c r="S4" s="615"/>
      <c r="T4" s="40"/>
      <c r="U4" s="40"/>
      <c r="V4" s="615"/>
      <c r="W4" s="357"/>
      <c r="X4" s="356"/>
    </row>
    <row r="5" spans="1:24" s="324" customFormat="1" ht="14.25" customHeight="1" x14ac:dyDescent="0.3">
      <c r="A5" s="603"/>
      <c r="B5" s="605"/>
      <c r="C5" s="603"/>
      <c r="D5" s="605"/>
      <c r="E5" s="603"/>
      <c r="F5" s="605"/>
      <c r="G5" s="603"/>
      <c r="H5" s="605"/>
      <c r="I5" s="603"/>
      <c r="J5" s="603"/>
      <c r="K5" s="604"/>
      <c r="L5" s="603"/>
      <c r="M5" s="603"/>
      <c r="N5" s="61"/>
      <c r="O5" s="61"/>
      <c r="P5" s="615"/>
      <c r="Q5" s="615"/>
      <c r="R5" s="615"/>
      <c r="S5" s="615"/>
      <c r="T5" s="40"/>
      <c r="U5" s="40"/>
      <c r="V5" s="615"/>
      <c r="W5" s="357"/>
      <c r="X5" s="356"/>
    </row>
    <row r="6" spans="1:24" s="324" customFormat="1" ht="16.2" x14ac:dyDescent="0.3">
      <c r="A6" s="606"/>
      <c r="B6" s="606"/>
      <c r="C6" s="606"/>
      <c r="D6" s="606"/>
      <c r="E6" s="606"/>
      <c r="F6" s="606"/>
      <c r="G6" s="606"/>
      <c r="H6" s="606"/>
      <c r="I6" s="606"/>
      <c r="J6" s="606"/>
      <c r="K6" s="607"/>
      <c r="L6" s="608"/>
      <c r="M6" s="608"/>
      <c r="N6" s="32" t="s">
        <v>116</v>
      </c>
      <c r="O6" s="32" t="s">
        <v>116</v>
      </c>
      <c r="P6" s="591"/>
      <c r="Q6" s="811" t="s">
        <v>1455</v>
      </c>
      <c r="R6" s="591"/>
      <c r="S6" s="591"/>
      <c r="T6" s="306"/>
      <c r="U6" s="306"/>
      <c r="V6" s="591" t="s">
        <v>134</v>
      </c>
      <c r="W6" s="358" t="s">
        <v>104</v>
      </c>
      <c r="X6" s="356"/>
    </row>
    <row r="7" spans="1:24" s="324" customFormat="1" ht="14.4" x14ac:dyDescent="0.3">
      <c r="A7" s="609"/>
      <c r="B7" s="609"/>
      <c r="C7" s="610"/>
      <c r="D7" s="610"/>
      <c r="E7" s="610"/>
      <c r="F7" s="610"/>
      <c r="G7" s="610"/>
      <c r="H7" s="610"/>
      <c r="I7" s="609"/>
      <c r="J7" s="609"/>
      <c r="K7" s="611"/>
      <c r="L7" s="825"/>
      <c r="M7" s="612"/>
      <c r="N7" s="33"/>
      <c r="O7" s="33"/>
      <c r="P7" s="616"/>
      <c r="Q7" s="617"/>
      <c r="R7" s="616"/>
      <c r="S7" s="801" t="str">
        <f>HYPERLINK("#DropDownLists!R6","Add to this list")</f>
        <v>Add to this list</v>
      </c>
      <c r="T7" s="307"/>
      <c r="U7" s="307"/>
      <c r="V7" s="802" t="str">
        <f>HYPERLINK("#DropDownLists!A6","Add to this list")</f>
        <v>Add to this list</v>
      </c>
      <c r="W7" s="359"/>
      <c r="X7" s="356"/>
    </row>
    <row r="8" spans="1:24" s="324" customFormat="1" ht="27.6" thickBot="1" x14ac:dyDescent="0.35">
      <c r="A8" s="586" t="s">
        <v>573</v>
      </c>
      <c r="B8" s="586" t="s">
        <v>1885</v>
      </c>
      <c r="C8" s="586" t="s">
        <v>574</v>
      </c>
      <c r="D8" s="586" t="s">
        <v>1887</v>
      </c>
      <c r="E8" s="586" t="s">
        <v>575</v>
      </c>
      <c r="F8" s="586" t="s">
        <v>1888</v>
      </c>
      <c r="G8" s="586" t="s">
        <v>576</v>
      </c>
      <c r="H8" s="586" t="s">
        <v>1889</v>
      </c>
      <c r="I8" s="586" t="s">
        <v>577</v>
      </c>
      <c r="J8" s="586" t="s">
        <v>1890</v>
      </c>
      <c r="K8" s="613" t="s">
        <v>1637</v>
      </c>
      <c r="L8" s="586" t="s">
        <v>1598</v>
      </c>
      <c r="M8" s="614" t="s">
        <v>1578</v>
      </c>
      <c r="N8" s="34" t="s">
        <v>1576</v>
      </c>
      <c r="O8" s="34" t="s">
        <v>1577</v>
      </c>
      <c r="P8" s="586" t="s">
        <v>1606</v>
      </c>
      <c r="Q8" s="618" t="s">
        <v>1607</v>
      </c>
      <c r="R8" s="618" t="s">
        <v>1608</v>
      </c>
      <c r="S8" s="586" t="s">
        <v>1609</v>
      </c>
      <c r="T8" s="293" t="s">
        <v>67</v>
      </c>
      <c r="U8" s="293" t="s">
        <v>68</v>
      </c>
      <c r="V8" s="586" t="s">
        <v>3447</v>
      </c>
      <c r="W8" s="360" t="s">
        <v>3448</v>
      </c>
      <c r="X8" s="356"/>
    </row>
    <row r="9" spans="1:24" ht="15.75" customHeight="1" x14ac:dyDescent="0.25">
      <c r="K9" s="316" t="str">
        <f>A9&amp;C9&amp;E9&amp;G9&amp;I9</f>
        <v/>
      </c>
    </row>
    <row r="10" spans="1:24" ht="15" customHeight="1" x14ac:dyDescent="0.25">
      <c r="K10" s="316" t="str">
        <f t="shared" ref="K10:K73" si="0">A10&amp;C10&amp;E10&amp;G10&amp;I10</f>
        <v/>
      </c>
    </row>
    <row r="11" spans="1:24" ht="15.6" customHeight="1" x14ac:dyDescent="0.25">
      <c r="K11" s="316" t="str">
        <f t="shared" si="0"/>
        <v/>
      </c>
    </row>
    <row r="12" spans="1:24" x14ac:dyDescent="0.25">
      <c r="K12" s="316" t="str">
        <f t="shared" si="0"/>
        <v/>
      </c>
    </row>
    <row r="13" spans="1:24" x14ac:dyDescent="0.25">
      <c r="K13" s="316" t="str">
        <f t="shared" si="0"/>
        <v/>
      </c>
    </row>
    <row r="14" spans="1:24" x14ac:dyDescent="0.25">
      <c r="K14" s="316" t="str">
        <f t="shared" si="0"/>
        <v/>
      </c>
    </row>
    <row r="15" spans="1:24" x14ac:dyDescent="0.25">
      <c r="K15" s="316" t="str">
        <f t="shared" si="0"/>
        <v/>
      </c>
    </row>
    <row r="16" spans="1:24" x14ac:dyDescent="0.25">
      <c r="K16" s="316" t="str">
        <f t="shared" si="0"/>
        <v/>
      </c>
    </row>
    <row r="17" spans="11:11" x14ac:dyDescent="0.25">
      <c r="K17" s="316" t="str">
        <f t="shared" si="0"/>
        <v/>
      </c>
    </row>
    <row r="18" spans="11:11" x14ac:dyDescent="0.25">
      <c r="K18" s="316" t="str">
        <f t="shared" si="0"/>
        <v/>
      </c>
    </row>
    <row r="19" spans="11:11" x14ac:dyDescent="0.25">
      <c r="K19" s="316" t="str">
        <f t="shared" si="0"/>
        <v/>
      </c>
    </row>
    <row r="20" spans="11:11" x14ac:dyDescent="0.25">
      <c r="K20" s="316" t="str">
        <f t="shared" si="0"/>
        <v/>
      </c>
    </row>
    <row r="21" spans="11:11" x14ac:dyDescent="0.25">
      <c r="K21" s="316" t="str">
        <f t="shared" si="0"/>
        <v/>
      </c>
    </row>
    <row r="22" spans="11:11" x14ac:dyDescent="0.25">
      <c r="K22" s="316" t="str">
        <f t="shared" si="0"/>
        <v/>
      </c>
    </row>
    <row r="23" spans="11:11" x14ac:dyDescent="0.25">
      <c r="K23" s="316" t="str">
        <f t="shared" si="0"/>
        <v/>
      </c>
    </row>
    <row r="24" spans="11:11" x14ac:dyDescent="0.25">
      <c r="K24" s="316" t="str">
        <f t="shared" si="0"/>
        <v/>
      </c>
    </row>
    <row r="25" spans="11:11" x14ac:dyDescent="0.25">
      <c r="K25" s="316" t="str">
        <f t="shared" si="0"/>
        <v/>
      </c>
    </row>
    <row r="26" spans="11:11" x14ac:dyDescent="0.25">
      <c r="K26" s="316" t="str">
        <f t="shared" si="0"/>
        <v/>
      </c>
    </row>
    <row r="27" spans="11:11" x14ac:dyDescent="0.25">
      <c r="K27" s="316" t="str">
        <f t="shared" si="0"/>
        <v/>
      </c>
    </row>
    <row r="28" spans="11:11" x14ac:dyDescent="0.25">
      <c r="K28" s="316" t="str">
        <f t="shared" si="0"/>
        <v/>
      </c>
    </row>
    <row r="29" spans="11:11" x14ac:dyDescent="0.25">
      <c r="K29" s="316" t="str">
        <f t="shared" si="0"/>
        <v/>
      </c>
    </row>
    <row r="30" spans="11:11" x14ac:dyDescent="0.25">
      <c r="K30" s="316" t="str">
        <f t="shared" si="0"/>
        <v/>
      </c>
    </row>
    <row r="31" spans="11:11" x14ac:dyDescent="0.25">
      <c r="K31" s="316" t="str">
        <f t="shared" si="0"/>
        <v/>
      </c>
    </row>
    <row r="32" spans="11:11" x14ac:dyDescent="0.25">
      <c r="K32" s="316" t="str">
        <f t="shared" si="0"/>
        <v/>
      </c>
    </row>
    <row r="33" spans="11:11" x14ac:dyDescent="0.25">
      <c r="K33" s="316" t="str">
        <f t="shared" si="0"/>
        <v/>
      </c>
    </row>
    <row r="34" spans="11:11" x14ac:dyDescent="0.25">
      <c r="K34" s="316" t="str">
        <f t="shared" si="0"/>
        <v/>
      </c>
    </row>
    <row r="35" spans="11:11" x14ac:dyDescent="0.25">
      <c r="K35" s="316" t="str">
        <f t="shared" si="0"/>
        <v/>
      </c>
    </row>
    <row r="36" spans="11:11" x14ac:dyDescent="0.25">
      <c r="K36" s="316" t="str">
        <f t="shared" si="0"/>
        <v/>
      </c>
    </row>
    <row r="37" spans="11:11" x14ac:dyDescent="0.25">
      <c r="K37" s="316" t="str">
        <f t="shared" si="0"/>
        <v/>
      </c>
    </row>
    <row r="38" spans="11:11" x14ac:dyDescent="0.25">
      <c r="K38" s="316" t="str">
        <f t="shared" si="0"/>
        <v/>
      </c>
    </row>
    <row r="39" spans="11:11" x14ac:dyDescent="0.25">
      <c r="K39" s="316" t="str">
        <f t="shared" si="0"/>
        <v/>
      </c>
    </row>
    <row r="40" spans="11:11" x14ac:dyDescent="0.25">
      <c r="K40" s="316" t="str">
        <f t="shared" si="0"/>
        <v/>
      </c>
    </row>
    <row r="41" spans="11:11" x14ac:dyDescent="0.25">
      <c r="K41" s="316" t="str">
        <f t="shared" si="0"/>
        <v/>
      </c>
    </row>
    <row r="42" spans="11:11" x14ac:dyDescent="0.25">
      <c r="K42" s="316" t="str">
        <f t="shared" si="0"/>
        <v/>
      </c>
    </row>
    <row r="43" spans="11:11" x14ac:dyDescent="0.25">
      <c r="K43" s="316" t="str">
        <f t="shared" si="0"/>
        <v/>
      </c>
    </row>
    <row r="44" spans="11:11" x14ac:dyDescent="0.25">
      <c r="K44" s="316" t="str">
        <f t="shared" si="0"/>
        <v/>
      </c>
    </row>
    <row r="45" spans="11:11" x14ac:dyDescent="0.25">
      <c r="K45" s="316" t="str">
        <f t="shared" si="0"/>
        <v/>
      </c>
    </row>
    <row r="46" spans="11:11" x14ac:dyDescent="0.25">
      <c r="K46" s="316" t="str">
        <f t="shared" si="0"/>
        <v/>
      </c>
    </row>
    <row r="47" spans="11:11" x14ac:dyDescent="0.25">
      <c r="K47" s="316" t="str">
        <f t="shared" si="0"/>
        <v/>
      </c>
    </row>
    <row r="48" spans="11:11" x14ac:dyDescent="0.25">
      <c r="K48" s="316" t="str">
        <f t="shared" si="0"/>
        <v/>
      </c>
    </row>
    <row r="49" spans="11:11" x14ac:dyDescent="0.25">
      <c r="K49" s="316" t="str">
        <f t="shared" si="0"/>
        <v/>
      </c>
    </row>
    <row r="50" spans="11:11" x14ac:dyDescent="0.25">
      <c r="K50" s="316" t="str">
        <f t="shared" si="0"/>
        <v/>
      </c>
    </row>
    <row r="51" spans="11:11" x14ac:dyDescent="0.25">
      <c r="K51" s="316" t="str">
        <f t="shared" si="0"/>
        <v/>
      </c>
    </row>
    <row r="52" spans="11:11" x14ac:dyDescent="0.25">
      <c r="K52" s="316" t="str">
        <f t="shared" si="0"/>
        <v/>
      </c>
    </row>
    <row r="53" spans="11:11" x14ac:dyDescent="0.25">
      <c r="K53" s="316" t="str">
        <f t="shared" si="0"/>
        <v/>
      </c>
    </row>
    <row r="54" spans="11:11" x14ac:dyDescent="0.25">
      <c r="K54" s="316" t="str">
        <f t="shared" si="0"/>
        <v/>
      </c>
    </row>
    <row r="55" spans="11:11" x14ac:dyDescent="0.25">
      <c r="K55" s="316" t="str">
        <f t="shared" si="0"/>
        <v/>
      </c>
    </row>
    <row r="56" spans="11:11" x14ac:dyDescent="0.25">
      <c r="K56" s="316" t="str">
        <f t="shared" si="0"/>
        <v/>
      </c>
    </row>
    <row r="57" spans="11:11" x14ac:dyDescent="0.25">
      <c r="K57" s="316" t="str">
        <f t="shared" si="0"/>
        <v/>
      </c>
    </row>
    <row r="58" spans="11:11" x14ac:dyDescent="0.25">
      <c r="K58" s="316" t="str">
        <f t="shared" si="0"/>
        <v/>
      </c>
    </row>
    <row r="59" spans="11:11" x14ac:dyDescent="0.25">
      <c r="K59" s="316" t="str">
        <f t="shared" si="0"/>
        <v/>
      </c>
    </row>
    <row r="60" spans="11:11" x14ac:dyDescent="0.25">
      <c r="K60" s="316" t="str">
        <f t="shared" si="0"/>
        <v/>
      </c>
    </row>
    <row r="61" spans="11:11" x14ac:dyDescent="0.25">
      <c r="K61" s="316" t="str">
        <f t="shared" si="0"/>
        <v/>
      </c>
    </row>
    <row r="62" spans="11:11" x14ac:dyDescent="0.25">
      <c r="K62" s="316" t="str">
        <f t="shared" si="0"/>
        <v/>
      </c>
    </row>
    <row r="63" spans="11:11" x14ac:dyDescent="0.25">
      <c r="K63" s="316" t="str">
        <f t="shared" si="0"/>
        <v/>
      </c>
    </row>
    <row r="64" spans="11:11" x14ac:dyDescent="0.25">
      <c r="K64" s="316" t="str">
        <f t="shared" si="0"/>
        <v/>
      </c>
    </row>
    <row r="65" spans="11:11" x14ac:dyDescent="0.25">
      <c r="K65" s="316" t="str">
        <f t="shared" si="0"/>
        <v/>
      </c>
    </row>
    <row r="66" spans="11:11" x14ac:dyDescent="0.25">
      <c r="K66" s="316" t="str">
        <f t="shared" si="0"/>
        <v/>
      </c>
    </row>
    <row r="67" spans="11:11" x14ac:dyDescent="0.25">
      <c r="K67" s="316" t="str">
        <f t="shared" si="0"/>
        <v/>
      </c>
    </row>
    <row r="68" spans="11:11" x14ac:dyDescent="0.25">
      <c r="K68" s="316" t="str">
        <f t="shared" si="0"/>
        <v/>
      </c>
    </row>
    <row r="69" spans="11:11" x14ac:dyDescent="0.25">
      <c r="K69" s="316" t="str">
        <f t="shared" si="0"/>
        <v/>
      </c>
    </row>
    <row r="70" spans="11:11" x14ac:dyDescent="0.25">
      <c r="K70" s="316" t="str">
        <f t="shared" si="0"/>
        <v/>
      </c>
    </row>
    <row r="71" spans="11:11" x14ac:dyDescent="0.25">
      <c r="K71" s="316" t="str">
        <f t="shared" si="0"/>
        <v/>
      </c>
    </row>
    <row r="72" spans="11:11" x14ac:dyDescent="0.25">
      <c r="K72" s="316" t="str">
        <f t="shared" si="0"/>
        <v/>
      </c>
    </row>
    <row r="73" spans="11:11" x14ac:dyDescent="0.25">
      <c r="K73" s="316" t="str">
        <f t="shared" si="0"/>
        <v/>
      </c>
    </row>
    <row r="74" spans="11:11" x14ac:dyDescent="0.25">
      <c r="K74" s="316" t="str">
        <f t="shared" ref="K74:K137" si="1">A74&amp;C74&amp;E74&amp;G74&amp;I74</f>
        <v/>
      </c>
    </row>
    <row r="75" spans="11:11" x14ac:dyDescent="0.25">
      <c r="K75" s="316" t="str">
        <f t="shared" si="1"/>
        <v/>
      </c>
    </row>
    <row r="76" spans="11:11" x14ac:dyDescent="0.25">
      <c r="K76" s="316" t="str">
        <f t="shared" si="1"/>
        <v/>
      </c>
    </row>
    <row r="77" spans="11:11" x14ac:dyDescent="0.25">
      <c r="K77" s="316" t="str">
        <f t="shared" si="1"/>
        <v/>
      </c>
    </row>
    <row r="78" spans="11:11" x14ac:dyDescent="0.25">
      <c r="K78" s="316" t="str">
        <f t="shared" si="1"/>
        <v/>
      </c>
    </row>
    <row r="79" spans="11:11" x14ac:dyDescent="0.25">
      <c r="K79" s="316" t="str">
        <f t="shared" si="1"/>
        <v/>
      </c>
    </row>
    <row r="80" spans="11:11" x14ac:dyDescent="0.25">
      <c r="K80" s="316" t="str">
        <f t="shared" si="1"/>
        <v/>
      </c>
    </row>
    <row r="81" spans="11:11" x14ac:dyDescent="0.25">
      <c r="K81" s="316" t="str">
        <f t="shared" si="1"/>
        <v/>
      </c>
    </row>
    <row r="82" spans="11:11" x14ac:dyDescent="0.25">
      <c r="K82" s="316" t="str">
        <f t="shared" si="1"/>
        <v/>
      </c>
    </row>
    <row r="83" spans="11:11" x14ac:dyDescent="0.25">
      <c r="K83" s="316" t="str">
        <f t="shared" si="1"/>
        <v/>
      </c>
    </row>
    <row r="84" spans="11:11" x14ac:dyDescent="0.25">
      <c r="K84" s="316" t="str">
        <f t="shared" si="1"/>
        <v/>
      </c>
    </row>
    <row r="85" spans="11:11" x14ac:dyDescent="0.25">
      <c r="K85" s="316" t="str">
        <f t="shared" si="1"/>
        <v/>
      </c>
    </row>
    <row r="86" spans="11:11" x14ac:dyDescent="0.25">
      <c r="K86" s="316" t="str">
        <f t="shared" si="1"/>
        <v/>
      </c>
    </row>
    <row r="87" spans="11:11" x14ac:dyDescent="0.25">
      <c r="K87" s="316" t="str">
        <f t="shared" si="1"/>
        <v/>
      </c>
    </row>
    <row r="88" spans="11:11" x14ac:dyDescent="0.25">
      <c r="K88" s="316" t="str">
        <f t="shared" si="1"/>
        <v/>
      </c>
    </row>
    <row r="89" spans="11:11" x14ac:dyDescent="0.25">
      <c r="K89" s="316" t="str">
        <f t="shared" si="1"/>
        <v/>
      </c>
    </row>
    <row r="90" spans="11:11" x14ac:dyDescent="0.25">
      <c r="K90" s="316" t="str">
        <f t="shared" si="1"/>
        <v/>
      </c>
    </row>
    <row r="91" spans="11:11" x14ac:dyDescent="0.25">
      <c r="K91" s="316" t="str">
        <f t="shared" si="1"/>
        <v/>
      </c>
    </row>
    <row r="92" spans="11:11" x14ac:dyDescent="0.25">
      <c r="K92" s="316" t="str">
        <f t="shared" si="1"/>
        <v/>
      </c>
    </row>
    <row r="93" spans="11:11" x14ac:dyDescent="0.25">
      <c r="K93" s="316" t="str">
        <f t="shared" si="1"/>
        <v/>
      </c>
    </row>
    <row r="94" spans="11:11" x14ac:dyDescent="0.25">
      <c r="K94" s="316" t="str">
        <f t="shared" si="1"/>
        <v/>
      </c>
    </row>
    <row r="95" spans="11:11" x14ac:dyDescent="0.25">
      <c r="K95" s="316" t="str">
        <f t="shared" si="1"/>
        <v/>
      </c>
    </row>
    <row r="96" spans="11:11" x14ac:dyDescent="0.25">
      <c r="K96" s="316" t="str">
        <f t="shared" si="1"/>
        <v/>
      </c>
    </row>
    <row r="97" spans="11:11" x14ac:dyDescent="0.25">
      <c r="K97" s="316" t="str">
        <f t="shared" si="1"/>
        <v/>
      </c>
    </row>
    <row r="98" spans="11:11" x14ac:dyDescent="0.25">
      <c r="K98" s="316" t="str">
        <f t="shared" si="1"/>
        <v/>
      </c>
    </row>
    <row r="99" spans="11:11" x14ac:dyDescent="0.25">
      <c r="K99" s="316" t="str">
        <f t="shared" si="1"/>
        <v/>
      </c>
    </row>
    <row r="100" spans="11:11" x14ac:dyDescent="0.25">
      <c r="K100" s="316" t="str">
        <f t="shared" si="1"/>
        <v/>
      </c>
    </row>
    <row r="101" spans="11:11" x14ac:dyDescent="0.25">
      <c r="K101" s="316" t="str">
        <f t="shared" si="1"/>
        <v/>
      </c>
    </row>
    <row r="102" spans="11:11" x14ac:dyDescent="0.25">
      <c r="K102" s="316" t="str">
        <f t="shared" si="1"/>
        <v/>
      </c>
    </row>
    <row r="103" spans="11:11" x14ac:dyDescent="0.25">
      <c r="K103" s="316" t="str">
        <f t="shared" si="1"/>
        <v/>
      </c>
    </row>
    <row r="104" spans="11:11" x14ac:dyDescent="0.25">
      <c r="K104" s="316" t="str">
        <f t="shared" si="1"/>
        <v/>
      </c>
    </row>
    <row r="105" spans="11:11" x14ac:dyDescent="0.25">
      <c r="K105" s="316" t="str">
        <f t="shared" si="1"/>
        <v/>
      </c>
    </row>
    <row r="106" spans="11:11" x14ac:dyDescent="0.25">
      <c r="K106" s="316" t="str">
        <f t="shared" si="1"/>
        <v/>
      </c>
    </row>
    <row r="107" spans="11:11" x14ac:dyDescent="0.25">
      <c r="K107" s="316" t="str">
        <f t="shared" si="1"/>
        <v/>
      </c>
    </row>
    <row r="108" spans="11:11" x14ac:dyDescent="0.25">
      <c r="K108" s="316" t="str">
        <f t="shared" si="1"/>
        <v/>
      </c>
    </row>
    <row r="109" spans="11:11" x14ac:dyDescent="0.25">
      <c r="K109" s="316" t="str">
        <f t="shared" si="1"/>
        <v/>
      </c>
    </row>
    <row r="110" spans="11:11" x14ac:dyDescent="0.25">
      <c r="K110" s="316" t="str">
        <f t="shared" si="1"/>
        <v/>
      </c>
    </row>
    <row r="111" spans="11:11" x14ac:dyDescent="0.25">
      <c r="K111" s="316" t="str">
        <f t="shared" si="1"/>
        <v/>
      </c>
    </row>
    <row r="112" spans="11:11" x14ac:dyDescent="0.25">
      <c r="K112" s="316" t="str">
        <f t="shared" si="1"/>
        <v/>
      </c>
    </row>
    <row r="113" spans="11:11" x14ac:dyDescent="0.25">
      <c r="K113" s="316" t="str">
        <f t="shared" si="1"/>
        <v/>
      </c>
    </row>
    <row r="114" spans="11:11" x14ac:dyDescent="0.25">
      <c r="K114" s="316" t="str">
        <f t="shared" si="1"/>
        <v/>
      </c>
    </row>
    <row r="115" spans="11:11" x14ac:dyDescent="0.25">
      <c r="K115" s="316" t="str">
        <f t="shared" si="1"/>
        <v/>
      </c>
    </row>
    <row r="116" spans="11:11" x14ac:dyDescent="0.25">
      <c r="K116" s="316" t="str">
        <f t="shared" si="1"/>
        <v/>
      </c>
    </row>
    <row r="117" spans="11:11" x14ac:dyDescent="0.25">
      <c r="K117" s="316" t="str">
        <f t="shared" si="1"/>
        <v/>
      </c>
    </row>
    <row r="118" spans="11:11" x14ac:dyDescent="0.25">
      <c r="K118" s="316" t="str">
        <f t="shared" si="1"/>
        <v/>
      </c>
    </row>
    <row r="119" spans="11:11" x14ac:dyDescent="0.25">
      <c r="K119" s="316" t="str">
        <f t="shared" si="1"/>
        <v/>
      </c>
    </row>
    <row r="120" spans="11:11" x14ac:dyDescent="0.25">
      <c r="K120" s="316" t="str">
        <f t="shared" si="1"/>
        <v/>
      </c>
    </row>
    <row r="121" spans="11:11" x14ac:dyDescent="0.25">
      <c r="K121" s="316" t="str">
        <f t="shared" si="1"/>
        <v/>
      </c>
    </row>
    <row r="122" spans="11:11" x14ac:dyDescent="0.25">
      <c r="K122" s="316" t="str">
        <f t="shared" si="1"/>
        <v/>
      </c>
    </row>
    <row r="123" spans="11:11" x14ac:dyDescent="0.25">
      <c r="K123" s="316" t="str">
        <f t="shared" si="1"/>
        <v/>
      </c>
    </row>
    <row r="124" spans="11:11" x14ac:dyDescent="0.25">
      <c r="K124" s="316" t="str">
        <f t="shared" si="1"/>
        <v/>
      </c>
    </row>
    <row r="125" spans="11:11" x14ac:dyDescent="0.25">
      <c r="K125" s="316" t="str">
        <f t="shared" si="1"/>
        <v/>
      </c>
    </row>
    <row r="126" spans="11:11" x14ac:dyDescent="0.25">
      <c r="K126" s="316" t="str">
        <f t="shared" si="1"/>
        <v/>
      </c>
    </row>
    <row r="127" spans="11:11" x14ac:dyDescent="0.25">
      <c r="K127" s="316" t="str">
        <f t="shared" si="1"/>
        <v/>
      </c>
    </row>
    <row r="128" spans="11:11" x14ac:dyDescent="0.25">
      <c r="K128" s="316" t="str">
        <f t="shared" si="1"/>
        <v/>
      </c>
    </row>
    <row r="129" spans="11:11" x14ac:dyDescent="0.25">
      <c r="K129" s="316" t="str">
        <f t="shared" si="1"/>
        <v/>
      </c>
    </row>
    <row r="130" spans="11:11" x14ac:dyDescent="0.25">
      <c r="K130" s="316" t="str">
        <f t="shared" si="1"/>
        <v/>
      </c>
    </row>
    <row r="131" spans="11:11" x14ac:dyDescent="0.25">
      <c r="K131" s="316" t="str">
        <f t="shared" si="1"/>
        <v/>
      </c>
    </row>
    <row r="132" spans="11:11" x14ac:dyDescent="0.25">
      <c r="K132" s="316" t="str">
        <f t="shared" si="1"/>
        <v/>
      </c>
    </row>
    <row r="133" spans="11:11" x14ac:dyDescent="0.25">
      <c r="K133" s="316" t="str">
        <f t="shared" si="1"/>
        <v/>
      </c>
    </row>
    <row r="134" spans="11:11" x14ac:dyDescent="0.25">
      <c r="K134" s="316" t="str">
        <f t="shared" si="1"/>
        <v/>
      </c>
    </row>
    <row r="135" spans="11:11" x14ac:dyDescent="0.25">
      <c r="K135" s="316" t="str">
        <f t="shared" si="1"/>
        <v/>
      </c>
    </row>
    <row r="136" spans="11:11" x14ac:dyDescent="0.25">
      <c r="K136" s="316" t="str">
        <f t="shared" si="1"/>
        <v/>
      </c>
    </row>
    <row r="137" spans="11:11" x14ac:dyDescent="0.25">
      <c r="K137" s="316" t="str">
        <f t="shared" si="1"/>
        <v/>
      </c>
    </row>
    <row r="138" spans="11:11" x14ac:dyDescent="0.25">
      <c r="K138" s="316" t="str">
        <f t="shared" ref="K138:K201" si="2">A138&amp;C138&amp;E138&amp;G138&amp;I138</f>
        <v/>
      </c>
    </row>
    <row r="139" spans="11:11" x14ac:dyDescent="0.25">
      <c r="K139" s="316" t="str">
        <f t="shared" si="2"/>
        <v/>
      </c>
    </row>
    <row r="140" spans="11:11" x14ac:dyDescent="0.25">
      <c r="K140" s="316" t="str">
        <f t="shared" si="2"/>
        <v/>
      </c>
    </row>
    <row r="141" spans="11:11" x14ac:dyDescent="0.25">
      <c r="K141" s="316" t="str">
        <f t="shared" si="2"/>
        <v/>
      </c>
    </row>
    <row r="142" spans="11:11" x14ac:dyDescent="0.25">
      <c r="K142" s="316" t="str">
        <f t="shared" si="2"/>
        <v/>
      </c>
    </row>
    <row r="143" spans="11:11" x14ac:dyDescent="0.25">
      <c r="K143" s="316" t="str">
        <f t="shared" si="2"/>
        <v/>
      </c>
    </row>
    <row r="144" spans="11:11" x14ac:dyDescent="0.25">
      <c r="K144" s="316" t="str">
        <f t="shared" si="2"/>
        <v/>
      </c>
    </row>
    <row r="145" spans="11:11" x14ac:dyDescent="0.25">
      <c r="K145" s="316" t="str">
        <f t="shared" si="2"/>
        <v/>
      </c>
    </row>
    <row r="146" spans="11:11" x14ac:dyDescent="0.25">
      <c r="K146" s="316" t="str">
        <f t="shared" si="2"/>
        <v/>
      </c>
    </row>
    <row r="147" spans="11:11" x14ac:dyDescent="0.25">
      <c r="K147" s="316" t="str">
        <f t="shared" si="2"/>
        <v/>
      </c>
    </row>
    <row r="148" spans="11:11" x14ac:dyDescent="0.25">
      <c r="K148" s="316" t="str">
        <f t="shared" si="2"/>
        <v/>
      </c>
    </row>
    <row r="149" spans="11:11" x14ac:dyDescent="0.25">
      <c r="K149" s="316" t="str">
        <f t="shared" si="2"/>
        <v/>
      </c>
    </row>
    <row r="150" spans="11:11" x14ac:dyDescent="0.25">
      <c r="K150" s="316" t="str">
        <f t="shared" si="2"/>
        <v/>
      </c>
    </row>
    <row r="151" spans="11:11" x14ac:dyDescent="0.25">
      <c r="K151" s="316" t="str">
        <f t="shared" si="2"/>
        <v/>
      </c>
    </row>
    <row r="152" spans="11:11" x14ac:dyDescent="0.25">
      <c r="K152" s="316" t="str">
        <f t="shared" si="2"/>
        <v/>
      </c>
    </row>
    <row r="153" spans="11:11" x14ac:dyDescent="0.25">
      <c r="K153" s="316" t="str">
        <f t="shared" si="2"/>
        <v/>
      </c>
    </row>
    <row r="154" spans="11:11" x14ac:dyDescent="0.25">
      <c r="K154" s="316" t="str">
        <f t="shared" si="2"/>
        <v/>
      </c>
    </row>
    <row r="155" spans="11:11" x14ac:dyDescent="0.25">
      <c r="K155" s="316" t="str">
        <f t="shared" si="2"/>
        <v/>
      </c>
    </row>
    <row r="156" spans="11:11" x14ac:dyDescent="0.25">
      <c r="K156" s="316" t="str">
        <f t="shared" si="2"/>
        <v/>
      </c>
    </row>
    <row r="157" spans="11:11" x14ac:dyDescent="0.25">
      <c r="K157" s="316" t="str">
        <f t="shared" si="2"/>
        <v/>
      </c>
    </row>
    <row r="158" spans="11:11" x14ac:dyDescent="0.25">
      <c r="K158" s="316" t="str">
        <f t="shared" si="2"/>
        <v/>
      </c>
    </row>
    <row r="159" spans="11:11" x14ac:dyDescent="0.25">
      <c r="K159" s="316" t="str">
        <f t="shared" si="2"/>
        <v/>
      </c>
    </row>
    <row r="160" spans="11:11" x14ac:dyDescent="0.25">
      <c r="K160" s="316" t="str">
        <f t="shared" si="2"/>
        <v/>
      </c>
    </row>
    <row r="161" spans="11:11" x14ac:dyDescent="0.25">
      <c r="K161" s="316" t="str">
        <f t="shared" si="2"/>
        <v/>
      </c>
    </row>
    <row r="162" spans="11:11" x14ac:dyDescent="0.25">
      <c r="K162" s="316" t="str">
        <f t="shared" si="2"/>
        <v/>
      </c>
    </row>
    <row r="163" spans="11:11" x14ac:dyDescent="0.25">
      <c r="K163" s="316" t="str">
        <f t="shared" si="2"/>
        <v/>
      </c>
    </row>
    <row r="164" spans="11:11" x14ac:dyDescent="0.25">
      <c r="K164" s="316" t="str">
        <f t="shared" si="2"/>
        <v/>
      </c>
    </row>
    <row r="165" spans="11:11" x14ac:dyDescent="0.25">
      <c r="K165" s="316" t="str">
        <f t="shared" si="2"/>
        <v/>
      </c>
    </row>
    <row r="166" spans="11:11" x14ac:dyDescent="0.25">
      <c r="K166" s="316" t="str">
        <f t="shared" si="2"/>
        <v/>
      </c>
    </row>
    <row r="167" spans="11:11" x14ac:dyDescent="0.25">
      <c r="K167" s="316" t="str">
        <f t="shared" si="2"/>
        <v/>
      </c>
    </row>
    <row r="168" spans="11:11" x14ac:dyDescent="0.25">
      <c r="K168" s="316" t="str">
        <f t="shared" si="2"/>
        <v/>
      </c>
    </row>
    <row r="169" spans="11:11" x14ac:dyDescent="0.25">
      <c r="K169" s="316" t="str">
        <f t="shared" si="2"/>
        <v/>
      </c>
    </row>
    <row r="170" spans="11:11" x14ac:dyDescent="0.25">
      <c r="K170" s="316" t="str">
        <f t="shared" si="2"/>
        <v/>
      </c>
    </row>
    <row r="171" spans="11:11" x14ac:dyDescent="0.25">
      <c r="K171" s="316" t="str">
        <f t="shared" si="2"/>
        <v/>
      </c>
    </row>
    <row r="172" spans="11:11" x14ac:dyDescent="0.25">
      <c r="K172" s="316" t="str">
        <f t="shared" si="2"/>
        <v/>
      </c>
    </row>
    <row r="173" spans="11:11" x14ac:dyDescent="0.25">
      <c r="K173" s="316" t="str">
        <f t="shared" si="2"/>
        <v/>
      </c>
    </row>
    <row r="174" spans="11:11" x14ac:dyDescent="0.25">
      <c r="K174" s="316" t="str">
        <f t="shared" si="2"/>
        <v/>
      </c>
    </row>
    <row r="175" spans="11:11" x14ac:dyDescent="0.25">
      <c r="K175" s="316" t="str">
        <f t="shared" si="2"/>
        <v/>
      </c>
    </row>
    <row r="176" spans="11:11" x14ac:dyDescent="0.25">
      <c r="K176" s="316" t="str">
        <f t="shared" si="2"/>
        <v/>
      </c>
    </row>
    <row r="177" spans="11:11" x14ac:dyDescent="0.25">
      <c r="K177" s="316" t="str">
        <f t="shared" si="2"/>
        <v/>
      </c>
    </row>
    <row r="178" spans="11:11" x14ac:dyDescent="0.25">
      <c r="K178" s="316" t="str">
        <f t="shared" si="2"/>
        <v/>
      </c>
    </row>
    <row r="179" spans="11:11" x14ac:dyDescent="0.25">
      <c r="K179" s="316" t="str">
        <f t="shared" si="2"/>
        <v/>
      </c>
    </row>
    <row r="180" spans="11:11" x14ac:dyDescent="0.25">
      <c r="K180" s="316" t="str">
        <f t="shared" si="2"/>
        <v/>
      </c>
    </row>
    <row r="181" spans="11:11" x14ac:dyDescent="0.25">
      <c r="K181" s="316" t="str">
        <f t="shared" si="2"/>
        <v/>
      </c>
    </row>
    <row r="182" spans="11:11" x14ac:dyDescent="0.25">
      <c r="K182" s="316" t="str">
        <f t="shared" si="2"/>
        <v/>
      </c>
    </row>
    <row r="183" spans="11:11" x14ac:dyDescent="0.25">
      <c r="K183" s="316" t="str">
        <f t="shared" si="2"/>
        <v/>
      </c>
    </row>
    <row r="184" spans="11:11" x14ac:dyDescent="0.25">
      <c r="K184" s="316" t="str">
        <f t="shared" si="2"/>
        <v/>
      </c>
    </row>
    <row r="185" spans="11:11" x14ac:dyDescent="0.25">
      <c r="K185" s="316" t="str">
        <f t="shared" si="2"/>
        <v/>
      </c>
    </row>
    <row r="186" spans="11:11" x14ac:dyDescent="0.25">
      <c r="K186" s="316" t="str">
        <f t="shared" si="2"/>
        <v/>
      </c>
    </row>
    <row r="187" spans="11:11" x14ac:dyDescent="0.25">
      <c r="K187" s="316" t="str">
        <f t="shared" si="2"/>
        <v/>
      </c>
    </row>
    <row r="188" spans="11:11" x14ac:dyDescent="0.25">
      <c r="K188" s="316" t="str">
        <f t="shared" si="2"/>
        <v/>
      </c>
    </row>
    <row r="189" spans="11:11" x14ac:dyDescent="0.25">
      <c r="K189" s="316" t="str">
        <f t="shared" si="2"/>
        <v/>
      </c>
    </row>
    <row r="190" spans="11:11" x14ac:dyDescent="0.25">
      <c r="K190" s="316" t="str">
        <f t="shared" si="2"/>
        <v/>
      </c>
    </row>
    <row r="191" spans="11:11" x14ac:dyDescent="0.25">
      <c r="K191" s="316" t="str">
        <f t="shared" si="2"/>
        <v/>
      </c>
    </row>
    <row r="192" spans="11:11" x14ac:dyDescent="0.25">
      <c r="K192" s="316" t="str">
        <f t="shared" si="2"/>
        <v/>
      </c>
    </row>
    <row r="193" spans="11:11" x14ac:dyDescent="0.25">
      <c r="K193" s="316" t="str">
        <f t="shared" si="2"/>
        <v/>
      </c>
    </row>
    <row r="194" spans="11:11" x14ac:dyDescent="0.25">
      <c r="K194" s="316" t="str">
        <f t="shared" si="2"/>
        <v/>
      </c>
    </row>
    <row r="195" spans="11:11" x14ac:dyDescent="0.25">
      <c r="K195" s="316" t="str">
        <f t="shared" si="2"/>
        <v/>
      </c>
    </row>
    <row r="196" spans="11:11" x14ac:dyDescent="0.25">
      <c r="K196" s="316" t="str">
        <f t="shared" si="2"/>
        <v/>
      </c>
    </row>
    <row r="197" spans="11:11" x14ac:dyDescent="0.25">
      <c r="K197" s="316" t="str">
        <f t="shared" si="2"/>
        <v/>
      </c>
    </row>
    <row r="198" spans="11:11" x14ac:dyDescent="0.25">
      <c r="K198" s="316" t="str">
        <f t="shared" si="2"/>
        <v/>
      </c>
    </row>
    <row r="199" spans="11:11" x14ac:dyDescent="0.25">
      <c r="K199" s="316" t="str">
        <f t="shared" si="2"/>
        <v/>
      </c>
    </row>
    <row r="200" spans="11:11" x14ac:dyDescent="0.25">
      <c r="K200" s="316" t="str">
        <f t="shared" si="2"/>
        <v/>
      </c>
    </row>
    <row r="201" spans="11:11" x14ac:dyDescent="0.25">
      <c r="K201" s="316" t="str">
        <f t="shared" si="2"/>
        <v/>
      </c>
    </row>
    <row r="202" spans="11:11" x14ac:dyDescent="0.25">
      <c r="K202" s="316" t="str">
        <f t="shared" ref="K202:K265" si="3">A202&amp;C202&amp;E202&amp;G202&amp;I202</f>
        <v/>
      </c>
    </row>
    <row r="203" spans="11:11" x14ac:dyDescent="0.25">
      <c r="K203" s="316" t="str">
        <f t="shared" si="3"/>
        <v/>
      </c>
    </row>
    <row r="204" spans="11:11" x14ac:dyDescent="0.25">
      <c r="K204" s="316" t="str">
        <f t="shared" si="3"/>
        <v/>
      </c>
    </row>
    <row r="205" spans="11:11" x14ac:dyDescent="0.25">
      <c r="K205" s="316" t="str">
        <f t="shared" si="3"/>
        <v/>
      </c>
    </row>
    <row r="206" spans="11:11" x14ac:dyDescent="0.25">
      <c r="K206" s="316" t="str">
        <f t="shared" si="3"/>
        <v/>
      </c>
    </row>
    <row r="207" spans="11:11" x14ac:dyDescent="0.25">
      <c r="K207" s="316" t="str">
        <f t="shared" si="3"/>
        <v/>
      </c>
    </row>
    <row r="208" spans="11:11" x14ac:dyDescent="0.25">
      <c r="K208" s="316" t="str">
        <f t="shared" si="3"/>
        <v/>
      </c>
    </row>
    <row r="209" spans="11:11" x14ac:dyDescent="0.25">
      <c r="K209" s="316" t="str">
        <f t="shared" si="3"/>
        <v/>
      </c>
    </row>
    <row r="210" spans="11:11" x14ac:dyDescent="0.25">
      <c r="K210" s="316" t="str">
        <f t="shared" si="3"/>
        <v/>
      </c>
    </row>
    <row r="211" spans="11:11" x14ac:dyDescent="0.25">
      <c r="K211" s="316" t="str">
        <f t="shared" si="3"/>
        <v/>
      </c>
    </row>
    <row r="212" spans="11:11" x14ac:dyDescent="0.25">
      <c r="K212" s="316" t="str">
        <f t="shared" si="3"/>
        <v/>
      </c>
    </row>
    <row r="213" spans="11:11" x14ac:dyDescent="0.25">
      <c r="K213" s="316" t="str">
        <f t="shared" si="3"/>
        <v/>
      </c>
    </row>
    <row r="214" spans="11:11" x14ac:dyDescent="0.25">
      <c r="K214" s="316" t="str">
        <f t="shared" si="3"/>
        <v/>
      </c>
    </row>
    <row r="215" spans="11:11" x14ac:dyDescent="0.25">
      <c r="K215" s="316" t="str">
        <f t="shared" si="3"/>
        <v/>
      </c>
    </row>
    <row r="216" spans="11:11" x14ac:dyDescent="0.25">
      <c r="K216" s="316" t="str">
        <f t="shared" si="3"/>
        <v/>
      </c>
    </row>
    <row r="217" spans="11:11" x14ac:dyDescent="0.25">
      <c r="K217" s="316" t="str">
        <f t="shared" si="3"/>
        <v/>
      </c>
    </row>
    <row r="218" spans="11:11" x14ac:dyDescent="0.25">
      <c r="K218" s="316" t="str">
        <f t="shared" si="3"/>
        <v/>
      </c>
    </row>
    <row r="219" spans="11:11" x14ac:dyDescent="0.25">
      <c r="K219" s="316" t="str">
        <f t="shared" si="3"/>
        <v/>
      </c>
    </row>
    <row r="220" spans="11:11" x14ac:dyDescent="0.25">
      <c r="K220" s="316" t="str">
        <f t="shared" si="3"/>
        <v/>
      </c>
    </row>
    <row r="221" spans="11:11" x14ac:dyDescent="0.25">
      <c r="K221" s="316" t="str">
        <f t="shared" si="3"/>
        <v/>
      </c>
    </row>
    <row r="222" spans="11:11" x14ac:dyDescent="0.25">
      <c r="K222" s="316" t="str">
        <f t="shared" si="3"/>
        <v/>
      </c>
    </row>
    <row r="223" spans="11:11" x14ac:dyDescent="0.25">
      <c r="K223" s="316" t="str">
        <f t="shared" si="3"/>
        <v/>
      </c>
    </row>
    <row r="224" spans="11:11" x14ac:dyDescent="0.25">
      <c r="K224" s="316" t="str">
        <f t="shared" si="3"/>
        <v/>
      </c>
    </row>
    <row r="225" spans="11:11" x14ac:dyDescent="0.25">
      <c r="K225" s="316" t="str">
        <f t="shared" si="3"/>
        <v/>
      </c>
    </row>
    <row r="226" spans="11:11" x14ac:dyDescent="0.25">
      <c r="K226" s="316" t="str">
        <f t="shared" si="3"/>
        <v/>
      </c>
    </row>
    <row r="227" spans="11:11" x14ac:dyDescent="0.25">
      <c r="K227" s="316" t="str">
        <f t="shared" si="3"/>
        <v/>
      </c>
    </row>
    <row r="228" spans="11:11" x14ac:dyDescent="0.25">
      <c r="K228" s="316" t="str">
        <f t="shared" si="3"/>
        <v/>
      </c>
    </row>
    <row r="229" spans="11:11" x14ac:dyDescent="0.25">
      <c r="K229" s="316" t="str">
        <f t="shared" si="3"/>
        <v/>
      </c>
    </row>
    <row r="230" spans="11:11" x14ac:dyDescent="0.25">
      <c r="K230" s="316" t="str">
        <f t="shared" si="3"/>
        <v/>
      </c>
    </row>
    <row r="231" spans="11:11" x14ac:dyDescent="0.25">
      <c r="K231" s="316" t="str">
        <f t="shared" si="3"/>
        <v/>
      </c>
    </row>
    <row r="232" spans="11:11" x14ac:dyDescent="0.25">
      <c r="K232" s="316" t="str">
        <f t="shared" si="3"/>
        <v/>
      </c>
    </row>
    <row r="233" spans="11:11" x14ac:dyDescent="0.25">
      <c r="K233" s="316" t="str">
        <f t="shared" si="3"/>
        <v/>
      </c>
    </row>
    <row r="234" spans="11:11" x14ac:dyDescent="0.25">
      <c r="K234" s="316" t="str">
        <f t="shared" si="3"/>
        <v/>
      </c>
    </row>
    <row r="235" spans="11:11" x14ac:dyDescent="0.25">
      <c r="K235" s="316" t="str">
        <f t="shared" si="3"/>
        <v/>
      </c>
    </row>
    <row r="236" spans="11:11" x14ac:dyDescent="0.25">
      <c r="K236" s="316" t="str">
        <f t="shared" si="3"/>
        <v/>
      </c>
    </row>
    <row r="237" spans="11:11" x14ac:dyDescent="0.25">
      <c r="K237" s="316" t="str">
        <f t="shared" si="3"/>
        <v/>
      </c>
    </row>
    <row r="238" spans="11:11" x14ac:dyDescent="0.25">
      <c r="K238" s="316" t="str">
        <f t="shared" si="3"/>
        <v/>
      </c>
    </row>
    <row r="239" spans="11:11" x14ac:dyDescent="0.25">
      <c r="K239" s="316" t="str">
        <f t="shared" si="3"/>
        <v/>
      </c>
    </row>
    <row r="240" spans="11:11" x14ac:dyDescent="0.25">
      <c r="K240" s="316" t="str">
        <f t="shared" si="3"/>
        <v/>
      </c>
    </row>
    <row r="241" spans="11:11" x14ac:dyDescent="0.25">
      <c r="K241" s="316" t="str">
        <f t="shared" si="3"/>
        <v/>
      </c>
    </row>
    <row r="242" spans="11:11" x14ac:dyDescent="0.25">
      <c r="K242" s="316" t="str">
        <f t="shared" si="3"/>
        <v/>
      </c>
    </row>
    <row r="243" spans="11:11" x14ac:dyDescent="0.25">
      <c r="K243" s="316" t="str">
        <f t="shared" si="3"/>
        <v/>
      </c>
    </row>
    <row r="244" spans="11:11" x14ac:dyDescent="0.25">
      <c r="K244" s="316" t="str">
        <f t="shared" si="3"/>
        <v/>
      </c>
    </row>
    <row r="245" spans="11:11" x14ac:dyDescent="0.25">
      <c r="K245" s="316" t="str">
        <f t="shared" si="3"/>
        <v/>
      </c>
    </row>
    <row r="246" spans="11:11" x14ac:dyDescent="0.25">
      <c r="K246" s="316" t="str">
        <f t="shared" si="3"/>
        <v/>
      </c>
    </row>
    <row r="247" spans="11:11" x14ac:dyDescent="0.25">
      <c r="K247" s="316" t="str">
        <f t="shared" si="3"/>
        <v/>
      </c>
    </row>
    <row r="248" spans="11:11" x14ac:dyDescent="0.25">
      <c r="K248" s="316" t="str">
        <f t="shared" si="3"/>
        <v/>
      </c>
    </row>
    <row r="249" spans="11:11" x14ac:dyDescent="0.25">
      <c r="K249" s="316" t="str">
        <f t="shared" si="3"/>
        <v/>
      </c>
    </row>
    <row r="250" spans="11:11" x14ac:dyDescent="0.25">
      <c r="K250" s="316" t="str">
        <f t="shared" si="3"/>
        <v/>
      </c>
    </row>
    <row r="251" spans="11:11" x14ac:dyDescent="0.25">
      <c r="K251" s="316" t="str">
        <f t="shared" si="3"/>
        <v/>
      </c>
    </row>
    <row r="252" spans="11:11" x14ac:dyDescent="0.25">
      <c r="K252" s="316" t="str">
        <f t="shared" si="3"/>
        <v/>
      </c>
    </row>
    <row r="253" spans="11:11" x14ac:dyDescent="0.25">
      <c r="K253" s="316" t="str">
        <f t="shared" si="3"/>
        <v/>
      </c>
    </row>
    <row r="254" spans="11:11" x14ac:dyDescent="0.25">
      <c r="K254" s="316" t="str">
        <f t="shared" si="3"/>
        <v/>
      </c>
    </row>
    <row r="255" spans="11:11" x14ac:dyDescent="0.25">
      <c r="K255" s="316" t="str">
        <f t="shared" si="3"/>
        <v/>
      </c>
    </row>
    <row r="256" spans="11:11" x14ac:dyDescent="0.25">
      <c r="K256" s="316" t="str">
        <f t="shared" si="3"/>
        <v/>
      </c>
    </row>
    <row r="257" spans="11:11" x14ac:dyDescent="0.25">
      <c r="K257" s="316" t="str">
        <f t="shared" si="3"/>
        <v/>
      </c>
    </row>
    <row r="258" spans="11:11" x14ac:dyDescent="0.25">
      <c r="K258" s="316" t="str">
        <f t="shared" si="3"/>
        <v/>
      </c>
    </row>
    <row r="259" spans="11:11" x14ac:dyDescent="0.25">
      <c r="K259" s="316" t="str">
        <f t="shared" si="3"/>
        <v/>
      </c>
    </row>
    <row r="260" spans="11:11" x14ac:dyDescent="0.25">
      <c r="K260" s="316" t="str">
        <f t="shared" si="3"/>
        <v/>
      </c>
    </row>
    <row r="261" spans="11:11" x14ac:dyDescent="0.25">
      <c r="K261" s="316" t="str">
        <f t="shared" si="3"/>
        <v/>
      </c>
    </row>
    <row r="262" spans="11:11" x14ac:dyDescent="0.25">
      <c r="K262" s="316" t="str">
        <f t="shared" si="3"/>
        <v/>
      </c>
    </row>
    <row r="263" spans="11:11" x14ac:dyDescent="0.25">
      <c r="K263" s="316" t="str">
        <f t="shared" si="3"/>
        <v/>
      </c>
    </row>
    <row r="264" spans="11:11" x14ac:dyDescent="0.25">
      <c r="K264" s="316" t="str">
        <f t="shared" si="3"/>
        <v/>
      </c>
    </row>
    <row r="265" spans="11:11" x14ac:dyDescent="0.25">
      <c r="K265" s="316" t="str">
        <f t="shared" si="3"/>
        <v/>
      </c>
    </row>
    <row r="266" spans="11:11" x14ac:dyDescent="0.25">
      <c r="K266" s="316" t="str">
        <f t="shared" ref="K266:K329" si="4">A266&amp;C266&amp;E266&amp;G266&amp;I266</f>
        <v/>
      </c>
    </row>
    <row r="267" spans="11:11" x14ac:dyDescent="0.25">
      <c r="K267" s="316" t="str">
        <f t="shared" si="4"/>
        <v/>
      </c>
    </row>
    <row r="268" spans="11:11" x14ac:dyDescent="0.25">
      <c r="K268" s="316" t="str">
        <f t="shared" si="4"/>
        <v/>
      </c>
    </row>
    <row r="269" spans="11:11" x14ac:dyDescent="0.25">
      <c r="K269" s="316" t="str">
        <f t="shared" si="4"/>
        <v/>
      </c>
    </row>
    <row r="270" spans="11:11" x14ac:dyDescent="0.25">
      <c r="K270" s="316" t="str">
        <f t="shared" si="4"/>
        <v/>
      </c>
    </row>
    <row r="271" spans="11:11" x14ac:dyDescent="0.25">
      <c r="K271" s="316" t="str">
        <f t="shared" si="4"/>
        <v/>
      </c>
    </row>
    <row r="272" spans="11:11" x14ac:dyDescent="0.25">
      <c r="K272" s="316" t="str">
        <f t="shared" si="4"/>
        <v/>
      </c>
    </row>
    <row r="273" spans="11:11" x14ac:dyDescent="0.25">
      <c r="K273" s="316" t="str">
        <f t="shared" si="4"/>
        <v/>
      </c>
    </row>
    <row r="274" spans="11:11" x14ac:dyDescent="0.25">
      <c r="K274" s="316" t="str">
        <f t="shared" si="4"/>
        <v/>
      </c>
    </row>
    <row r="275" spans="11:11" x14ac:dyDescent="0.25">
      <c r="K275" s="316" t="str">
        <f t="shared" si="4"/>
        <v/>
      </c>
    </row>
    <row r="276" spans="11:11" x14ac:dyDescent="0.25">
      <c r="K276" s="316" t="str">
        <f t="shared" si="4"/>
        <v/>
      </c>
    </row>
    <row r="277" spans="11:11" x14ac:dyDescent="0.25">
      <c r="K277" s="316" t="str">
        <f t="shared" si="4"/>
        <v/>
      </c>
    </row>
    <row r="278" spans="11:11" x14ac:dyDescent="0.25">
      <c r="K278" s="316" t="str">
        <f t="shared" si="4"/>
        <v/>
      </c>
    </row>
    <row r="279" spans="11:11" x14ac:dyDescent="0.25">
      <c r="K279" s="316" t="str">
        <f t="shared" si="4"/>
        <v/>
      </c>
    </row>
    <row r="280" spans="11:11" x14ac:dyDescent="0.25">
      <c r="K280" s="316" t="str">
        <f t="shared" si="4"/>
        <v/>
      </c>
    </row>
    <row r="281" spans="11:11" x14ac:dyDescent="0.25">
      <c r="K281" s="316" t="str">
        <f t="shared" si="4"/>
        <v/>
      </c>
    </row>
    <row r="282" spans="11:11" x14ac:dyDescent="0.25">
      <c r="K282" s="316" t="str">
        <f t="shared" si="4"/>
        <v/>
      </c>
    </row>
    <row r="283" spans="11:11" x14ac:dyDescent="0.25">
      <c r="K283" s="316" t="str">
        <f t="shared" si="4"/>
        <v/>
      </c>
    </row>
    <row r="284" spans="11:11" x14ac:dyDescent="0.25">
      <c r="K284" s="316" t="str">
        <f t="shared" si="4"/>
        <v/>
      </c>
    </row>
    <row r="285" spans="11:11" x14ac:dyDescent="0.25">
      <c r="K285" s="316" t="str">
        <f t="shared" si="4"/>
        <v/>
      </c>
    </row>
    <row r="286" spans="11:11" x14ac:dyDescent="0.25">
      <c r="K286" s="316" t="str">
        <f t="shared" si="4"/>
        <v/>
      </c>
    </row>
    <row r="287" spans="11:11" x14ac:dyDescent="0.25">
      <c r="K287" s="316" t="str">
        <f t="shared" si="4"/>
        <v/>
      </c>
    </row>
    <row r="288" spans="11:11" x14ac:dyDescent="0.25">
      <c r="K288" s="316" t="str">
        <f t="shared" si="4"/>
        <v/>
      </c>
    </row>
    <row r="289" spans="11:11" x14ac:dyDescent="0.25">
      <c r="K289" s="316" t="str">
        <f t="shared" si="4"/>
        <v/>
      </c>
    </row>
    <row r="290" spans="11:11" x14ac:dyDescent="0.25">
      <c r="K290" s="316" t="str">
        <f t="shared" si="4"/>
        <v/>
      </c>
    </row>
    <row r="291" spans="11:11" x14ac:dyDescent="0.25">
      <c r="K291" s="316" t="str">
        <f t="shared" si="4"/>
        <v/>
      </c>
    </row>
    <row r="292" spans="11:11" x14ac:dyDescent="0.25">
      <c r="K292" s="316" t="str">
        <f t="shared" si="4"/>
        <v/>
      </c>
    </row>
    <row r="293" spans="11:11" x14ac:dyDescent="0.25">
      <c r="K293" s="316" t="str">
        <f t="shared" si="4"/>
        <v/>
      </c>
    </row>
    <row r="294" spans="11:11" x14ac:dyDescent="0.25">
      <c r="K294" s="316" t="str">
        <f t="shared" si="4"/>
        <v/>
      </c>
    </row>
    <row r="295" spans="11:11" x14ac:dyDescent="0.25">
      <c r="K295" s="316" t="str">
        <f t="shared" si="4"/>
        <v/>
      </c>
    </row>
    <row r="296" spans="11:11" x14ac:dyDescent="0.25">
      <c r="K296" s="316" t="str">
        <f t="shared" si="4"/>
        <v/>
      </c>
    </row>
    <row r="297" spans="11:11" x14ac:dyDescent="0.25">
      <c r="K297" s="316" t="str">
        <f t="shared" si="4"/>
        <v/>
      </c>
    </row>
    <row r="298" spans="11:11" x14ac:dyDescent="0.25">
      <c r="K298" s="316" t="str">
        <f t="shared" si="4"/>
        <v/>
      </c>
    </row>
    <row r="299" spans="11:11" x14ac:dyDescent="0.25">
      <c r="K299" s="316" t="str">
        <f t="shared" si="4"/>
        <v/>
      </c>
    </row>
    <row r="300" spans="11:11" x14ac:dyDescent="0.25">
      <c r="K300" s="316" t="str">
        <f t="shared" si="4"/>
        <v/>
      </c>
    </row>
    <row r="301" spans="11:11" x14ac:dyDescent="0.25">
      <c r="K301" s="316" t="str">
        <f t="shared" si="4"/>
        <v/>
      </c>
    </row>
    <row r="302" spans="11:11" x14ac:dyDescent="0.25">
      <c r="K302" s="316" t="str">
        <f t="shared" si="4"/>
        <v/>
      </c>
    </row>
    <row r="303" spans="11:11" x14ac:dyDescent="0.25">
      <c r="K303" s="316" t="str">
        <f t="shared" si="4"/>
        <v/>
      </c>
    </row>
    <row r="304" spans="11:11" x14ac:dyDescent="0.25">
      <c r="K304" s="316" t="str">
        <f t="shared" si="4"/>
        <v/>
      </c>
    </row>
    <row r="305" spans="11:11" x14ac:dyDescent="0.25">
      <c r="K305" s="316" t="str">
        <f t="shared" si="4"/>
        <v/>
      </c>
    </row>
    <row r="306" spans="11:11" x14ac:dyDescent="0.25">
      <c r="K306" s="316" t="str">
        <f t="shared" si="4"/>
        <v/>
      </c>
    </row>
    <row r="307" spans="11:11" x14ac:dyDescent="0.25">
      <c r="K307" s="316" t="str">
        <f t="shared" si="4"/>
        <v/>
      </c>
    </row>
    <row r="308" spans="11:11" x14ac:dyDescent="0.25">
      <c r="K308" s="316" t="str">
        <f t="shared" si="4"/>
        <v/>
      </c>
    </row>
    <row r="309" spans="11:11" x14ac:dyDescent="0.25">
      <c r="K309" s="316" t="str">
        <f t="shared" si="4"/>
        <v/>
      </c>
    </row>
    <row r="310" spans="11:11" x14ac:dyDescent="0.25">
      <c r="K310" s="316" t="str">
        <f t="shared" si="4"/>
        <v/>
      </c>
    </row>
    <row r="311" spans="11:11" x14ac:dyDescent="0.25">
      <c r="K311" s="316" t="str">
        <f t="shared" si="4"/>
        <v/>
      </c>
    </row>
    <row r="312" spans="11:11" x14ac:dyDescent="0.25">
      <c r="K312" s="316" t="str">
        <f t="shared" si="4"/>
        <v/>
      </c>
    </row>
    <row r="313" spans="11:11" x14ac:dyDescent="0.25">
      <c r="K313" s="316" t="str">
        <f t="shared" si="4"/>
        <v/>
      </c>
    </row>
    <row r="314" spans="11:11" x14ac:dyDescent="0.25">
      <c r="K314" s="316" t="str">
        <f t="shared" si="4"/>
        <v/>
      </c>
    </row>
    <row r="315" spans="11:11" x14ac:dyDescent="0.25">
      <c r="K315" s="316" t="str">
        <f t="shared" si="4"/>
        <v/>
      </c>
    </row>
    <row r="316" spans="11:11" x14ac:dyDescent="0.25">
      <c r="K316" s="316" t="str">
        <f t="shared" si="4"/>
        <v/>
      </c>
    </row>
    <row r="317" spans="11:11" x14ac:dyDescent="0.25">
      <c r="K317" s="316" t="str">
        <f t="shared" si="4"/>
        <v/>
      </c>
    </row>
    <row r="318" spans="11:11" x14ac:dyDescent="0.25">
      <c r="K318" s="316" t="str">
        <f t="shared" si="4"/>
        <v/>
      </c>
    </row>
    <row r="319" spans="11:11" x14ac:dyDescent="0.25">
      <c r="K319" s="316" t="str">
        <f t="shared" si="4"/>
        <v/>
      </c>
    </row>
    <row r="320" spans="11:11" x14ac:dyDescent="0.25">
      <c r="K320" s="316" t="str">
        <f t="shared" si="4"/>
        <v/>
      </c>
    </row>
    <row r="321" spans="11:11" x14ac:dyDescent="0.25">
      <c r="K321" s="316" t="str">
        <f t="shared" si="4"/>
        <v/>
      </c>
    </row>
    <row r="322" spans="11:11" x14ac:dyDescent="0.25">
      <c r="K322" s="316" t="str">
        <f t="shared" si="4"/>
        <v/>
      </c>
    </row>
    <row r="323" spans="11:11" x14ac:dyDescent="0.25">
      <c r="K323" s="316" t="str">
        <f t="shared" si="4"/>
        <v/>
      </c>
    </row>
    <row r="324" spans="11:11" x14ac:dyDescent="0.25">
      <c r="K324" s="316" t="str">
        <f t="shared" si="4"/>
        <v/>
      </c>
    </row>
    <row r="325" spans="11:11" x14ac:dyDescent="0.25">
      <c r="K325" s="316" t="str">
        <f t="shared" si="4"/>
        <v/>
      </c>
    </row>
    <row r="326" spans="11:11" x14ac:dyDescent="0.25">
      <c r="K326" s="316" t="str">
        <f t="shared" si="4"/>
        <v/>
      </c>
    </row>
    <row r="327" spans="11:11" x14ac:dyDescent="0.25">
      <c r="K327" s="316" t="str">
        <f t="shared" si="4"/>
        <v/>
      </c>
    </row>
    <row r="328" spans="11:11" x14ac:dyDescent="0.25">
      <c r="K328" s="316" t="str">
        <f t="shared" si="4"/>
        <v/>
      </c>
    </row>
    <row r="329" spans="11:11" x14ac:dyDescent="0.25">
      <c r="K329" s="316" t="str">
        <f t="shared" si="4"/>
        <v/>
      </c>
    </row>
    <row r="330" spans="11:11" x14ac:dyDescent="0.25">
      <c r="K330" s="316" t="str">
        <f t="shared" ref="K330:K393" si="5">A330&amp;C330&amp;E330&amp;G330&amp;I330</f>
        <v/>
      </c>
    </row>
    <row r="331" spans="11:11" x14ac:dyDescent="0.25">
      <c r="K331" s="316" t="str">
        <f t="shared" si="5"/>
        <v/>
      </c>
    </row>
    <row r="332" spans="11:11" x14ac:dyDescent="0.25">
      <c r="K332" s="316" t="str">
        <f t="shared" si="5"/>
        <v/>
      </c>
    </row>
    <row r="333" spans="11:11" x14ac:dyDescent="0.25">
      <c r="K333" s="316" t="str">
        <f t="shared" si="5"/>
        <v/>
      </c>
    </row>
    <row r="334" spans="11:11" x14ac:dyDescent="0.25">
      <c r="K334" s="316" t="str">
        <f t="shared" si="5"/>
        <v/>
      </c>
    </row>
    <row r="335" spans="11:11" x14ac:dyDescent="0.25">
      <c r="K335" s="316" t="str">
        <f t="shared" si="5"/>
        <v/>
      </c>
    </row>
    <row r="336" spans="11:11" x14ac:dyDescent="0.25">
      <c r="K336" s="316" t="str">
        <f t="shared" si="5"/>
        <v/>
      </c>
    </row>
    <row r="337" spans="11:11" x14ac:dyDescent="0.25">
      <c r="K337" s="316" t="str">
        <f t="shared" si="5"/>
        <v/>
      </c>
    </row>
    <row r="338" spans="11:11" x14ac:dyDescent="0.25">
      <c r="K338" s="316" t="str">
        <f t="shared" si="5"/>
        <v/>
      </c>
    </row>
    <row r="339" spans="11:11" x14ac:dyDescent="0.25">
      <c r="K339" s="316" t="str">
        <f t="shared" si="5"/>
        <v/>
      </c>
    </row>
    <row r="340" spans="11:11" x14ac:dyDescent="0.25">
      <c r="K340" s="316" t="str">
        <f t="shared" si="5"/>
        <v/>
      </c>
    </row>
    <row r="341" spans="11:11" x14ac:dyDescent="0.25">
      <c r="K341" s="316" t="str">
        <f t="shared" si="5"/>
        <v/>
      </c>
    </row>
    <row r="342" spans="11:11" x14ac:dyDescent="0.25">
      <c r="K342" s="316" t="str">
        <f t="shared" si="5"/>
        <v/>
      </c>
    </row>
    <row r="343" spans="11:11" x14ac:dyDescent="0.25">
      <c r="K343" s="316" t="str">
        <f t="shared" si="5"/>
        <v/>
      </c>
    </row>
    <row r="344" spans="11:11" x14ac:dyDescent="0.25">
      <c r="K344" s="316" t="str">
        <f t="shared" si="5"/>
        <v/>
      </c>
    </row>
    <row r="345" spans="11:11" x14ac:dyDescent="0.25">
      <c r="K345" s="316" t="str">
        <f t="shared" si="5"/>
        <v/>
      </c>
    </row>
    <row r="346" spans="11:11" x14ac:dyDescent="0.25">
      <c r="K346" s="316" t="str">
        <f t="shared" si="5"/>
        <v/>
      </c>
    </row>
    <row r="347" spans="11:11" x14ac:dyDescent="0.25">
      <c r="K347" s="316" t="str">
        <f t="shared" si="5"/>
        <v/>
      </c>
    </row>
    <row r="348" spans="11:11" x14ac:dyDescent="0.25">
      <c r="K348" s="316" t="str">
        <f t="shared" si="5"/>
        <v/>
      </c>
    </row>
    <row r="349" spans="11:11" x14ac:dyDescent="0.25">
      <c r="K349" s="316" t="str">
        <f t="shared" si="5"/>
        <v/>
      </c>
    </row>
    <row r="350" spans="11:11" x14ac:dyDescent="0.25">
      <c r="K350" s="316" t="str">
        <f t="shared" si="5"/>
        <v/>
      </c>
    </row>
    <row r="351" spans="11:11" x14ac:dyDescent="0.25">
      <c r="K351" s="316" t="str">
        <f t="shared" si="5"/>
        <v/>
      </c>
    </row>
    <row r="352" spans="11:11" x14ac:dyDescent="0.25">
      <c r="K352" s="316" t="str">
        <f t="shared" si="5"/>
        <v/>
      </c>
    </row>
    <row r="353" spans="11:11" x14ac:dyDescent="0.25">
      <c r="K353" s="316" t="str">
        <f t="shared" si="5"/>
        <v/>
      </c>
    </row>
    <row r="354" spans="11:11" x14ac:dyDescent="0.25">
      <c r="K354" s="316" t="str">
        <f t="shared" si="5"/>
        <v/>
      </c>
    </row>
    <row r="355" spans="11:11" x14ac:dyDescent="0.25">
      <c r="K355" s="316" t="str">
        <f t="shared" si="5"/>
        <v/>
      </c>
    </row>
    <row r="356" spans="11:11" x14ac:dyDescent="0.25">
      <c r="K356" s="316" t="str">
        <f t="shared" si="5"/>
        <v/>
      </c>
    </row>
    <row r="357" spans="11:11" x14ac:dyDescent="0.25">
      <c r="K357" s="316" t="str">
        <f t="shared" si="5"/>
        <v/>
      </c>
    </row>
    <row r="358" spans="11:11" x14ac:dyDescent="0.25">
      <c r="K358" s="316" t="str">
        <f t="shared" si="5"/>
        <v/>
      </c>
    </row>
    <row r="359" spans="11:11" x14ac:dyDescent="0.25">
      <c r="K359" s="316" t="str">
        <f t="shared" si="5"/>
        <v/>
      </c>
    </row>
    <row r="360" spans="11:11" x14ac:dyDescent="0.25">
      <c r="K360" s="316" t="str">
        <f t="shared" si="5"/>
        <v/>
      </c>
    </row>
    <row r="361" spans="11:11" x14ac:dyDescent="0.25">
      <c r="K361" s="316" t="str">
        <f t="shared" si="5"/>
        <v/>
      </c>
    </row>
    <row r="362" spans="11:11" x14ac:dyDescent="0.25">
      <c r="K362" s="316" t="str">
        <f t="shared" si="5"/>
        <v/>
      </c>
    </row>
    <row r="363" spans="11:11" x14ac:dyDescent="0.25">
      <c r="K363" s="316" t="str">
        <f t="shared" si="5"/>
        <v/>
      </c>
    </row>
    <row r="364" spans="11:11" x14ac:dyDescent="0.25">
      <c r="K364" s="316" t="str">
        <f t="shared" si="5"/>
        <v/>
      </c>
    </row>
    <row r="365" spans="11:11" x14ac:dyDescent="0.25">
      <c r="K365" s="316" t="str">
        <f t="shared" si="5"/>
        <v/>
      </c>
    </row>
    <row r="366" spans="11:11" x14ac:dyDescent="0.25">
      <c r="K366" s="316" t="str">
        <f t="shared" si="5"/>
        <v/>
      </c>
    </row>
    <row r="367" spans="11:11" x14ac:dyDescent="0.25">
      <c r="K367" s="316" t="str">
        <f t="shared" si="5"/>
        <v/>
      </c>
    </row>
    <row r="368" spans="11:11" x14ac:dyDescent="0.25">
      <c r="K368" s="316" t="str">
        <f t="shared" si="5"/>
        <v/>
      </c>
    </row>
    <row r="369" spans="11:11" x14ac:dyDescent="0.25">
      <c r="K369" s="316" t="str">
        <f t="shared" si="5"/>
        <v/>
      </c>
    </row>
    <row r="370" spans="11:11" x14ac:dyDescent="0.25">
      <c r="K370" s="316" t="str">
        <f t="shared" si="5"/>
        <v/>
      </c>
    </row>
    <row r="371" spans="11:11" x14ac:dyDescent="0.25">
      <c r="K371" s="316" t="str">
        <f t="shared" si="5"/>
        <v/>
      </c>
    </row>
    <row r="372" spans="11:11" x14ac:dyDescent="0.25">
      <c r="K372" s="316" t="str">
        <f t="shared" si="5"/>
        <v/>
      </c>
    </row>
    <row r="373" spans="11:11" x14ac:dyDescent="0.25">
      <c r="K373" s="316" t="str">
        <f t="shared" si="5"/>
        <v/>
      </c>
    </row>
    <row r="374" spans="11:11" x14ac:dyDescent="0.25">
      <c r="K374" s="316" t="str">
        <f t="shared" si="5"/>
        <v/>
      </c>
    </row>
    <row r="375" spans="11:11" x14ac:dyDescent="0.25">
      <c r="K375" s="316" t="str">
        <f t="shared" si="5"/>
        <v/>
      </c>
    </row>
    <row r="376" spans="11:11" x14ac:dyDescent="0.25">
      <c r="K376" s="316" t="str">
        <f t="shared" si="5"/>
        <v/>
      </c>
    </row>
    <row r="377" spans="11:11" x14ac:dyDescent="0.25">
      <c r="K377" s="316" t="str">
        <f t="shared" si="5"/>
        <v/>
      </c>
    </row>
    <row r="378" spans="11:11" x14ac:dyDescent="0.25">
      <c r="K378" s="316" t="str">
        <f t="shared" si="5"/>
        <v/>
      </c>
    </row>
    <row r="379" spans="11:11" x14ac:dyDescent="0.25">
      <c r="K379" s="316" t="str">
        <f t="shared" si="5"/>
        <v/>
      </c>
    </row>
    <row r="380" spans="11:11" x14ac:dyDescent="0.25">
      <c r="K380" s="316" t="str">
        <f t="shared" si="5"/>
        <v/>
      </c>
    </row>
    <row r="381" spans="11:11" x14ac:dyDescent="0.25">
      <c r="K381" s="316" t="str">
        <f t="shared" si="5"/>
        <v/>
      </c>
    </row>
    <row r="382" spans="11:11" x14ac:dyDescent="0.25">
      <c r="K382" s="316" t="str">
        <f t="shared" si="5"/>
        <v/>
      </c>
    </row>
    <row r="383" spans="11:11" x14ac:dyDescent="0.25">
      <c r="K383" s="316" t="str">
        <f t="shared" si="5"/>
        <v/>
      </c>
    </row>
    <row r="384" spans="11:11" x14ac:dyDescent="0.25">
      <c r="K384" s="316" t="str">
        <f t="shared" si="5"/>
        <v/>
      </c>
    </row>
    <row r="385" spans="11:11" x14ac:dyDescent="0.25">
      <c r="K385" s="316" t="str">
        <f t="shared" si="5"/>
        <v/>
      </c>
    </row>
    <row r="386" spans="11:11" x14ac:dyDescent="0.25">
      <c r="K386" s="316" t="str">
        <f t="shared" si="5"/>
        <v/>
      </c>
    </row>
    <row r="387" spans="11:11" x14ac:dyDescent="0.25">
      <c r="K387" s="316" t="str">
        <f t="shared" si="5"/>
        <v/>
      </c>
    </row>
    <row r="388" spans="11:11" x14ac:dyDescent="0.25">
      <c r="K388" s="316" t="str">
        <f t="shared" si="5"/>
        <v/>
      </c>
    </row>
    <row r="389" spans="11:11" x14ac:dyDescent="0.25">
      <c r="K389" s="316" t="str">
        <f t="shared" si="5"/>
        <v/>
      </c>
    </row>
    <row r="390" spans="11:11" x14ac:dyDescent="0.25">
      <c r="K390" s="316" t="str">
        <f t="shared" si="5"/>
        <v/>
      </c>
    </row>
    <row r="391" spans="11:11" x14ac:dyDescent="0.25">
      <c r="K391" s="316" t="str">
        <f t="shared" si="5"/>
        <v/>
      </c>
    </row>
    <row r="392" spans="11:11" x14ac:dyDescent="0.25">
      <c r="K392" s="316" t="str">
        <f t="shared" si="5"/>
        <v/>
      </c>
    </row>
    <row r="393" spans="11:11" x14ac:dyDescent="0.25">
      <c r="K393" s="316" t="str">
        <f t="shared" si="5"/>
        <v/>
      </c>
    </row>
    <row r="394" spans="11:11" x14ac:dyDescent="0.25">
      <c r="K394" s="316" t="str">
        <f t="shared" ref="K394:K457" si="6">A394&amp;C394&amp;E394&amp;G394&amp;I394</f>
        <v/>
      </c>
    </row>
    <row r="395" spans="11:11" x14ac:dyDescent="0.25">
      <c r="K395" s="316" t="str">
        <f t="shared" si="6"/>
        <v/>
      </c>
    </row>
    <row r="396" spans="11:11" x14ac:dyDescent="0.25">
      <c r="K396" s="316" t="str">
        <f t="shared" si="6"/>
        <v/>
      </c>
    </row>
    <row r="397" spans="11:11" x14ac:dyDescent="0.25">
      <c r="K397" s="316" t="str">
        <f t="shared" si="6"/>
        <v/>
      </c>
    </row>
    <row r="398" spans="11:11" x14ac:dyDescent="0.25">
      <c r="K398" s="316" t="str">
        <f t="shared" si="6"/>
        <v/>
      </c>
    </row>
    <row r="399" spans="11:11" x14ac:dyDescent="0.25">
      <c r="K399" s="316" t="str">
        <f t="shared" si="6"/>
        <v/>
      </c>
    </row>
    <row r="400" spans="11:11" x14ac:dyDescent="0.25">
      <c r="K400" s="316" t="str">
        <f t="shared" si="6"/>
        <v/>
      </c>
    </row>
    <row r="401" spans="11:11" x14ac:dyDescent="0.25">
      <c r="K401" s="316" t="str">
        <f t="shared" si="6"/>
        <v/>
      </c>
    </row>
    <row r="402" spans="11:11" x14ac:dyDescent="0.25">
      <c r="K402" s="316" t="str">
        <f t="shared" si="6"/>
        <v/>
      </c>
    </row>
    <row r="403" spans="11:11" x14ac:dyDescent="0.25">
      <c r="K403" s="316" t="str">
        <f t="shared" si="6"/>
        <v/>
      </c>
    </row>
    <row r="404" spans="11:11" x14ac:dyDescent="0.25">
      <c r="K404" s="316" t="str">
        <f t="shared" si="6"/>
        <v/>
      </c>
    </row>
    <row r="405" spans="11:11" x14ac:dyDescent="0.25">
      <c r="K405" s="316" t="str">
        <f t="shared" si="6"/>
        <v/>
      </c>
    </row>
    <row r="406" spans="11:11" x14ac:dyDescent="0.25">
      <c r="K406" s="316" t="str">
        <f t="shared" si="6"/>
        <v/>
      </c>
    </row>
    <row r="407" spans="11:11" x14ac:dyDescent="0.25">
      <c r="K407" s="316" t="str">
        <f t="shared" si="6"/>
        <v/>
      </c>
    </row>
    <row r="408" spans="11:11" x14ac:dyDescent="0.25">
      <c r="K408" s="316" t="str">
        <f t="shared" si="6"/>
        <v/>
      </c>
    </row>
    <row r="409" spans="11:11" x14ac:dyDescent="0.25">
      <c r="K409" s="316" t="str">
        <f t="shared" si="6"/>
        <v/>
      </c>
    </row>
    <row r="410" spans="11:11" x14ac:dyDescent="0.25">
      <c r="K410" s="316" t="str">
        <f t="shared" si="6"/>
        <v/>
      </c>
    </row>
    <row r="411" spans="11:11" x14ac:dyDescent="0.25">
      <c r="K411" s="316" t="str">
        <f t="shared" si="6"/>
        <v/>
      </c>
    </row>
    <row r="412" spans="11:11" x14ac:dyDescent="0.25">
      <c r="K412" s="316" t="str">
        <f t="shared" si="6"/>
        <v/>
      </c>
    </row>
    <row r="413" spans="11:11" x14ac:dyDescent="0.25">
      <c r="K413" s="316" t="str">
        <f t="shared" si="6"/>
        <v/>
      </c>
    </row>
    <row r="414" spans="11:11" x14ac:dyDescent="0.25">
      <c r="K414" s="316" t="str">
        <f t="shared" si="6"/>
        <v/>
      </c>
    </row>
    <row r="415" spans="11:11" x14ac:dyDescent="0.25">
      <c r="K415" s="316" t="str">
        <f t="shared" si="6"/>
        <v/>
      </c>
    </row>
    <row r="416" spans="11:11" x14ac:dyDescent="0.25">
      <c r="K416" s="316" t="str">
        <f t="shared" si="6"/>
        <v/>
      </c>
    </row>
    <row r="417" spans="11:11" x14ac:dyDescent="0.25">
      <c r="K417" s="316" t="str">
        <f t="shared" si="6"/>
        <v/>
      </c>
    </row>
    <row r="418" spans="11:11" x14ac:dyDescent="0.25">
      <c r="K418" s="316" t="str">
        <f t="shared" si="6"/>
        <v/>
      </c>
    </row>
    <row r="419" spans="11:11" x14ac:dyDescent="0.25">
      <c r="K419" s="316" t="str">
        <f t="shared" si="6"/>
        <v/>
      </c>
    </row>
    <row r="420" spans="11:11" x14ac:dyDescent="0.25">
      <c r="K420" s="316" t="str">
        <f t="shared" si="6"/>
        <v/>
      </c>
    </row>
    <row r="421" spans="11:11" x14ac:dyDescent="0.25">
      <c r="K421" s="316" t="str">
        <f t="shared" si="6"/>
        <v/>
      </c>
    </row>
    <row r="422" spans="11:11" x14ac:dyDescent="0.25">
      <c r="K422" s="316" t="str">
        <f t="shared" si="6"/>
        <v/>
      </c>
    </row>
    <row r="423" spans="11:11" x14ac:dyDescent="0.25">
      <c r="K423" s="316" t="str">
        <f t="shared" si="6"/>
        <v/>
      </c>
    </row>
    <row r="424" spans="11:11" x14ac:dyDescent="0.25">
      <c r="K424" s="316" t="str">
        <f t="shared" si="6"/>
        <v/>
      </c>
    </row>
    <row r="425" spans="11:11" x14ac:dyDescent="0.25">
      <c r="K425" s="316" t="str">
        <f t="shared" si="6"/>
        <v/>
      </c>
    </row>
    <row r="426" spans="11:11" x14ac:dyDescent="0.25">
      <c r="K426" s="316" t="str">
        <f t="shared" si="6"/>
        <v/>
      </c>
    </row>
    <row r="427" spans="11:11" x14ac:dyDescent="0.25">
      <c r="K427" s="316" t="str">
        <f t="shared" si="6"/>
        <v/>
      </c>
    </row>
    <row r="428" spans="11:11" x14ac:dyDescent="0.25">
      <c r="K428" s="316" t="str">
        <f t="shared" si="6"/>
        <v/>
      </c>
    </row>
    <row r="429" spans="11:11" x14ac:dyDescent="0.25">
      <c r="K429" s="316" t="str">
        <f t="shared" si="6"/>
        <v/>
      </c>
    </row>
    <row r="430" spans="11:11" x14ac:dyDescent="0.25">
      <c r="K430" s="316" t="str">
        <f t="shared" si="6"/>
        <v/>
      </c>
    </row>
    <row r="431" spans="11:11" x14ac:dyDescent="0.25">
      <c r="K431" s="316" t="str">
        <f t="shared" si="6"/>
        <v/>
      </c>
    </row>
    <row r="432" spans="11:11" x14ac:dyDescent="0.25">
      <c r="K432" s="316" t="str">
        <f t="shared" si="6"/>
        <v/>
      </c>
    </row>
    <row r="433" spans="11:11" x14ac:dyDescent="0.25">
      <c r="K433" s="316" t="str">
        <f t="shared" si="6"/>
        <v/>
      </c>
    </row>
    <row r="434" spans="11:11" x14ac:dyDescent="0.25">
      <c r="K434" s="316" t="str">
        <f t="shared" si="6"/>
        <v/>
      </c>
    </row>
    <row r="435" spans="11:11" x14ac:dyDescent="0.25">
      <c r="K435" s="316" t="str">
        <f t="shared" si="6"/>
        <v/>
      </c>
    </row>
    <row r="436" spans="11:11" x14ac:dyDescent="0.25">
      <c r="K436" s="316" t="str">
        <f t="shared" si="6"/>
        <v/>
      </c>
    </row>
    <row r="437" spans="11:11" x14ac:dyDescent="0.25">
      <c r="K437" s="316" t="str">
        <f t="shared" si="6"/>
        <v/>
      </c>
    </row>
    <row r="438" spans="11:11" x14ac:dyDescent="0.25">
      <c r="K438" s="316" t="str">
        <f t="shared" si="6"/>
        <v/>
      </c>
    </row>
    <row r="439" spans="11:11" x14ac:dyDescent="0.25">
      <c r="K439" s="316" t="str">
        <f t="shared" si="6"/>
        <v/>
      </c>
    </row>
    <row r="440" spans="11:11" x14ac:dyDescent="0.25">
      <c r="K440" s="316" t="str">
        <f t="shared" si="6"/>
        <v/>
      </c>
    </row>
    <row r="441" spans="11:11" x14ac:dyDescent="0.25">
      <c r="K441" s="316" t="str">
        <f t="shared" si="6"/>
        <v/>
      </c>
    </row>
    <row r="442" spans="11:11" x14ac:dyDescent="0.25">
      <c r="K442" s="316" t="str">
        <f t="shared" si="6"/>
        <v/>
      </c>
    </row>
    <row r="443" spans="11:11" x14ac:dyDescent="0.25">
      <c r="K443" s="316" t="str">
        <f t="shared" si="6"/>
        <v/>
      </c>
    </row>
    <row r="444" spans="11:11" x14ac:dyDescent="0.25">
      <c r="K444" s="316" t="str">
        <f t="shared" si="6"/>
        <v/>
      </c>
    </row>
    <row r="445" spans="11:11" x14ac:dyDescent="0.25">
      <c r="K445" s="316" t="str">
        <f t="shared" si="6"/>
        <v/>
      </c>
    </row>
    <row r="446" spans="11:11" x14ac:dyDescent="0.25">
      <c r="K446" s="316" t="str">
        <f t="shared" si="6"/>
        <v/>
      </c>
    </row>
    <row r="447" spans="11:11" x14ac:dyDescent="0.25">
      <c r="K447" s="316" t="str">
        <f t="shared" si="6"/>
        <v/>
      </c>
    </row>
    <row r="448" spans="11:11" x14ac:dyDescent="0.25">
      <c r="K448" s="316" t="str">
        <f t="shared" si="6"/>
        <v/>
      </c>
    </row>
    <row r="449" spans="11:11" x14ac:dyDescent="0.25">
      <c r="K449" s="316" t="str">
        <f t="shared" si="6"/>
        <v/>
      </c>
    </row>
    <row r="450" spans="11:11" x14ac:dyDescent="0.25">
      <c r="K450" s="316" t="str">
        <f t="shared" si="6"/>
        <v/>
      </c>
    </row>
    <row r="451" spans="11:11" x14ac:dyDescent="0.25">
      <c r="K451" s="316" t="str">
        <f t="shared" si="6"/>
        <v/>
      </c>
    </row>
    <row r="452" spans="11:11" x14ac:dyDescent="0.25">
      <c r="K452" s="316" t="str">
        <f t="shared" si="6"/>
        <v/>
      </c>
    </row>
    <row r="453" spans="11:11" x14ac:dyDescent="0.25">
      <c r="K453" s="316" t="str">
        <f t="shared" si="6"/>
        <v/>
      </c>
    </row>
    <row r="454" spans="11:11" x14ac:dyDescent="0.25">
      <c r="K454" s="316" t="str">
        <f t="shared" si="6"/>
        <v/>
      </c>
    </row>
    <row r="455" spans="11:11" x14ac:dyDescent="0.25">
      <c r="K455" s="316" t="str">
        <f t="shared" si="6"/>
        <v/>
      </c>
    </row>
    <row r="456" spans="11:11" x14ac:dyDescent="0.25">
      <c r="K456" s="316" t="str">
        <f t="shared" si="6"/>
        <v/>
      </c>
    </row>
    <row r="457" spans="11:11" x14ac:dyDescent="0.25">
      <c r="K457" s="316" t="str">
        <f t="shared" si="6"/>
        <v/>
      </c>
    </row>
    <row r="458" spans="11:11" x14ac:dyDescent="0.25">
      <c r="K458" s="316" t="str">
        <f t="shared" ref="K458:K464" si="7">A458&amp;C458&amp;E458&amp;G458&amp;I458</f>
        <v/>
      </c>
    </row>
    <row r="459" spans="11:11" x14ac:dyDescent="0.25">
      <c r="K459" s="316" t="str">
        <f t="shared" si="7"/>
        <v/>
      </c>
    </row>
    <row r="460" spans="11:11" x14ac:dyDescent="0.25">
      <c r="K460" s="316" t="str">
        <f t="shared" si="7"/>
        <v/>
      </c>
    </row>
    <row r="461" spans="11:11" x14ac:dyDescent="0.25">
      <c r="K461" s="316" t="str">
        <f t="shared" si="7"/>
        <v/>
      </c>
    </row>
    <row r="462" spans="11:11" x14ac:dyDescent="0.25">
      <c r="K462" s="316" t="str">
        <f t="shared" si="7"/>
        <v/>
      </c>
    </row>
    <row r="463" spans="11:11" x14ac:dyDescent="0.25">
      <c r="K463" s="316" t="str">
        <f t="shared" si="7"/>
        <v/>
      </c>
    </row>
    <row r="464" spans="11:11" x14ac:dyDescent="0.25">
      <c r="K464" s="316" t="str">
        <f t="shared" si="7"/>
        <v/>
      </c>
    </row>
  </sheetData>
  <sheetProtection formatCells="0" formatColumns="0" selectLockedCells="1"/>
  <dataConsolidate/>
  <phoneticPr fontId="13" type="noConversion"/>
  <conditionalFormatting sqref="A8:W8">
    <cfRule type="expression" dxfId="92"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F5" sqref="F5"/>
    </sheetView>
  </sheetViews>
  <sheetFormatPr defaultColWidth="9.109375" defaultRowHeight="13.2" x14ac:dyDescent="0.25"/>
  <cols>
    <col min="1" max="1" width="9.109375" style="314"/>
    <col min="2" max="3" width="24" style="314" customWidth="1"/>
    <col min="4" max="16384" width="9.109375" style="314"/>
  </cols>
  <sheetData>
    <row r="1" spans="1:6" x14ac:dyDescent="0.25">
      <c r="B1" s="314" t="s">
        <v>529</v>
      </c>
    </row>
    <row r="2" spans="1:6" x14ac:dyDescent="0.25">
      <c r="B2" s="314" t="s">
        <v>531</v>
      </c>
    </row>
    <row r="3" spans="1:6" x14ac:dyDescent="0.25">
      <c r="B3" s="314" t="s">
        <v>523</v>
      </c>
    </row>
    <row r="4" spans="1:6" ht="14.4" x14ac:dyDescent="0.3">
      <c r="B4" s="314" t="s">
        <v>532</v>
      </c>
      <c r="F4" s="873" t="s">
        <v>1539</v>
      </c>
    </row>
    <row r="6" spans="1:6" x14ac:dyDescent="0.25">
      <c r="B6" s="314" t="s">
        <v>67</v>
      </c>
      <c r="C6" s="314" t="s">
        <v>68</v>
      </c>
    </row>
    <row r="10" spans="1:6" x14ac:dyDescent="0.25">
      <c r="A10" s="314" t="s">
        <v>593</v>
      </c>
    </row>
    <row r="11" spans="1:6" x14ac:dyDescent="0.25">
      <c r="A11" s="314" t="s">
        <v>592</v>
      </c>
    </row>
    <row r="12" spans="1:6" x14ac:dyDescent="0.25">
      <c r="A12" s="314" t="s">
        <v>1030</v>
      </c>
    </row>
    <row r="13" spans="1:6" x14ac:dyDescent="0.25">
      <c r="A13" s="314" t="s">
        <v>530</v>
      </c>
    </row>
    <row r="14" spans="1:6" x14ac:dyDescent="0.25">
      <c r="A14" s="314" t="s">
        <v>1316</v>
      </c>
    </row>
    <row r="15" spans="1:6" x14ac:dyDescent="0.25">
      <c r="A15" s="314" t="s">
        <v>1317</v>
      </c>
    </row>
    <row r="16" spans="1:6" x14ac:dyDescent="0.25">
      <c r="A16" s="314" t="s">
        <v>1318</v>
      </c>
    </row>
    <row r="17" spans="1:1" x14ac:dyDescent="0.25">
      <c r="A17" s="314" t="s">
        <v>1319</v>
      </c>
    </row>
    <row r="18" spans="1:1" x14ac:dyDescent="0.25">
      <c r="A18" s="314" t="s">
        <v>1320</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7" sqref="A7"/>
    </sheetView>
  </sheetViews>
  <sheetFormatPr defaultColWidth="9.109375" defaultRowHeight="13.2" x14ac:dyDescent="0.25"/>
  <cols>
    <col min="1" max="1" width="94.5546875" style="314" customWidth="1"/>
    <col min="2" max="16384" width="9.109375" style="314"/>
  </cols>
  <sheetData>
    <row r="1" spans="1:1" s="620" customFormat="1" x14ac:dyDescent="0.25">
      <c r="A1" s="619" t="s">
        <v>1540</v>
      </c>
    </row>
    <row r="2" spans="1:1" x14ac:dyDescent="0.25">
      <c r="A2" s="619" t="s">
        <v>537</v>
      </c>
    </row>
    <row r="3" spans="1:1" x14ac:dyDescent="0.25">
      <c r="A3" s="619" t="s">
        <v>943</v>
      </c>
    </row>
    <row r="5" spans="1:1" x14ac:dyDescent="0.25">
      <c r="A5" s="979" t="s">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J8" sqref="J8"/>
    </sheetView>
  </sheetViews>
  <sheetFormatPr defaultColWidth="9.109375" defaultRowHeight="13.2" x14ac:dyDescent="0.25"/>
  <cols>
    <col min="1" max="2" width="11.5546875" style="316" customWidth="1"/>
    <col min="3" max="3" width="16.6640625" style="313" customWidth="1"/>
    <col min="4" max="4" width="17.33203125" style="316" customWidth="1"/>
    <col min="5" max="5" width="28.44140625" style="314" customWidth="1"/>
    <col min="6" max="6" width="29.5546875" style="314" customWidth="1"/>
    <col min="7" max="7" width="18.6640625" style="314" customWidth="1"/>
    <col min="8" max="8" width="21.6640625" style="314" customWidth="1"/>
    <col min="9" max="9" width="20.44140625" style="316" customWidth="1"/>
    <col min="10" max="10" width="22.33203125" style="316" customWidth="1"/>
    <col min="11" max="16384" width="9.109375" style="314"/>
  </cols>
  <sheetData>
    <row r="1" spans="1:14" s="339" customFormat="1" ht="17.399999999999999" x14ac:dyDescent="0.3">
      <c r="A1" s="621" t="s">
        <v>459</v>
      </c>
      <c r="B1" s="621"/>
      <c r="C1" s="71"/>
      <c r="D1" s="627"/>
      <c r="E1" s="68"/>
      <c r="F1" s="68"/>
      <c r="G1" s="68"/>
      <c r="H1" s="68"/>
      <c r="I1" s="629"/>
      <c r="J1" s="630"/>
    </row>
    <row r="2" spans="1:14" s="339" customFormat="1" ht="40.5" customHeight="1" x14ac:dyDescent="0.3">
      <c r="A2" s="622"/>
      <c r="B2" s="622"/>
      <c r="C2" s="66"/>
      <c r="D2" s="560"/>
      <c r="E2" s="64"/>
      <c r="F2" s="362" t="s">
        <v>525</v>
      </c>
      <c r="G2" s="70"/>
      <c r="H2" s="70"/>
      <c r="I2" s="69" t="s">
        <v>460</v>
      </c>
      <c r="J2" s="631"/>
    </row>
    <row r="3" spans="1:14" s="339" customFormat="1" ht="14.4" x14ac:dyDescent="0.3">
      <c r="A3" s="622"/>
      <c r="B3" s="622"/>
      <c r="C3" s="67"/>
      <c r="D3" s="73"/>
      <c r="E3" s="1491" t="s">
        <v>524</v>
      </c>
      <c r="F3" s="1491"/>
      <c r="G3" s="63"/>
      <c r="H3" s="63"/>
      <c r="I3" s="25"/>
      <c r="J3" s="631"/>
    </row>
    <row r="4" spans="1:14" s="339" customFormat="1" ht="14.4" x14ac:dyDescent="0.3">
      <c r="A4" s="622"/>
      <c r="B4" s="622"/>
      <c r="C4" s="67"/>
      <c r="D4" s="73"/>
      <c r="E4" s="63"/>
      <c r="F4" s="63"/>
      <c r="G4" s="63"/>
      <c r="H4" s="63"/>
      <c r="I4" s="25"/>
      <c r="J4" s="631"/>
    </row>
    <row r="5" spans="1:14" s="339" customFormat="1" ht="15.6" x14ac:dyDescent="0.3">
      <c r="A5" s="623" t="s">
        <v>163</v>
      </c>
      <c r="B5" s="624"/>
      <c r="C5" s="626"/>
      <c r="D5" s="628"/>
      <c r="E5" s="364"/>
      <c r="F5" s="364"/>
      <c r="G5" s="364"/>
      <c r="H5" s="364"/>
      <c r="I5" s="628"/>
      <c r="J5" s="632"/>
    </row>
    <row r="6" spans="1:14" s="339" customFormat="1" ht="14.4" x14ac:dyDescent="0.3">
      <c r="A6" s="622"/>
      <c r="B6" s="622"/>
      <c r="C6" s="256" t="s">
        <v>116</v>
      </c>
      <c r="D6" s="25"/>
      <c r="E6" s="305"/>
      <c r="F6" s="305"/>
      <c r="G6" s="361"/>
      <c r="H6" s="361"/>
      <c r="I6" s="622"/>
      <c r="J6" s="631"/>
    </row>
    <row r="7" spans="1:14" s="339" customFormat="1" ht="14.4" x14ac:dyDescent="0.3">
      <c r="A7" s="622"/>
      <c r="B7" s="622"/>
      <c r="C7" s="67"/>
      <c r="D7" s="26"/>
      <c r="E7" s="1489" t="s">
        <v>187</v>
      </c>
      <c r="F7" s="1490"/>
      <c r="G7" s="1489" t="s">
        <v>45</v>
      </c>
      <c r="H7" s="1490"/>
      <c r="I7" s="25"/>
      <c r="J7" s="631"/>
    </row>
    <row r="8" spans="1:14" s="339" customFormat="1" ht="24" customHeight="1" thickBot="1" x14ac:dyDescent="0.35">
      <c r="A8" s="7" t="s">
        <v>1573</v>
      </c>
      <c r="B8" s="625" t="s">
        <v>1578</v>
      </c>
      <c r="C8" s="20" t="s">
        <v>35</v>
      </c>
      <c r="D8" s="22" t="s">
        <v>1612</v>
      </c>
      <c r="E8" s="39" t="s">
        <v>3449</v>
      </c>
      <c r="F8" s="39" t="s">
        <v>3450</v>
      </c>
      <c r="G8" s="39" t="s">
        <v>3451</v>
      </c>
      <c r="H8" s="39" t="s">
        <v>3452</v>
      </c>
      <c r="I8" s="556" t="s">
        <v>1617</v>
      </c>
      <c r="J8" s="838" t="s">
        <v>1618</v>
      </c>
      <c r="K8" s="365"/>
      <c r="L8" s="366"/>
      <c r="M8" s="366"/>
      <c r="N8" s="366"/>
    </row>
  </sheetData>
  <mergeCells count="3">
    <mergeCell ref="E7:F7"/>
    <mergeCell ref="G7:H7"/>
    <mergeCell ref="E3:F3"/>
  </mergeCells>
  <phoneticPr fontId="13" type="noConversion"/>
  <conditionalFormatting sqref="A8:J8">
    <cfRule type="expression" dxfId="91"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N14" sqref="N14"/>
    </sheetView>
  </sheetViews>
  <sheetFormatPr defaultColWidth="8.88671875" defaultRowHeight="13.2" x14ac:dyDescent="0.25"/>
  <cols>
    <col min="1" max="2" width="11.5546875" style="316" customWidth="1"/>
    <col min="3" max="3" width="14.44140625" style="313" customWidth="1"/>
    <col min="4" max="4" width="15.6640625" style="316" customWidth="1"/>
    <col min="5" max="6" width="8.33203125" style="314" customWidth="1"/>
    <col min="7" max="7" width="10.44140625" style="314" customWidth="1"/>
    <col min="8" max="8" width="22.33203125" style="314" customWidth="1"/>
    <col min="9" max="9" width="8.33203125" style="314" customWidth="1"/>
    <col min="10" max="10" width="10.5546875" style="314" customWidth="1"/>
    <col min="11" max="11" width="12.5546875" style="314" customWidth="1"/>
    <col min="12" max="12" width="17.88671875" style="314" customWidth="1"/>
    <col min="13" max="13" width="18.44140625" style="314" customWidth="1"/>
    <col min="14" max="14" width="15.6640625" style="314" customWidth="1"/>
    <col min="15" max="15" width="13.88671875" style="314" customWidth="1"/>
    <col min="16" max="16" width="18.44140625" style="314" customWidth="1"/>
    <col min="17" max="17" width="21.88671875" style="314" customWidth="1"/>
    <col min="18" max="18" width="24.88671875" style="314" customWidth="1"/>
    <col min="19" max="19" width="23.44140625" style="314" customWidth="1"/>
    <col min="20" max="20" width="15.5546875" style="314" customWidth="1"/>
    <col min="21" max="30" width="8.88671875" style="314" customWidth="1"/>
    <col min="31" max="16384" width="8.88671875" style="314"/>
  </cols>
  <sheetData>
    <row r="1" spans="1:21" s="369" customFormat="1" ht="17.399999999999999" x14ac:dyDescent="0.3">
      <c r="A1" s="621" t="s">
        <v>461</v>
      </c>
      <c r="B1" s="621"/>
      <c r="C1" s="71"/>
      <c r="D1" s="627"/>
      <c r="E1" s="68"/>
      <c r="F1" s="68"/>
      <c r="G1" s="68"/>
      <c r="H1" s="68"/>
      <c r="I1" s="367"/>
      <c r="J1" s="68"/>
      <c r="K1" s="68"/>
      <c r="L1" s="68"/>
      <c r="M1" s="68"/>
      <c r="N1" s="68"/>
      <c r="O1" s="68"/>
      <c r="P1" s="68"/>
      <c r="Q1" s="68"/>
      <c r="R1" s="68"/>
      <c r="S1" s="68"/>
      <c r="T1" s="68"/>
      <c r="U1" s="368"/>
    </row>
    <row r="2" spans="1:21" s="369" customFormat="1" ht="14.4" x14ac:dyDescent="0.3">
      <c r="A2" s="560"/>
      <c r="B2" s="560"/>
      <c r="C2" s="66"/>
      <c r="D2" s="560"/>
      <c r="E2" s="370"/>
      <c r="F2" s="370"/>
      <c r="G2" s="370"/>
      <c r="H2" s="1502" t="s">
        <v>462</v>
      </c>
      <c r="I2" s="370"/>
      <c r="J2" s="370"/>
      <c r="K2" s="370"/>
      <c r="L2" s="370"/>
      <c r="M2" s="370"/>
      <c r="N2" s="370"/>
      <c r="O2" s="370"/>
      <c r="P2" s="370"/>
      <c r="Q2" s="370"/>
      <c r="R2" s="370"/>
      <c r="S2" s="370"/>
      <c r="T2" s="370"/>
      <c r="U2" s="371"/>
    </row>
    <row r="3" spans="1:21" s="369" customFormat="1" ht="14.4" x14ac:dyDescent="0.3">
      <c r="A3" s="633"/>
      <c r="B3" s="633"/>
      <c r="C3" s="35"/>
      <c r="D3" s="633"/>
      <c r="E3" s="370"/>
      <c r="F3" s="370"/>
      <c r="G3" s="370"/>
      <c r="H3" s="1502"/>
      <c r="I3" s="370"/>
      <c r="J3" s="372"/>
      <c r="K3" s="370"/>
      <c r="L3" s="370"/>
      <c r="M3" s="370"/>
      <c r="N3" s="1496"/>
      <c r="O3" s="1497"/>
      <c r="P3" s="1498"/>
      <c r="Q3" s="1498"/>
      <c r="R3" s="343"/>
      <c r="S3" s="1494"/>
      <c r="T3" s="1494"/>
      <c r="U3" s="371"/>
    </row>
    <row r="4" spans="1:21" s="369" customFormat="1" ht="10.5" customHeight="1" x14ac:dyDescent="0.3">
      <c r="A4" s="633"/>
      <c r="B4" s="633"/>
      <c r="C4" s="35"/>
      <c r="D4" s="633"/>
      <c r="E4" s="370"/>
      <c r="F4" s="370"/>
      <c r="G4" s="370"/>
      <c r="H4" s="1503"/>
      <c r="I4" s="370"/>
      <c r="J4" s="370"/>
      <c r="K4" s="370"/>
      <c r="L4" s="370"/>
      <c r="M4" s="370"/>
      <c r="N4" s="370"/>
      <c r="O4" s="370"/>
      <c r="P4" s="370"/>
      <c r="Q4" s="370"/>
      <c r="R4" s="370"/>
      <c r="S4" s="370"/>
      <c r="T4" s="370"/>
      <c r="U4" s="371"/>
    </row>
    <row r="5" spans="1:21" s="375" customFormat="1" ht="15.6" x14ac:dyDescent="0.3">
      <c r="A5" s="634" t="s">
        <v>528</v>
      </c>
      <c r="B5" s="635"/>
      <c r="C5" s="257"/>
      <c r="D5" s="634"/>
      <c r="E5" s="373"/>
      <c r="F5" s="373"/>
      <c r="G5" s="373"/>
      <c r="H5" s="374"/>
      <c r="I5" s="1499"/>
      <c r="J5" s="1500"/>
      <c r="K5" s="1500"/>
      <c r="L5" s="1500"/>
      <c r="M5" s="1500"/>
      <c r="N5" s="1500"/>
      <c r="O5" s="1499"/>
      <c r="P5" s="1499"/>
      <c r="Q5" s="1499"/>
      <c r="R5" s="1499"/>
      <c r="S5" s="1499"/>
      <c r="T5" s="1499"/>
      <c r="U5" s="1501"/>
    </row>
    <row r="6" spans="1:21" s="380" customFormat="1" ht="13.5" customHeight="1" x14ac:dyDescent="0.3">
      <c r="A6" s="25"/>
      <c r="B6" s="25"/>
      <c r="C6" s="23" t="s">
        <v>116</v>
      </c>
      <c r="D6" s="25"/>
      <c r="E6" s="1492" t="s">
        <v>100</v>
      </c>
      <c r="F6" s="1492"/>
      <c r="G6" s="376" t="s">
        <v>115</v>
      </c>
      <c r="H6" s="377"/>
      <c r="I6" s="376" t="s">
        <v>40</v>
      </c>
      <c r="J6" s="376" t="s">
        <v>100</v>
      </c>
      <c r="K6" s="376" t="s">
        <v>42</v>
      </c>
      <c r="L6" s="1492" t="s">
        <v>113</v>
      </c>
      <c r="M6" s="1493"/>
      <c r="N6" s="1492" t="s">
        <v>1757</v>
      </c>
      <c r="O6" s="1492"/>
      <c r="P6" s="378" t="s">
        <v>105</v>
      </c>
      <c r="Q6" s="1489" t="s">
        <v>115</v>
      </c>
      <c r="R6" s="1489"/>
      <c r="S6" s="309" t="s">
        <v>114</v>
      </c>
      <c r="T6" s="309" t="s">
        <v>113</v>
      </c>
      <c r="U6" s="379" t="s">
        <v>115</v>
      </c>
    </row>
    <row r="7" spans="1:21" s="369" customFormat="1" ht="14.25" customHeight="1" x14ac:dyDescent="0.3">
      <c r="A7" s="636"/>
      <c r="B7" s="636"/>
      <c r="C7" s="36"/>
      <c r="D7" s="636"/>
      <c r="E7" s="1495" t="s">
        <v>38</v>
      </c>
      <c r="F7" s="1495"/>
      <c r="G7" s="338" t="s">
        <v>39</v>
      </c>
      <c r="H7" s="382"/>
      <c r="I7" s="381"/>
      <c r="J7" s="381"/>
      <c r="K7" s="381"/>
      <c r="L7" s="383"/>
      <c r="M7" s="383"/>
      <c r="N7" s="383"/>
      <c r="O7" s="383"/>
      <c r="P7" s="381"/>
      <c r="Q7" s="383"/>
      <c r="R7" s="383"/>
      <c r="S7" s="383"/>
      <c r="T7" s="383"/>
      <c r="U7" s="384"/>
    </row>
    <row r="8" spans="1:21" s="387" customFormat="1" ht="27" customHeight="1" thickBot="1" x14ac:dyDescent="0.3">
      <c r="A8" s="7" t="s">
        <v>1573</v>
      </c>
      <c r="B8" s="625" t="s">
        <v>1578</v>
      </c>
      <c r="C8" s="20" t="s">
        <v>1619</v>
      </c>
      <c r="D8" s="7" t="s">
        <v>1612</v>
      </c>
      <c r="E8" s="6" t="s">
        <v>3453</v>
      </c>
      <c r="F8" s="6" t="s">
        <v>3454</v>
      </c>
      <c r="G8" s="6" t="s">
        <v>3455</v>
      </c>
      <c r="H8" s="385" t="s">
        <v>1623</v>
      </c>
      <c r="I8" s="6" t="s">
        <v>3456</v>
      </c>
      <c r="J8" s="6" t="s">
        <v>3457</v>
      </c>
      <c r="K8" s="6" t="s">
        <v>3458</v>
      </c>
      <c r="L8" s="6" t="s">
        <v>3459</v>
      </c>
      <c r="M8" s="6" t="s">
        <v>3460</v>
      </c>
      <c r="N8" s="6" t="s">
        <v>3461</v>
      </c>
      <c r="O8" s="6" t="s">
        <v>3462</v>
      </c>
      <c r="P8" s="6" t="s">
        <v>3463</v>
      </c>
      <c r="Q8" s="6" t="s">
        <v>3464</v>
      </c>
      <c r="R8" s="6" t="s">
        <v>3465</v>
      </c>
      <c r="S8" s="6" t="s">
        <v>3466</v>
      </c>
      <c r="T8" s="6" t="s">
        <v>3467</v>
      </c>
      <c r="U8" s="386" t="s">
        <v>3468</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90"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L23"/>
  <sheetViews>
    <sheetView workbookViewId="0">
      <pane xSplit="5" ySplit="8" topLeftCell="F9" activePane="bottomRight" state="frozen"/>
      <selection pane="topRight" activeCell="F1" sqref="F1"/>
      <selection pane="bottomLeft" activeCell="A9" sqref="A9"/>
      <selection pane="bottomRight" activeCell="A8" sqref="A8:J8"/>
    </sheetView>
  </sheetViews>
  <sheetFormatPr defaultColWidth="8.88671875" defaultRowHeight="14.4" x14ac:dyDescent="0.3"/>
  <cols>
    <col min="1" max="1" width="13" style="316" customWidth="1"/>
    <col min="2" max="2" width="13" style="313" customWidth="1"/>
    <col min="3" max="3" width="14.6640625" style="316" customWidth="1"/>
    <col min="4" max="4" width="12.6640625" style="316" customWidth="1"/>
    <col min="5" max="5" width="13.6640625" style="316" bestFit="1" customWidth="1"/>
    <col min="6" max="6" width="27.109375" style="108" customWidth="1"/>
    <col min="7" max="7" width="26.109375" style="314" customWidth="1"/>
    <col min="8" max="8" width="25.88671875" style="1171" customWidth="1"/>
    <col min="9" max="9" width="23.5546875" style="1171" customWidth="1"/>
    <col min="10" max="10" width="29" style="1172" customWidth="1"/>
    <col min="11" max="11" width="27.33203125" style="314" customWidth="1"/>
    <col min="12" max="16384" width="8.88671875" style="314"/>
  </cols>
  <sheetData>
    <row r="1" spans="1:12" s="442" customFormat="1" ht="17.399999999999999" x14ac:dyDescent="0.3">
      <c r="A1" s="1153" t="s">
        <v>2834</v>
      </c>
      <c r="B1" s="1153"/>
      <c r="C1" s="1402"/>
      <c r="D1" s="1402"/>
      <c r="E1" s="1403"/>
      <c r="F1" s="1153"/>
      <c r="G1" s="1153" t="s">
        <v>2835</v>
      </c>
      <c r="H1" s="1153"/>
      <c r="I1" s="1153"/>
      <c r="J1" s="1153"/>
    </row>
    <row r="2" spans="1:12" s="442" customFormat="1" x14ac:dyDescent="0.3">
      <c r="A2" s="1507"/>
      <c r="B2" s="1507"/>
      <c r="C2" s="1507"/>
      <c r="D2" s="1507"/>
      <c r="E2" s="1507"/>
      <c r="F2" s="1505" t="s">
        <v>2836</v>
      </c>
      <c r="G2" s="1508" t="s">
        <v>2837</v>
      </c>
      <c r="H2" s="1504" t="s">
        <v>2838</v>
      </c>
      <c r="I2" s="1504" t="s">
        <v>2839</v>
      </c>
      <c r="J2" s="1505" t="s">
        <v>2840</v>
      </c>
    </row>
    <row r="3" spans="1:12" s="442" customFormat="1" x14ac:dyDescent="0.3">
      <c r="A3" s="1507"/>
      <c r="B3" s="1507"/>
      <c r="C3" s="1507"/>
      <c r="D3" s="1507"/>
      <c r="E3" s="1507"/>
      <c r="F3" s="1505"/>
      <c r="G3" s="1508"/>
      <c r="H3" s="1504"/>
      <c r="I3" s="1504"/>
      <c r="J3" s="1505"/>
    </row>
    <row r="4" spans="1:12" s="442" customFormat="1" x14ac:dyDescent="0.3">
      <c r="A4" s="1155" t="s">
        <v>393</v>
      </c>
      <c r="B4" s="1156"/>
      <c r="C4" s="1157"/>
      <c r="D4" s="1158"/>
      <c r="E4" s="1158"/>
      <c r="F4" s="1505"/>
      <c r="G4" s="1508"/>
      <c r="H4" s="1504"/>
      <c r="I4" s="1504"/>
      <c r="J4" s="1505"/>
    </row>
    <row r="5" spans="1:12" s="442" customFormat="1" ht="15.6" x14ac:dyDescent="0.3">
      <c r="A5" s="1159" t="s">
        <v>343</v>
      </c>
      <c r="B5" s="1160"/>
      <c r="C5" s="1161"/>
      <c r="D5" s="1162" t="s">
        <v>394</v>
      </c>
      <c r="E5" s="1120"/>
      <c r="F5" s="1505"/>
      <c r="G5" s="1508"/>
      <c r="H5" s="1504"/>
      <c r="I5" s="1504"/>
      <c r="J5" s="1505"/>
    </row>
    <row r="6" spans="1:12" s="490" customFormat="1" ht="16.2" x14ac:dyDescent="0.35">
      <c r="A6" s="667"/>
      <c r="B6" s="274" t="s">
        <v>116</v>
      </c>
      <c r="C6" s="641"/>
      <c r="D6" s="1163" t="str">
        <f>HYPERLINK("#DropDownLists!O6","Add to this list")</f>
        <v>Add to this list</v>
      </c>
      <c r="E6" s="1163" t="str">
        <f>HYPERLINK("#DropDownLists!K6","Add to this list")</f>
        <v>Add to this list</v>
      </c>
      <c r="F6" s="1505"/>
      <c r="G6" s="1508"/>
      <c r="H6" s="1504"/>
      <c r="I6" s="1504"/>
      <c r="J6" s="1505"/>
      <c r="K6" s="442"/>
      <c r="L6" s="442"/>
    </row>
    <row r="7" spans="1:12" s="442" customFormat="1" x14ac:dyDescent="0.3">
      <c r="A7" s="1506" t="s">
        <v>390</v>
      </c>
      <c r="B7" s="1506"/>
      <c r="C7" s="1506"/>
      <c r="D7" s="1506"/>
      <c r="E7" s="1506"/>
      <c r="F7" s="1164" t="s">
        <v>91</v>
      </c>
      <c r="G7" s="1165" t="s">
        <v>40</v>
      </c>
      <c r="H7" s="1166" t="s">
        <v>2841</v>
      </c>
      <c r="I7" s="1166" t="s">
        <v>2841</v>
      </c>
      <c r="J7" s="1164" t="s">
        <v>91</v>
      </c>
    </row>
    <row r="8" spans="1:12" s="442" customFormat="1" ht="31.8" thickBot="1" x14ac:dyDescent="0.35">
      <c r="A8" s="1037" t="s">
        <v>3474</v>
      </c>
      <c r="B8" s="1167" t="s">
        <v>35</v>
      </c>
      <c r="C8" s="625" t="s">
        <v>152</v>
      </c>
      <c r="D8" s="625" t="s">
        <v>1659</v>
      </c>
      <c r="E8" s="556" t="s">
        <v>77</v>
      </c>
      <c r="F8" s="1169" t="s">
        <v>3469</v>
      </c>
      <c r="G8" s="1169" t="s">
        <v>3470</v>
      </c>
      <c r="H8" s="1169" t="s">
        <v>3471</v>
      </c>
      <c r="I8" s="1169" t="s">
        <v>3472</v>
      </c>
      <c r="J8" s="1169" t="s">
        <v>3473</v>
      </c>
    </row>
    <row r="9" spans="1:12" x14ac:dyDescent="0.3">
      <c r="A9" s="316" t="s">
        <v>2842</v>
      </c>
      <c r="B9" s="313">
        <v>36775</v>
      </c>
      <c r="C9" s="316" t="s">
        <v>2843</v>
      </c>
      <c r="D9" s="316" t="s">
        <v>102</v>
      </c>
      <c r="E9" s="316" t="s">
        <v>1372</v>
      </c>
      <c r="F9" s="1170">
        <v>82.076556872129444</v>
      </c>
      <c r="I9" s="1171">
        <v>62.834993618455783</v>
      </c>
    </row>
    <row r="10" spans="1:12" x14ac:dyDescent="0.3">
      <c r="A10" s="316" t="s">
        <v>2844</v>
      </c>
      <c r="B10" s="313">
        <v>36775</v>
      </c>
      <c r="C10" s="316" t="s">
        <v>2843</v>
      </c>
      <c r="D10" s="316" t="s">
        <v>102</v>
      </c>
      <c r="E10" s="316" t="s">
        <v>1372</v>
      </c>
      <c r="F10" s="1170">
        <v>59.381034023523334</v>
      </c>
      <c r="I10" s="1171">
        <v>79.432227621795533</v>
      </c>
    </row>
    <row r="11" spans="1:12" x14ac:dyDescent="0.3">
      <c r="A11" s="316" t="s">
        <v>2845</v>
      </c>
      <c r="B11" s="313">
        <v>36775</v>
      </c>
      <c r="C11" s="316" t="s">
        <v>2843</v>
      </c>
      <c r="D11" s="316" t="s">
        <v>102</v>
      </c>
      <c r="E11" s="316" t="s">
        <v>1372</v>
      </c>
      <c r="F11" s="1170">
        <v>82.111686708390721</v>
      </c>
      <c r="I11" s="1171">
        <v>85.667615158065615</v>
      </c>
    </row>
    <row r="12" spans="1:12" x14ac:dyDescent="0.3">
      <c r="A12" s="316" t="s">
        <v>2846</v>
      </c>
      <c r="B12" s="313">
        <v>36775</v>
      </c>
      <c r="C12" s="316" t="s">
        <v>2847</v>
      </c>
      <c r="D12" s="316" t="s">
        <v>102</v>
      </c>
      <c r="E12" s="316" t="s">
        <v>1372</v>
      </c>
      <c r="F12" s="1170"/>
      <c r="I12" s="1171">
        <v>62.834993618455783</v>
      </c>
    </row>
    <row r="13" spans="1:12" x14ac:dyDescent="0.3">
      <c r="A13" s="316" t="s">
        <v>2848</v>
      </c>
      <c r="B13" s="313">
        <v>36775</v>
      </c>
      <c r="C13" s="316" t="s">
        <v>2847</v>
      </c>
      <c r="D13" s="316" t="s">
        <v>102</v>
      </c>
      <c r="E13" s="316" t="s">
        <v>1372</v>
      </c>
      <c r="F13" s="1170"/>
      <c r="I13" s="1171">
        <v>79.432227621795533</v>
      </c>
    </row>
    <row r="14" spans="1:12" x14ac:dyDescent="0.3">
      <c r="A14" s="316" t="s">
        <v>2849</v>
      </c>
      <c r="B14" s="313">
        <v>36775</v>
      </c>
      <c r="C14" s="316" t="s">
        <v>2847</v>
      </c>
      <c r="D14" s="316" t="s">
        <v>102</v>
      </c>
      <c r="E14" s="316" t="s">
        <v>1372</v>
      </c>
      <c r="F14" s="1170"/>
      <c r="I14" s="1171">
        <v>85.667615158065615</v>
      </c>
    </row>
    <row r="15" spans="1:12" x14ac:dyDescent="0.3">
      <c r="A15" s="316" t="s">
        <v>2850</v>
      </c>
      <c r="B15" s="313">
        <v>36775</v>
      </c>
      <c r="C15" s="316" t="s">
        <v>2851</v>
      </c>
      <c r="D15" s="316" t="s">
        <v>102</v>
      </c>
      <c r="E15" s="316" t="s">
        <v>1372</v>
      </c>
      <c r="F15" s="1170">
        <v>114.90927787661552</v>
      </c>
      <c r="I15" s="1171">
        <v>62.0825835376885</v>
      </c>
    </row>
    <row r="16" spans="1:12" x14ac:dyDescent="0.3">
      <c r="A16" s="316" t="s">
        <v>2852</v>
      </c>
      <c r="B16" s="313">
        <v>36775</v>
      </c>
      <c r="C16" s="316" t="s">
        <v>2851</v>
      </c>
      <c r="D16" s="316" t="s">
        <v>102</v>
      </c>
      <c r="E16" s="316" t="s">
        <v>1372</v>
      </c>
      <c r="F16" s="1170">
        <v>84.728536094903944</v>
      </c>
      <c r="I16" s="1171">
        <v>57.872908080157138</v>
      </c>
    </row>
    <row r="17" spans="1:9" x14ac:dyDescent="0.3">
      <c r="A17" s="316" t="s">
        <v>2853</v>
      </c>
      <c r="B17" s="313">
        <v>36775</v>
      </c>
      <c r="C17" s="316" t="s">
        <v>2851</v>
      </c>
      <c r="D17" s="316" t="s">
        <v>102</v>
      </c>
      <c r="E17" s="316" t="s">
        <v>1372</v>
      </c>
      <c r="F17" s="1170">
        <v>117.60601521170139</v>
      </c>
      <c r="I17" s="1171">
        <v>68.313292935208963</v>
      </c>
    </row>
    <row r="18" spans="1:9" x14ac:dyDescent="0.3">
      <c r="A18" s="316" t="s">
        <v>2854</v>
      </c>
      <c r="B18" s="313">
        <v>36775</v>
      </c>
      <c r="C18" s="316" t="s">
        <v>2855</v>
      </c>
      <c r="D18" s="316" t="s">
        <v>102</v>
      </c>
      <c r="E18" s="316" t="s">
        <v>1372</v>
      </c>
      <c r="F18" s="1170"/>
      <c r="I18" s="1171">
        <v>62.0825835376885</v>
      </c>
    </row>
    <row r="19" spans="1:9" x14ac:dyDescent="0.3">
      <c r="A19" s="316" t="s">
        <v>2856</v>
      </c>
      <c r="B19" s="313">
        <v>36775</v>
      </c>
      <c r="C19" s="316" t="s">
        <v>2855</v>
      </c>
      <c r="D19" s="316" t="s">
        <v>102</v>
      </c>
      <c r="E19" s="316" t="s">
        <v>1372</v>
      </c>
      <c r="F19" s="1170"/>
      <c r="I19" s="1171">
        <v>57.872908080157138</v>
      </c>
    </row>
    <row r="20" spans="1:9" x14ac:dyDescent="0.3">
      <c r="A20" s="316" t="s">
        <v>2857</v>
      </c>
      <c r="B20" s="313">
        <v>36775</v>
      </c>
      <c r="C20" s="316" t="s">
        <v>2855</v>
      </c>
      <c r="D20" s="316" t="s">
        <v>102</v>
      </c>
      <c r="E20" s="316" t="s">
        <v>1372</v>
      </c>
      <c r="F20" s="1170"/>
      <c r="I20" s="1171">
        <v>68.313292935208963</v>
      </c>
    </row>
    <row r="21" spans="1:9" x14ac:dyDescent="0.3">
      <c r="A21" s="316" t="s">
        <v>2858</v>
      </c>
      <c r="B21" s="313">
        <v>36775</v>
      </c>
      <c r="C21" s="316" t="s">
        <v>2859</v>
      </c>
      <c r="D21" s="316" t="s">
        <v>102</v>
      </c>
      <c r="E21" s="316" t="s">
        <v>1372</v>
      </c>
      <c r="F21" s="1170">
        <v>137.60717932963371</v>
      </c>
      <c r="I21" s="1171">
        <v>67.472204520229624</v>
      </c>
    </row>
    <row r="22" spans="1:9" x14ac:dyDescent="0.3">
      <c r="A22" s="316" t="s">
        <v>2860</v>
      </c>
      <c r="B22" s="313">
        <v>36775</v>
      </c>
      <c r="C22" s="316" t="s">
        <v>2859</v>
      </c>
      <c r="D22" s="316" t="s">
        <v>102</v>
      </c>
      <c r="E22" s="316" t="s">
        <v>1372</v>
      </c>
      <c r="F22" s="1170">
        <v>80.405963400721546</v>
      </c>
      <c r="I22" s="1171">
        <v>63.515035913150619</v>
      </c>
    </row>
    <row r="23" spans="1:9" x14ac:dyDescent="0.3">
      <c r="A23" s="316" t="s">
        <v>2861</v>
      </c>
      <c r="B23" s="313">
        <v>36775</v>
      </c>
      <c r="C23" s="316" t="s">
        <v>2859</v>
      </c>
      <c r="D23" s="316" t="s">
        <v>102</v>
      </c>
      <c r="E23" s="316" t="s">
        <v>1372</v>
      </c>
      <c r="F23" s="1170">
        <v>111.31395473957062</v>
      </c>
      <c r="I23" s="1171">
        <v>67.467418244914228</v>
      </c>
    </row>
  </sheetData>
  <mergeCells count="7">
    <mergeCell ref="I2:I6"/>
    <mergeCell ref="J2:J6"/>
    <mergeCell ref="A7:E7"/>
    <mergeCell ref="A2:E3"/>
    <mergeCell ref="F2:F6"/>
    <mergeCell ref="G2:G6"/>
    <mergeCell ref="H2:H6"/>
  </mergeCells>
  <conditionalFormatting sqref="A8:J8">
    <cfRule type="expression" dxfId="89" priority="1">
      <formula>IF(INDEX(VAD_nCalcNutrientEfficiency,COLUMN(A8),5)&gt;0,TRUE(),FALSE())</formula>
    </cfRule>
  </conditionalFormatting>
  <dataValidations count="10">
    <dataValidation type="list" allowBlank="1" showInputMessage="1" showErrorMessage="1" sqref="J9:J1240 C9:C1240">
      <formula1>TreatmentID</formula1>
    </dataValidation>
    <dataValidation type="list" allowBlank="1" showInputMessage="1" showErrorMessage="1" sqref="A9:A1240">
      <formula1>Exp_UnitID</formula1>
    </dataValidation>
    <dataValidation type="list" allowBlank="1" showInputMessage="1" showErrorMessage="1" sqref="A1241:A65276 C1241:C65276 J1241:J65276 D10:D866">
      <formula1>#REF!</formula1>
    </dataValidation>
    <dataValidation type="list" allowBlank="1" showInputMessage="1" showErrorMessage="1" sqref="D9">
      <formula1>Growth_Stage</formula1>
    </dataValidation>
    <dataValidation type="list" allowBlank="1" showInputMessage="1" showErrorMessage="1" sqref="E9:E1048576 E7">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3300"/>
  </sheetPr>
  <dimension ref="A1:D8"/>
  <sheetViews>
    <sheetView workbookViewId="0">
      <selection activeCell="A6" sqref="A6:D8"/>
    </sheetView>
  </sheetViews>
  <sheetFormatPr defaultRowHeight="14.4" x14ac:dyDescent="0.3"/>
  <cols>
    <col min="1" max="1" width="11" customWidth="1"/>
  </cols>
  <sheetData>
    <row r="1" spans="1:4" ht="17.399999999999999" x14ac:dyDescent="0.3">
      <c r="A1" s="388" t="s">
        <v>2794</v>
      </c>
      <c r="B1" s="637"/>
      <c r="C1" s="258"/>
      <c r="D1" s="640"/>
    </row>
    <row r="2" spans="1:4" x14ac:dyDescent="0.3">
      <c r="A2" s="63"/>
      <c r="B2" s="73"/>
      <c r="C2" s="67"/>
      <c r="D2" s="615"/>
    </row>
    <row r="3" spans="1:4" x14ac:dyDescent="0.3">
      <c r="A3" s="394"/>
      <c r="B3" s="73"/>
      <c r="C3" s="67"/>
      <c r="D3" s="615"/>
    </row>
    <row r="4" spans="1:4" x14ac:dyDescent="0.3">
      <c r="A4" s="63"/>
      <c r="B4" s="73"/>
      <c r="C4" s="67"/>
      <c r="D4" s="615"/>
    </row>
    <row r="5" spans="1:4" ht="15.6" x14ac:dyDescent="0.3">
      <c r="A5" s="1119" t="s">
        <v>343</v>
      </c>
      <c r="B5" s="1120"/>
      <c r="C5" s="1121"/>
      <c r="D5" s="1120"/>
    </row>
    <row r="6" spans="1:4" x14ac:dyDescent="0.3">
      <c r="A6" s="1509" t="s">
        <v>1300</v>
      </c>
      <c r="B6" s="638"/>
      <c r="C6" s="256" t="s">
        <v>116</v>
      </c>
      <c r="D6" s="25"/>
    </row>
    <row r="7" spans="1:4" x14ac:dyDescent="0.3">
      <c r="A7" s="1510"/>
      <c r="B7" s="639"/>
      <c r="C7" s="67"/>
      <c r="D7" s="73"/>
    </row>
    <row r="8" spans="1:4" ht="27.6" thickBot="1" x14ac:dyDescent="0.35">
      <c r="A8" s="1511"/>
      <c r="B8" s="1037" t="s">
        <v>3474</v>
      </c>
      <c r="C8" s="812" t="s">
        <v>35</v>
      </c>
      <c r="D8" s="625" t="s">
        <v>152</v>
      </c>
    </row>
  </sheetData>
  <mergeCells count="1">
    <mergeCell ref="A6:A8"/>
  </mergeCells>
  <conditionalFormatting sqref="A8:D8">
    <cfRule type="expression" dxfId="88" priority="1">
      <formula>IF(INDEX(VAD_aMgtAnimal,COLUMN(A8),5)&gt;0,TRUE(),FALSE())</formula>
    </cfRule>
  </conditionalFormatting>
  <dataValidations count="4">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the amendment occurred (for example, the fertilization day), using the format specified above." sqref="C8"/>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93300"/>
  </sheetPr>
  <dimension ref="A1:AJ130"/>
  <sheetViews>
    <sheetView zoomScale="90" zoomScaleNormal="90" workbookViewId="0">
      <pane xSplit="5" ySplit="8" topLeftCell="AB9" activePane="bottomRight" state="frozen"/>
      <selection pane="topRight" activeCell="F1" sqref="F1"/>
      <selection pane="bottomLeft" activeCell="A9" sqref="A9"/>
      <selection pane="bottomRight" activeCell="B8" sqref="A8:XFD8"/>
    </sheetView>
  </sheetViews>
  <sheetFormatPr defaultColWidth="9.109375" defaultRowHeight="13.2" x14ac:dyDescent="0.25"/>
  <cols>
    <col min="1" max="1" width="13.6640625" style="314" customWidth="1"/>
    <col min="2" max="2" width="10.6640625" style="316" bestFit="1" customWidth="1"/>
    <col min="3" max="3" width="11" style="313" bestFit="1" customWidth="1"/>
    <col min="4" max="4" width="11.5546875" style="316" bestFit="1" customWidth="1"/>
    <col min="5" max="5" width="13.6640625" style="316" bestFit="1" customWidth="1"/>
    <col min="6" max="6" width="24.109375" style="316" bestFit="1" customWidth="1"/>
    <col min="7" max="7" width="12.5546875" style="314" bestFit="1" customWidth="1"/>
    <col min="8" max="8" width="26" style="316" customWidth="1"/>
    <col min="9" max="9" width="20.88671875" style="314" customWidth="1"/>
    <col min="10" max="10" width="17.6640625" style="314" customWidth="1"/>
    <col min="11" max="21" width="16.6640625" style="314" customWidth="1"/>
    <col min="22" max="22" width="15.44140625" style="314" customWidth="1"/>
    <col min="23" max="23" width="17.6640625" style="316" customWidth="1"/>
    <col min="24" max="25" width="18.88671875" style="316" customWidth="1"/>
    <col min="26" max="26" width="18.6640625" style="314" customWidth="1"/>
    <col min="27" max="34" width="17.44140625" style="316" customWidth="1"/>
    <col min="35" max="35" width="9.109375" style="314"/>
    <col min="36" max="36" width="21.88671875" style="314" customWidth="1"/>
    <col min="37" max="16384" width="9.109375" style="314"/>
  </cols>
  <sheetData>
    <row r="1" spans="1:36" s="324" customFormat="1" ht="28.8" customHeight="1" x14ac:dyDescent="0.3">
      <c r="A1" s="388" t="s">
        <v>463</v>
      </c>
      <c r="B1" s="637"/>
      <c r="C1" s="258"/>
      <c r="D1" s="640"/>
      <c r="E1" s="640"/>
      <c r="F1" s="637"/>
      <c r="G1" s="389"/>
      <c r="H1" s="637"/>
      <c r="I1" s="389"/>
      <c r="J1" s="389"/>
      <c r="K1" s="389"/>
      <c r="L1" s="389"/>
      <c r="M1" s="389"/>
      <c r="N1" s="389"/>
      <c r="O1" s="389"/>
      <c r="P1" s="389"/>
      <c r="Q1" s="389"/>
      <c r="R1" s="389"/>
      <c r="S1" s="389"/>
      <c r="T1" s="389"/>
      <c r="U1" s="389"/>
      <c r="V1" s="389"/>
      <c r="W1" s="643"/>
      <c r="X1" s="643"/>
      <c r="Y1" s="644"/>
      <c r="Z1" s="390"/>
      <c r="AA1" s="643"/>
      <c r="AB1" s="643"/>
      <c r="AC1" s="643"/>
      <c r="AD1" s="643"/>
      <c r="AE1" s="643"/>
      <c r="AF1" s="643"/>
      <c r="AG1" s="643"/>
      <c r="AH1" s="1173"/>
      <c r="AI1" s="391"/>
      <c r="AJ1" s="392"/>
    </row>
    <row r="2" spans="1:36" s="324" customFormat="1" ht="34.5" customHeight="1" x14ac:dyDescent="0.3">
      <c r="A2" s="63"/>
      <c r="B2" s="73"/>
      <c r="C2" s="67"/>
      <c r="D2" s="615"/>
      <c r="E2" s="615"/>
      <c r="F2" s="73"/>
      <c r="G2" s="63"/>
      <c r="H2" s="73"/>
      <c r="I2" s="310" t="s">
        <v>2862</v>
      </c>
      <c r="J2" s="310" t="s">
        <v>464</v>
      </c>
      <c r="K2" s="310" t="s">
        <v>465</v>
      </c>
      <c r="L2" s="310" t="s">
        <v>466</v>
      </c>
      <c r="M2" s="310" t="s">
        <v>2863</v>
      </c>
      <c r="N2" s="310" t="s">
        <v>2864</v>
      </c>
      <c r="O2" s="310" t="s">
        <v>2865</v>
      </c>
      <c r="P2" s="310" t="s">
        <v>2866</v>
      </c>
      <c r="Q2" s="310" t="s">
        <v>2867</v>
      </c>
      <c r="R2" s="310" t="s">
        <v>2868</v>
      </c>
      <c r="S2" s="310" t="s">
        <v>2869</v>
      </c>
      <c r="T2" s="310" t="s">
        <v>2870</v>
      </c>
      <c r="U2" s="310" t="s">
        <v>2871</v>
      </c>
      <c r="V2" s="310"/>
      <c r="W2" s="1512" t="s">
        <v>705</v>
      </c>
      <c r="X2" s="1134" t="s">
        <v>704</v>
      </c>
      <c r="Y2" s="645"/>
      <c r="Z2" s="393"/>
      <c r="AA2" s="649"/>
      <c r="AB2" s="649"/>
      <c r="AC2" s="649"/>
      <c r="AD2" s="649"/>
      <c r="AE2" s="649"/>
      <c r="AF2" s="649"/>
      <c r="AG2" s="649"/>
      <c r="AH2" s="1174"/>
      <c r="AI2" s="391"/>
      <c r="AJ2" s="392"/>
    </row>
    <row r="3" spans="1:36" s="324" customFormat="1" ht="13.5" customHeight="1" x14ac:dyDescent="0.3">
      <c r="A3" s="394"/>
      <c r="B3" s="73"/>
      <c r="C3" s="67"/>
      <c r="D3" s="615"/>
      <c r="E3" s="615"/>
      <c r="F3" s="73"/>
      <c r="G3" s="63"/>
      <c r="H3" s="73"/>
      <c r="I3" s="63"/>
      <c r="J3" s="63"/>
      <c r="K3" s="63"/>
      <c r="L3" s="63"/>
      <c r="M3" s="63"/>
      <c r="N3" s="63"/>
      <c r="O3" s="63"/>
      <c r="P3" s="63"/>
      <c r="Q3" s="63"/>
      <c r="R3" s="63"/>
      <c r="S3" s="63"/>
      <c r="T3" s="63"/>
      <c r="U3" s="63"/>
      <c r="V3" s="63"/>
      <c r="W3" s="1512"/>
      <c r="X3" s="1512"/>
      <c r="Y3" s="645"/>
      <c r="Z3" s="393"/>
      <c r="AA3" s="649"/>
      <c r="AB3" s="649"/>
      <c r="AC3" s="649"/>
      <c r="AD3" s="649"/>
      <c r="AE3" s="649"/>
      <c r="AF3" s="649"/>
      <c r="AG3" s="649"/>
      <c r="AH3" s="1174"/>
      <c r="AI3" s="391"/>
      <c r="AJ3" s="392"/>
    </row>
    <row r="4" spans="1:36" s="324" customFormat="1" ht="14.4" x14ac:dyDescent="0.3">
      <c r="A4" s="63"/>
      <c r="B4" s="73"/>
      <c r="C4" s="67"/>
      <c r="D4" s="615"/>
      <c r="E4" s="615"/>
      <c r="F4" s="73"/>
      <c r="G4" s="63"/>
      <c r="H4" s="73"/>
      <c r="I4" s="63"/>
      <c r="J4" s="63"/>
      <c r="K4" s="63"/>
      <c r="L4" s="63"/>
      <c r="M4" s="63"/>
      <c r="N4" s="63"/>
      <c r="O4" s="63"/>
      <c r="P4" s="63"/>
      <c r="Q4" s="63"/>
      <c r="R4" s="63"/>
      <c r="S4" s="63"/>
      <c r="T4" s="63"/>
      <c r="U4" s="63"/>
      <c r="V4" s="63"/>
      <c r="W4" s="1513"/>
      <c r="X4" s="1513"/>
      <c r="Y4" s="645"/>
      <c r="Z4" s="393"/>
      <c r="AA4" s="649"/>
      <c r="AB4" s="649"/>
      <c r="AC4" s="649"/>
      <c r="AD4" s="649"/>
      <c r="AE4" s="649"/>
      <c r="AF4" s="649"/>
      <c r="AG4" s="649"/>
      <c r="AH4" s="1174"/>
      <c r="AI4" s="391"/>
      <c r="AJ4" s="392"/>
    </row>
    <row r="5" spans="1:36" s="324" customFormat="1" ht="13.5" customHeight="1" x14ac:dyDescent="0.3">
      <c r="A5" s="1119" t="s">
        <v>343</v>
      </c>
      <c r="B5" s="1120"/>
      <c r="C5" s="1121"/>
      <c r="D5" s="1120"/>
      <c r="E5" s="1120"/>
      <c r="F5" s="1175" t="s">
        <v>474</v>
      </c>
      <c r="G5" s="1176"/>
      <c r="H5" s="1175"/>
      <c r="I5" s="1176"/>
      <c r="J5" s="1176"/>
      <c r="K5" s="1177" t="s">
        <v>595</v>
      </c>
      <c r="L5" s="1177" t="s">
        <v>2872</v>
      </c>
      <c r="M5" s="1178"/>
      <c r="N5" s="1178"/>
      <c r="O5" s="1178"/>
      <c r="P5" s="1178"/>
      <c r="Q5" s="1178"/>
      <c r="R5" s="1178"/>
      <c r="S5" s="1178"/>
      <c r="T5" s="1178"/>
      <c r="U5" s="1178"/>
      <c r="V5" s="1179" t="s">
        <v>702</v>
      </c>
      <c r="W5" s="1180"/>
      <c r="X5" s="1181"/>
      <c r="Y5" s="1182"/>
      <c r="Z5" s="396" t="s">
        <v>121</v>
      </c>
      <c r="AA5" s="789"/>
      <c r="AB5" s="1183"/>
      <c r="AC5" s="1183"/>
      <c r="AD5" s="1183"/>
      <c r="AE5" s="1183"/>
      <c r="AF5" s="1183"/>
      <c r="AG5" s="1183"/>
      <c r="AH5" s="1184"/>
      <c r="AI5" s="397"/>
      <c r="AJ5" s="392"/>
    </row>
    <row r="6" spans="1:36" s="330" customFormat="1" ht="37.5" customHeight="1" x14ac:dyDescent="0.25">
      <c r="A6" s="1509" t="s">
        <v>1300</v>
      </c>
      <c r="B6" s="638"/>
      <c r="C6" s="256" t="s">
        <v>116</v>
      </c>
      <c r="D6" s="25"/>
      <c r="E6" s="641"/>
      <c r="F6" s="25"/>
      <c r="G6" s="398" t="s">
        <v>46</v>
      </c>
      <c r="H6" s="1185"/>
      <c r="I6" s="1186" t="s">
        <v>275</v>
      </c>
      <c r="J6" s="1186" t="s">
        <v>91</v>
      </c>
      <c r="K6" s="65" t="s">
        <v>185</v>
      </c>
      <c r="L6" s="65" t="s">
        <v>186</v>
      </c>
      <c r="M6" s="1187" t="s">
        <v>2873</v>
      </c>
      <c r="N6" s="1187" t="s">
        <v>2874</v>
      </c>
      <c r="O6" s="1187" t="s">
        <v>2875</v>
      </c>
      <c r="P6" s="1187" t="s">
        <v>2876</v>
      </c>
      <c r="Q6" s="1187" t="s">
        <v>2877</v>
      </c>
      <c r="R6" s="1187" t="s">
        <v>2878</v>
      </c>
      <c r="S6" s="1187" t="s">
        <v>2879</v>
      </c>
      <c r="T6" s="1187" t="s">
        <v>2880</v>
      </c>
      <c r="U6" s="1187" t="s">
        <v>2881</v>
      </c>
      <c r="V6" s="1514" t="s">
        <v>703</v>
      </c>
      <c r="W6" s="1188"/>
      <c r="X6" s="1189" t="s">
        <v>867</v>
      </c>
      <c r="Y6" s="1190"/>
      <c r="Z6" s="65" t="s">
        <v>46</v>
      </c>
      <c r="AA6" s="787" t="s">
        <v>135</v>
      </c>
      <c r="AB6" s="1191" t="s">
        <v>2882</v>
      </c>
      <c r="AC6" s="1192" t="s">
        <v>2883</v>
      </c>
      <c r="AD6" s="1192" t="s">
        <v>2884</v>
      </c>
      <c r="AE6" s="1192" t="s">
        <v>2885</v>
      </c>
      <c r="AF6" s="1192" t="s">
        <v>2874</v>
      </c>
      <c r="AG6" s="1192" t="s">
        <v>2875</v>
      </c>
      <c r="AH6" s="1193" t="s">
        <v>2886</v>
      </c>
      <c r="AI6" s="399"/>
      <c r="AJ6" s="400"/>
    </row>
    <row r="7" spans="1:36" s="324" customFormat="1" ht="21" customHeight="1" x14ac:dyDescent="0.35">
      <c r="A7" s="1510"/>
      <c r="B7" s="639"/>
      <c r="C7" s="67"/>
      <c r="D7" s="73"/>
      <c r="E7" s="1194" t="str">
        <f>HYPERLINK("#DropDownLists!K6","Add to this list")</f>
        <v>Add to this list</v>
      </c>
      <c r="F7" s="1163" t="str">
        <f>HYPERLINK("#DropDownLists!C6","Add to this list")</f>
        <v>Add to this list</v>
      </c>
      <c r="G7" s="361"/>
      <c r="H7" s="1163" t="str">
        <f>HYPERLINK("#DropDownLists!D6","Add to this list")</f>
        <v>Add to this list</v>
      </c>
      <c r="I7" s="347"/>
      <c r="J7" s="347"/>
      <c r="K7" s="402" t="s">
        <v>594</v>
      </c>
      <c r="L7" s="402" t="s">
        <v>2887</v>
      </c>
      <c r="M7" s="402"/>
      <c r="N7" s="402"/>
      <c r="O7" s="402"/>
      <c r="P7" s="402"/>
      <c r="Q7" s="402"/>
      <c r="R7" s="402"/>
      <c r="S7" s="402"/>
      <c r="T7" s="402"/>
      <c r="U7" s="402"/>
      <c r="V7" s="1515"/>
      <c r="W7" s="1195" t="str">
        <f>HYPERLINK("#DropDownLists!B8","Add to this list")</f>
        <v>Add to this list</v>
      </c>
      <c r="X7" s="1196" t="s">
        <v>868</v>
      </c>
      <c r="Y7" s="646"/>
      <c r="Z7" s="790"/>
      <c r="AA7" s="1197" t="str">
        <f>HYPERLINK("#DropDownLists!Q6","Add to this list")</f>
        <v>Add to this list</v>
      </c>
      <c r="AB7" s="1197"/>
      <c r="AC7" s="1197"/>
      <c r="AD7" s="1197"/>
      <c r="AE7" s="1197"/>
      <c r="AF7" s="1197"/>
      <c r="AG7" s="1197"/>
      <c r="AH7" s="1198"/>
      <c r="AI7" s="404"/>
      <c r="AJ7" s="392"/>
    </row>
    <row r="8" spans="1:36" s="409" customFormat="1" ht="27" customHeight="1" thickBot="1" x14ac:dyDescent="0.35">
      <c r="A8" s="1511"/>
      <c r="B8" s="1037" t="s">
        <v>3474</v>
      </c>
      <c r="C8" s="812" t="s">
        <v>35</v>
      </c>
      <c r="D8" s="625" t="s">
        <v>152</v>
      </c>
      <c r="E8" s="625" t="s">
        <v>77</v>
      </c>
      <c r="F8" s="625" t="s">
        <v>1638</v>
      </c>
      <c r="G8" s="1199" t="s">
        <v>3475</v>
      </c>
      <c r="H8" s="625" t="s">
        <v>1639</v>
      </c>
      <c r="I8" s="406" t="s">
        <v>3476</v>
      </c>
      <c r="J8" s="114" t="s">
        <v>3477</v>
      </c>
      <c r="K8" s="114" t="s">
        <v>3478</v>
      </c>
      <c r="L8" s="114" t="s">
        <v>3479</v>
      </c>
      <c r="M8" s="1201" t="s">
        <v>3480</v>
      </c>
      <c r="N8" s="1201" t="s">
        <v>3481</v>
      </c>
      <c r="O8" s="1201" t="s">
        <v>3482</v>
      </c>
      <c r="P8" s="1201" t="s">
        <v>3483</v>
      </c>
      <c r="Q8" s="1201" t="s">
        <v>3484</v>
      </c>
      <c r="R8" s="1201" t="s">
        <v>3485</v>
      </c>
      <c r="S8" s="1201" t="s">
        <v>3486</v>
      </c>
      <c r="T8" s="1201" t="s">
        <v>3487</v>
      </c>
      <c r="U8" s="1201" t="s">
        <v>3488</v>
      </c>
      <c r="V8" s="407" t="s">
        <v>3489</v>
      </c>
      <c r="W8" s="647" t="s">
        <v>1646</v>
      </c>
      <c r="X8" s="647" t="s">
        <v>1647</v>
      </c>
      <c r="Y8" s="648" t="s">
        <v>1648</v>
      </c>
      <c r="Z8" s="114" t="s">
        <v>3490</v>
      </c>
      <c r="AA8" s="625" t="s">
        <v>1650</v>
      </c>
      <c r="AB8" s="625" t="s">
        <v>3491</v>
      </c>
      <c r="AC8" s="625" t="s">
        <v>3492</v>
      </c>
      <c r="AD8" s="625" t="s">
        <v>3493</v>
      </c>
      <c r="AE8" s="625" t="s">
        <v>3494</v>
      </c>
      <c r="AF8" s="625" t="s">
        <v>3495</v>
      </c>
      <c r="AG8" s="625" t="s">
        <v>3496</v>
      </c>
      <c r="AH8" s="566" t="s">
        <v>3497</v>
      </c>
      <c r="AI8" s="332"/>
      <c r="AJ8" s="408"/>
    </row>
    <row r="9" spans="1:36" ht="20.100000000000001" customHeight="1" x14ac:dyDescent="0.3">
      <c r="B9" s="316" t="s">
        <v>2842</v>
      </c>
      <c r="C9" s="313">
        <v>36669</v>
      </c>
      <c r="D9" s="316" t="s">
        <v>2843</v>
      </c>
      <c r="E9" s="316" t="s">
        <v>1372</v>
      </c>
      <c r="F9" s="316" t="s">
        <v>879</v>
      </c>
      <c r="G9" s="314">
        <v>0</v>
      </c>
      <c r="H9" s="1202" t="s">
        <v>1103</v>
      </c>
      <c r="I9" s="314">
        <v>176</v>
      </c>
      <c r="J9" s="314">
        <v>60</v>
      </c>
      <c r="W9" s="314"/>
      <c r="X9" s="314"/>
    </row>
    <row r="10" spans="1:36" ht="20.100000000000001" customHeight="1" x14ac:dyDescent="0.3">
      <c r="B10" s="316" t="s">
        <v>2846</v>
      </c>
      <c r="C10" s="313">
        <v>36669</v>
      </c>
      <c r="D10" s="316" t="s">
        <v>2847</v>
      </c>
      <c r="E10" s="316" t="s">
        <v>1372</v>
      </c>
      <c r="F10" s="316" t="s">
        <v>879</v>
      </c>
      <c r="G10" s="314">
        <v>0</v>
      </c>
      <c r="H10" s="1202" t="s">
        <v>1104</v>
      </c>
      <c r="I10" s="314">
        <v>176</v>
      </c>
      <c r="J10" s="314">
        <v>60</v>
      </c>
      <c r="W10" s="314"/>
      <c r="X10" s="314"/>
    </row>
    <row r="11" spans="1:36" ht="20.100000000000001" customHeight="1" x14ac:dyDescent="0.3">
      <c r="B11" s="316" t="s">
        <v>2850</v>
      </c>
      <c r="C11" s="313">
        <v>36669</v>
      </c>
      <c r="D11" s="316" t="s">
        <v>2851</v>
      </c>
      <c r="E11" s="316" t="s">
        <v>1372</v>
      </c>
      <c r="F11" s="316" t="s">
        <v>879</v>
      </c>
      <c r="G11" s="314">
        <v>0</v>
      </c>
      <c r="H11" s="1202" t="s">
        <v>1106</v>
      </c>
      <c r="I11" s="314">
        <v>353</v>
      </c>
      <c r="J11" s="314">
        <v>120</v>
      </c>
      <c r="K11" s="1204"/>
      <c r="L11" s="1204"/>
      <c r="M11" s="1204"/>
    </row>
    <row r="12" spans="1:36" ht="20.100000000000001" customHeight="1" x14ac:dyDescent="0.3">
      <c r="B12" s="316" t="s">
        <v>2854</v>
      </c>
      <c r="C12" s="313">
        <v>36669</v>
      </c>
      <c r="D12" s="316" t="s">
        <v>2855</v>
      </c>
      <c r="E12" s="316" t="s">
        <v>1372</v>
      </c>
      <c r="F12" s="316" t="s">
        <v>879</v>
      </c>
      <c r="G12" s="314">
        <v>0</v>
      </c>
      <c r="H12" s="1202" t="s">
        <v>869</v>
      </c>
      <c r="I12" s="314">
        <v>353</v>
      </c>
      <c r="J12" s="314">
        <v>120</v>
      </c>
      <c r="K12" s="1204"/>
      <c r="L12" s="1203"/>
      <c r="M12" s="1204"/>
    </row>
    <row r="13" spans="1:36" ht="20.100000000000001" customHeight="1" x14ac:dyDescent="0.3">
      <c r="B13" s="316" t="s">
        <v>2858</v>
      </c>
      <c r="C13" s="313">
        <v>36669</v>
      </c>
      <c r="D13" s="316" t="s">
        <v>2859</v>
      </c>
      <c r="E13" s="316" t="s">
        <v>1372</v>
      </c>
      <c r="F13" s="316" t="s">
        <v>879</v>
      </c>
      <c r="G13" s="314">
        <v>0</v>
      </c>
      <c r="H13" s="1202" t="s">
        <v>1493</v>
      </c>
      <c r="I13" s="314">
        <v>529</v>
      </c>
      <c r="J13" s="314">
        <v>180</v>
      </c>
      <c r="K13" s="1204"/>
      <c r="L13" s="1203"/>
      <c r="M13" s="1204"/>
    </row>
    <row r="14" spans="1:36" ht="20.100000000000001" customHeight="1" x14ac:dyDescent="0.3">
      <c r="B14" s="316" t="s">
        <v>2888</v>
      </c>
      <c r="C14" s="313">
        <v>36669</v>
      </c>
      <c r="D14" s="316" t="s">
        <v>2889</v>
      </c>
      <c r="E14" s="316" t="s">
        <v>1372</v>
      </c>
      <c r="F14" s="316" t="s">
        <v>879</v>
      </c>
      <c r="G14" s="314">
        <v>0</v>
      </c>
      <c r="H14" s="1202" t="s">
        <v>1110</v>
      </c>
      <c r="I14" s="314">
        <v>529</v>
      </c>
      <c r="J14" s="314">
        <v>180</v>
      </c>
      <c r="K14" s="1204"/>
      <c r="L14" s="1203"/>
      <c r="M14" s="1204"/>
    </row>
    <row r="15" spans="1:36" ht="20.100000000000001" customHeight="1" x14ac:dyDescent="0.3">
      <c r="B15" s="316" t="s">
        <v>2890</v>
      </c>
      <c r="C15" s="313">
        <v>36669</v>
      </c>
      <c r="D15" s="316" t="s">
        <v>2889</v>
      </c>
      <c r="E15" s="316" t="s">
        <v>1372</v>
      </c>
      <c r="F15" s="316" t="s">
        <v>879</v>
      </c>
      <c r="G15" s="314">
        <v>0</v>
      </c>
      <c r="H15" s="1202" t="s">
        <v>1359</v>
      </c>
      <c r="I15" s="314">
        <v>529</v>
      </c>
      <c r="J15" s="314">
        <v>180</v>
      </c>
      <c r="K15" s="1204"/>
      <c r="L15" s="1203"/>
      <c r="M15" s="1204"/>
    </row>
    <row r="16" spans="1:36" ht="20.100000000000001" customHeight="1" x14ac:dyDescent="0.3">
      <c r="B16" s="316" t="s">
        <v>2860</v>
      </c>
      <c r="C16" s="313">
        <v>36669</v>
      </c>
      <c r="D16" s="316" t="s">
        <v>2859</v>
      </c>
      <c r="E16" s="316" t="s">
        <v>1372</v>
      </c>
      <c r="F16" s="316" t="s">
        <v>879</v>
      </c>
      <c r="G16" s="314">
        <v>0</v>
      </c>
      <c r="H16" s="1205" t="s">
        <v>1492</v>
      </c>
      <c r="I16" s="314">
        <v>529</v>
      </c>
      <c r="J16" s="314">
        <v>180</v>
      </c>
      <c r="K16" s="1204"/>
      <c r="L16" s="1203"/>
      <c r="M16" s="1204"/>
    </row>
    <row r="17" spans="2:13" ht="20.100000000000001" customHeight="1" x14ac:dyDescent="0.3">
      <c r="B17" s="316" t="s">
        <v>2852</v>
      </c>
      <c r="C17" s="313">
        <v>36669</v>
      </c>
      <c r="D17" s="316" t="s">
        <v>2851</v>
      </c>
      <c r="E17" s="316" t="s">
        <v>1372</v>
      </c>
      <c r="F17" s="316" t="s">
        <v>879</v>
      </c>
      <c r="G17" s="314">
        <v>0</v>
      </c>
      <c r="H17" s="1202" t="s">
        <v>872</v>
      </c>
      <c r="I17" s="314">
        <v>353</v>
      </c>
      <c r="J17" s="314">
        <v>120</v>
      </c>
      <c r="K17" s="1204"/>
      <c r="L17" s="1203"/>
      <c r="M17" s="1204"/>
    </row>
    <row r="18" spans="2:13" ht="20.100000000000001" customHeight="1" x14ac:dyDescent="0.3">
      <c r="B18" s="316" t="s">
        <v>2856</v>
      </c>
      <c r="C18" s="313">
        <v>36669</v>
      </c>
      <c r="D18" s="316" t="s">
        <v>2855</v>
      </c>
      <c r="E18" s="316" t="s">
        <v>1372</v>
      </c>
      <c r="F18" s="316" t="s">
        <v>879</v>
      </c>
      <c r="G18" s="314">
        <v>0</v>
      </c>
      <c r="H18" s="1202" t="s">
        <v>873</v>
      </c>
      <c r="I18" s="314">
        <v>353</v>
      </c>
      <c r="J18" s="314">
        <v>120</v>
      </c>
      <c r="K18" s="1204"/>
      <c r="L18" s="1203"/>
      <c r="M18" s="1204"/>
    </row>
    <row r="19" spans="2:13" ht="20.100000000000001" customHeight="1" x14ac:dyDescent="0.3">
      <c r="B19" s="316" t="s">
        <v>2848</v>
      </c>
      <c r="C19" s="313">
        <v>36669</v>
      </c>
      <c r="D19" s="316" t="s">
        <v>2847</v>
      </c>
      <c r="E19" s="316" t="s">
        <v>1372</v>
      </c>
      <c r="F19" s="316" t="s">
        <v>879</v>
      </c>
      <c r="G19" s="314">
        <v>0</v>
      </c>
      <c r="H19" s="1202" t="s">
        <v>2891</v>
      </c>
      <c r="I19" s="314">
        <v>176</v>
      </c>
      <c r="J19" s="314">
        <v>60</v>
      </c>
      <c r="K19" s="1204"/>
      <c r="L19" s="1206"/>
      <c r="M19" s="1204"/>
    </row>
    <row r="20" spans="2:13" ht="20.100000000000001" customHeight="1" x14ac:dyDescent="0.3">
      <c r="B20" s="316" t="s">
        <v>2844</v>
      </c>
      <c r="C20" s="313">
        <v>36669</v>
      </c>
      <c r="D20" s="316" t="s">
        <v>2843</v>
      </c>
      <c r="E20" s="316" t="s">
        <v>1372</v>
      </c>
      <c r="F20" s="316" t="s">
        <v>879</v>
      </c>
      <c r="G20" s="314">
        <v>0</v>
      </c>
      <c r="H20" s="316" t="s">
        <v>1100</v>
      </c>
      <c r="I20" s="314">
        <v>176</v>
      </c>
      <c r="J20" s="314">
        <v>60</v>
      </c>
      <c r="K20" s="1204"/>
      <c r="L20" s="1203"/>
      <c r="M20" s="1204"/>
    </row>
    <row r="21" spans="2:13" ht="20.100000000000001" customHeight="1" x14ac:dyDescent="0.3">
      <c r="B21" s="316" t="s">
        <v>2892</v>
      </c>
      <c r="C21" s="313">
        <v>36669</v>
      </c>
      <c r="D21" s="316" t="s">
        <v>2889</v>
      </c>
      <c r="E21" s="316" t="s">
        <v>1372</v>
      </c>
      <c r="F21" s="316" t="s">
        <v>879</v>
      </c>
      <c r="G21" s="314">
        <v>0</v>
      </c>
      <c r="H21" s="316" t="s">
        <v>1100</v>
      </c>
      <c r="I21" s="314">
        <v>529</v>
      </c>
      <c r="J21" s="314">
        <v>180</v>
      </c>
      <c r="K21" s="1204"/>
      <c r="L21" s="1203"/>
      <c r="M21" s="1204"/>
    </row>
    <row r="22" spans="2:13" ht="20.100000000000001" customHeight="1" x14ac:dyDescent="0.3">
      <c r="B22" s="316" t="s">
        <v>2861</v>
      </c>
      <c r="C22" s="313">
        <v>36669</v>
      </c>
      <c r="D22" s="316" t="s">
        <v>2859</v>
      </c>
      <c r="E22" s="316" t="s">
        <v>1372</v>
      </c>
      <c r="F22" s="316" t="s">
        <v>879</v>
      </c>
      <c r="G22" s="314">
        <v>0</v>
      </c>
      <c r="H22" s="1202" t="s">
        <v>2893</v>
      </c>
      <c r="I22" s="314">
        <v>529</v>
      </c>
      <c r="J22" s="314">
        <v>180</v>
      </c>
      <c r="K22" s="1204"/>
      <c r="L22" s="1203"/>
      <c r="M22" s="1204"/>
    </row>
    <row r="23" spans="2:13" ht="20.100000000000001" customHeight="1" x14ac:dyDescent="0.3">
      <c r="B23" s="316" t="s">
        <v>2857</v>
      </c>
      <c r="C23" s="313">
        <v>36669</v>
      </c>
      <c r="D23" s="316" t="s">
        <v>2855</v>
      </c>
      <c r="E23" s="316" t="s">
        <v>1372</v>
      </c>
      <c r="F23" s="316" t="s">
        <v>879</v>
      </c>
      <c r="G23" s="314">
        <v>0</v>
      </c>
      <c r="H23" s="1202" t="s">
        <v>2894</v>
      </c>
      <c r="I23" s="314">
        <v>353</v>
      </c>
      <c r="J23" s="314">
        <v>120</v>
      </c>
    </row>
    <row r="24" spans="2:13" ht="20.100000000000001" customHeight="1" x14ac:dyDescent="0.3">
      <c r="B24" s="316" t="s">
        <v>2853</v>
      </c>
      <c r="C24" s="313">
        <v>36669</v>
      </c>
      <c r="D24" s="316" t="s">
        <v>2851</v>
      </c>
      <c r="E24" s="316" t="s">
        <v>1372</v>
      </c>
      <c r="F24" s="316" t="s">
        <v>879</v>
      </c>
      <c r="G24" s="314">
        <v>0</v>
      </c>
      <c r="H24" s="1207" t="s">
        <v>2895</v>
      </c>
      <c r="I24" s="314">
        <v>353</v>
      </c>
      <c r="J24" s="314">
        <v>120</v>
      </c>
    </row>
    <row r="25" spans="2:13" ht="20.100000000000001" customHeight="1" x14ac:dyDescent="0.25">
      <c r="B25" s="316" t="s">
        <v>2849</v>
      </c>
      <c r="C25" s="313">
        <v>36669</v>
      </c>
      <c r="D25" s="316" t="s">
        <v>2847</v>
      </c>
      <c r="E25" s="316" t="s">
        <v>1372</v>
      </c>
      <c r="F25" s="316" t="s">
        <v>879</v>
      </c>
      <c r="G25" s="314">
        <v>0</v>
      </c>
      <c r="H25" s="316" t="s">
        <v>1100</v>
      </c>
      <c r="I25" s="314">
        <v>176</v>
      </c>
      <c r="J25" s="314">
        <v>60</v>
      </c>
    </row>
    <row r="26" spans="2:13" ht="20.100000000000001" customHeight="1" x14ac:dyDescent="0.25">
      <c r="B26" s="316" t="s">
        <v>2845</v>
      </c>
      <c r="C26" s="313">
        <v>36669</v>
      </c>
      <c r="D26" s="316" t="s">
        <v>2843</v>
      </c>
      <c r="E26" s="316" t="s">
        <v>1372</v>
      </c>
      <c r="F26" s="316" t="s">
        <v>879</v>
      </c>
      <c r="G26" s="314">
        <v>0</v>
      </c>
      <c r="H26" s="316" t="s">
        <v>1100</v>
      </c>
      <c r="I26" s="314">
        <v>176</v>
      </c>
      <c r="J26" s="314">
        <v>60</v>
      </c>
    </row>
    <row r="27" spans="2:13" ht="20.100000000000001" customHeight="1" x14ac:dyDescent="0.25">
      <c r="B27" s="316" t="s">
        <v>2842</v>
      </c>
      <c r="C27" s="313">
        <v>37021</v>
      </c>
      <c r="D27" s="316" t="s">
        <v>2843</v>
      </c>
      <c r="E27" s="316" t="s">
        <v>1372</v>
      </c>
      <c r="F27" s="316" t="s">
        <v>879</v>
      </c>
      <c r="G27" s="314">
        <v>0</v>
      </c>
      <c r="H27" s="316" t="s">
        <v>1100</v>
      </c>
      <c r="I27" s="314">
        <v>176</v>
      </c>
      <c r="J27" s="314">
        <v>60</v>
      </c>
    </row>
    <row r="28" spans="2:13" ht="20.100000000000001" customHeight="1" x14ac:dyDescent="0.25">
      <c r="B28" s="316" t="s">
        <v>2846</v>
      </c>
      <c r="C28" s="313">
        <v>37021</v>
      </c>
      <c r="D28" s="316" t="s">
        <v>2847</v>
      </c>
      <c r="E28" s="316" t="s">
        <v>1372</v>
      </c>
      <c r="F28" s="316" t="s">
        <v>879</v>
      </c>
      <c r="G28" s="314">
        <v>0</v>
      </c>
      <c r="H28" s="316" t="s">
        <v>1100</v>
      </c>
      <c r="I28" s="314">
        <v>176</v>
      </c>
      <c r="J28" s="314">
        <v>60</v>
      </c>
    </row>
    <row r="29" spans="2:13" ht="20.100000000000001" customHeight="1" x14ac:dyDescent="0.25">
      <c r="B29" s="316" t="s">
        <v>2850</v>
      </c>
      <c r="C29" s="313">
        <v>37021</v>
      </c>
      <c r="D29" s="316" t="s">
        <v>2851</v>
      </c>
      <c r="E29" s="316" t="s">
        <v>1372</v>
      </c>
      <c r="F29" s="316" t="s">
        <v>879</v>
      </c>
      <c r="G29" s="314">
        <v>0</v>
      </c>
      <c r="H29" s="316" t="s">
        <v>1100</v>
      </c>
      <c r="I29" s="314">
        <v>353</v>
      </c>
      <c r="J29" s="314">
        <v>120</v>
      </c>
    </row>
    <row r="30" spans="2:13" ht="20.100000000000001" customHeight="1" x14ac:dyDescent="0.25">
      <c r="B30" s="316" t="s">
        <v>2854</v>
      </c>
      <c r="C30" s="313">
        <v>37021</v>
      </c>
      <c r="D30" s="316" t="s">
        <v>2855</v>
      </c>
      <c r="E30" s="316" t="s">
        <v>1372</v>
      </c>
      <c r="F30" s="316" t="s">
        <v>879</v>
      </c>
      <c r="G30" s="314">
        <v>0</v>
      </c>
      <c r="H30" s="316" t="s">
        <v>1100</v>
      </c>
      <c r="I30" s="314">
        <v>353</v>
      </c>
      <c r="J30" s="314">
        <v>120</v>
      </c>
    </row>
    <row r="31" spans="2:13" ht="19.95" customHeight="1" x14ac:dyDescent="0.25"/>
    <row r="32" spans="2:13"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row r="109" ht="19.95" customHeight="1" x14ac:dyDescent="0.25"/>
    <row r="110" ht="19.95" customHeight="1" x14ac:dyDescent="0.25"/>
    <row r="111" ht="19.95" customHeight="1" x14ac:dyDescent="0.25"/>
    <row r="112" ht="19.95" customHeight="1" x14ac:dyDescent="0.25"/>
    <row r="113" ht="19.95" customHeight="1" x14ac:dyDescent="0.25"/>
    <row r="114" ht="19.95" customHeight="1" x14ac:dyDescent="0.25"/>
    <row r="115" ht="19.95" customHeight="1" x14ac:dyDescent="0.25"/>
    <row r="116" ht="19.95" customHeight="1" x14ac:dyDescent="0.25"/>
    <row r="117" ht="19.95" customHeight="1" x14ac:dyDescent="0.25"/>
    <row r="118" ht="19.95" customHeight="1" x14ac:dyDescent="0.25"/>
    <row r="119" ht="19.95" customHeight="1" x14ac:dyDescent="0.25"/>
    <row r="120" ht="19.95" customHeight="1" x14ac:dyDescent="0.25"/>
    <row r="121" ht="19.95" customHeight="1" x14ac:dyDescent="0.25"/>
    <row r="122" ht="19.95" customHeight="1" x14ac:dyDescent="0.25"/>
    <row r="123" ht="19.95" customHeight="1" x14ac:dyDescent="0.25"/>
    <row r="124" ht="19.95" customHeight="1" x14ac:dyDescent="0.25"/>
    <row r="125" ht="19.95" customHeight="1" x14ac:dyDescent="0.25"/>
    <row r="126" ht="19.95" customHeight="1" x14ac:dyDescent="0.25"/>
    <row r="127" ht="19.95" customHeight="1" x14ac:dyDescent="0.25"/>
    <row r="128" ht="19.95" customHeight="1" x14ac:dyDescent="0.25"/>
    <row r="129" ht="19.95" customHeight="1" x14ac:dyDescent="0.25"/>
    <row r="130" ht="19.95" customHeight="1" x14ac:dyDescent="0.25"/>
  </sheetData>
  <mergeCells count="4">
    <mergeCell ref="W2:W4"/>
    <mergeCell ref="X3:X4"/>
    <mergeCell ref="A6:A8"/>
    <mergeCell ref="V6:V7"/>
  </mergeCells>
  <conditionalFormatting sqref="A8:AH8">
    <cfRule type="expression" dxfId="87" priority="1">
      <formula>IF(INDEX(VAD_nMgtAmendments,COLUMN(A8),5)&gt;0,TRUE(),FALSE())</formula>
    </cfRule>
  </conditionalFormatting>
  <dataValidations count="28">
    <dataValidation type="list" allowBlank="1" showInputMessage="1" showErrorMessage="1" sqref="AA9:AA1048576 AB1331:AH1048576">
      <formula1>Irrigation_Type</formula1>
    </dataValidation>
    <dataValidation type="list" allowBlank="1" showInputMessage="1" showErrorMessage="1" sqref="E9:E65286">
      <formula1>Crop</formula1>
    </dataValidation>
    <dataValidation type="list" allowBlank="1" showInputMessage="1" showErrorMessage="1" sqref="D9:D65286">
      <formula1>TreatmentID</formula1>
    </dataValidation>
    <dataValidation type="list" allowBlank="1" showInputMessage="1" showErrorMessage="1" sqref="B9:B65286">
      <formula1>Exp_UnitID</formula1>
    </dataValidation>
    <dataValidation type="list" allowBlank="1" showInputMessage="1" showErrorMessage="1" sqref="Y9:Y1048576">
      <formula1>Pest_Placement</formula1>
    </dataValidation>
    <dataValidation allowBlank="1" showErrorMessage="1" prompt="Select type of irrigation system from a drop down list." sqref="AB8:AH8"/>
    <dataValidation allowBlank="1" showErrorMessage="1" sqref="U8"/>
    <dataValidation allowBlank="1" showInputMessage="1" showErrorMessage="1" prompt="Enter the amount in kg P/ha. Convert from P2O5 if necessary." sqref="K8:L8"/>
    <dataValidation allowBlank="1" showInputMessage="1" showErrorMessage="1" prompt="Select type of irrigation system from a drop down list." sqref="AA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depth at which the amendment was placed in cm." sqref="G8"/>
    <dataValidation allowBlank="1" showInputMessage="1" showErrorMessage="1" prompt="Enter amount of amendment in kg/ha._x000a_" sqref="I8"/>
    <dataValidation allowBlank="1" showInputMessage="1" showErrorMessage="1" prompt="Enter amount of Active Ingredient applied (kg/ha). " sqref="V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_Units and Treatments tabs. For each row, this must be filled in if column A is blank." sqref="D8"/>
    <dataValidation allowBlank="1" showInputMessage="1" showErrorMessage="1" prompt="Enter the date the amendment occurred. For example, the fertilization day." sqref="C8"/>
    <dataValidation allowBlank="1" showInputMessage="1" showErrorMessage="1" prompt="Select the crop grown for the year from the drop down list. If your crop does not appear, add to the list by typing a crop descriptor with no blanks or slashes in the appropriate column located on the DropDownLists worksheet." sqref="E8"/>
    <dataValidation allowBlank="1" showInputMessage="1" showErrorMessage="1" prompt="Select placement from drop down list, or add a descriptor with no spaces or slashes to the bottom of the list in the appropriate column located on the DropDownLists worksheet." sqref="F8"/>
    <dataValidation allowBlank="1" showInputMessage="1" showErrorMessage="1" prompt="Enter amount of N added in kg N/ha." sqref="J8"/>
    <dataValidation allowBlank="1" showInputMessage="1" showErrorMessage="1" prompt="Select amendment type from the drop down list. If your type does not appear, enter a descriptor with no blanks or slashes in the appropriate column located on the DropDownLists worksheet." sqref="H8"/>
    <dataValidation type="list" allowBlank="1" showInputMessage="1" showErrorMessage="1" sqref="H20:H21 H25:H65286">
      <formula1>Amend_Type</formula1>
    </dataValidation>
    <dataValidation allowBlank="1" showInputMessage="1" showErrorMessage="1" prompt="Enter the intended target species for the pesticide treatment." sqref="X8"/>
    <dataValidation allowBlank="1" showInputMessage="1" showErrorMessage="1" prompt="Select the active ingredient from the drop down list.  You may enter your active ingredient on the DropDownLists worksheet. DO NOT enter a formulation name like Roundup, but enter an active ingredient like glyphosate. The web sites in M6 and M7 may help" sqref="W8"/>
    <dataValidation allowBlank="1" showInputMessage="1" showErrorMessage="1" prompt="Select placement from drop down list, or add a descriptor with no spaces or slashes in the appropriate column located on the DropDownLists worksheet." sqref="Y8"/>
    <dataValidation allowBlank="1" showInputMessage="1" showErrorMessage="1" prompt="Enter irrigation amount in centimeters." sqref="Z8"/>
    <dataValidation allowBlank="1" showInputMessage="1" showErrorMessage="1" prompt="Enter irrigation nitrogen content (milligrams/Liter)." sqref="AI8"/>
    <dataValidation type="list" allowBlank="1" showInputMessage="1" showErrorMessage="1" sqref="G4751:G65286 F9:F65286">
      <formula1>Amend_Placement</formula1>
    </dataValidation>
    <dataValidation type="list" allowBlank="1" showInputMessage="1" showErrorMessage="1" sqref="W5 W11:W65286">
      <formula1>Active_Ingredient_Type</formula1>
    </dataValidation>
  </dataValidations>
  <hyperlinks>
    <hyperlink ref="X7" r:id="rId1"/>
    <hyperlink ref="X6"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06849" r:id="rId5" name="Button 1">
              <controlPr defaultSize="0" print="0" autoFill="0" autoPict="0" macro="[1]!expandClick">
                <anchor moveWithCells="1" sizeWithCells="1">
                  <from>
                    <xdr:col>0</xdr:col>
                    <xdr:colOff>22860</xdr:colOff>
                    <xdr:row>30</xdr:row>
                    <xdr:rowOff>22860</xdr:rowOff>
                  </from>
                  <to>
                    <xdr:col>1</xdr:col>
                    <xdr:colOff>0</xdr:colOff>
                    <xdr:row>30</xdr:row>
                    <xdr:rowOff>220980</xdr:rowOff>
                  </to>
                </anchor>
              </controlPr>
            </control>
          </mc:Choice>
        </mc:AlternateContent>
        <mc:AlternateContent xmlns:mc="http://schemas.openxmlformats.org/markup-compatibility/2006">
          <mc:Choice Requires="x14">
            <control shapeId="206850" r:id="rId6" name="Button 2">
              <controlPr defaultSize="0" print="0" autoFill="0" autoPict="0" macro="[1]!expandClick">
                <anchor moveWithCells="1" sizeWithCells="1">
                  <from>
                    <xdr:col>0</xdr:col>
                    <xdr:colOff>22860</xdr:colOff>
                    <xdr:row>31</xdr:row>
                    <xdr:rowOff>22860</xdr:rowOff>
                  </from>
                  <to>
                    <xdr:col>1</xdr:col>
                    <xdr:colOff>0</xdr:colOff>
                    <xdr:row>31</xdr:row>
                    <xdr:rowOff>220980</xdr:rowOff>
                  </to>
                </anchor>
              </controlPr>
            </control>
          </mc:Choice>
        </mc:AlternateContent>
        <mc:AlternateContent xmlns:mc="http://schemas.openxmlformats.org/markup-compatibility/2006">
          <mc:Choice Requires="x14">
            <control shapeId="206851" r:id="rId7" name="Button 3">
              <controlPr defaultSize="0" print="0" autoFill="0" autoPict="0" macro="[1]!expandClick">
                <anchor moveWithCells="1" sizeWithCells="1">
                  <from>
                    <xdr:col>0</xdr:col>
                    <xdr:colOff>22860</xdr:colOff>
                    <xdr:row>32</xdr:row>
                    <xdr:rowOff>22860</xdr:rowOff>
                  </from>
                  <to>
                    <xdr:col>1</xdr:col>
                    <xdr:colOff>0</xdr:colOff>
                    <xdr:row>32</xdr:row>
                    <xdr:rowOff>220980</xdr:rowOff>
                  </to>
                </anchor>
              </controlPr>
            </control>
          </mc:Choice>
        </mc:AlternateContent>
        <mc:AlternateContent xmlns:mc="http://schemas.openxmlformats.org/markup-compatibility/2006">
          <mc:Choice Requires="x14">
            <control shapeId="206852" r:id="rId8" name="Button 4">
              <controlPr defaultSize="0" print="0" autoFill="0" autoPict="0" macro="[1]!expandClick">
                <anchor moveWithCells="1" sizeWithCells="1">
                  <from>
                    <xdr:col>0</xdr:col>
                    <xdr:colOff>22860</xdr:colOff>
                    <xdr:row>33</xdr:row>
                    <xdr:rowOff>22860</xdr:rowOff>
                  </from>
                  <to>
                    <xdr:col>1</xdr:col>
                    <xdr:colOff>0</xdr:colOff>
                    <xdr:row>33</xdr:row>
                    <xdr:rowOff>220980</xdr:rowOff>
                  </to>
                </anchor>
              </controlPr>
            </control>
          </mc:Choice>
        </mc:AlternateContent>
        <mc:AlternateContent xmlns:mc="http://schemas.openxmlformats.org/markup-compatibility/2006">
          <mc:Choice Requires="x14">
            <control shapeId="206853" r:id="rId9" name="Button 5">
              <controlPr defaultSize="0" print="0" autoFill="0" autoPict="0" macro="[1]!expandClick">
                <anchor moveWithCells="1" sizeWithCells="1">
                  <from>
                    <xdr:col>0</xdr:col>
                    <xdr:colOff>22860</xdr:colOff>
                    <xdr:row>34</xdr:row>
                    <xdr:rowOff>22860</xdr:rowOff>
                  </from>
                  <to>
                    <xdr:col>1</xdr:col>
                    <xdr:colOff>0</xdr:colOff>
                    <xdr:row>34</xdr:row>
                    <xdr:rowOff>220980</xdr:rowOff>
                  </to>
                </anchor>
              </controlPr>
            </control>
          </mc:Choice>
        </mc:AlternateContent>
        <mc:AlternateContent xmlns:mc="http://schemas.openxmlformats.org/markup-compatibility/2006">
          <mc:Choice Requires="x14">
            <control shapeId="206854" r:id="rId10" name="Button 6">
              <controlPr defaultSize="0" print="0" autoFill="0" autoPict="0" macro="[1]!expandClick">
                <anchor moveWithCells="1" sizeWithCells="1">
                  <from>
                    <xdr:col>0</xdr:col>
                    <xdr:colOff>22860</xdr:colOff>
                    <xdr:row>35</xdr:row>
                    <xdr:rowOff>22860</xdr:rowOff>
                  </from>
                  <to>
                    <xdr:col>1</xdr:col>
                    <xdr:colOff>0</xdr:colOff>
                    <xdr:row>35</xdr:row>
                    <xdr:rowOff>220980</xdr:rowOff>
                  </to>
                </anchor>
              </controlPr>
            </control>
          </mc:Choice>
        </mc:AlternateContent>
        <mc:AlternateContent xmlns:mc="http://schemas.openxmlformats.org/markup-compatibility/2006">
          <mc:Choice Requires="x14">
            <control shapeId="206855" r:id="rId11" name="Button 7">
              <controlPr defaultSize="0" print="0" autoFill="0" autoPict="0" macro="[1]!expandClick">
                <anchor moveWithCells="1" sizeWithCells="1">
                  <from>
                    <xdr:col>0</xdr:col>
                    <xdr:colOff>22860</xdr:colOff>
                    <xdr:row>36</xdr:row>
                    <xdr:rowOff>22860</xdr:rowOff>
                  </from>
                  <to>
                    <xdr:col>1</xdr:col>
                    <xdr:colOff>0</xdr:colOff>
                    <xdr:row>36</xdr:row>
                    <xdr:rowOff>220980</xdr:rowOff>
                  </to>
                </anchor>
              </controlPr>
            </control>
          </mc:Choice>
        </mc:AlternateContent>
        <mc:AlternateContent xmlns:mc="http://schemas.openxmlformats.org/markup-compatibility/2006">
          <mc:Choice Requires="x14">
            <control shapeId="206856" r:id="rId12" name="Button 8">
              <controlPr defaultSize="0" print="0" autoFill="0" autoPict="0" macro="[1]!expandClick">
                <anchor moveWithCells="1" sizeWithCells="1">
                  <from>
                    <xdr:col>0</xdr:col>
                    <xdr:colOff>22860</xdr:colOff>
                    <xdr:row>37</xdr:row>
                    <xdr:rowOff>22860</xdr:rowOff>
                  </from>
                  <to>
                    <xdr:col>1</xdr:col>
                    <xdr:colOff>0</xdr:colOff>
                    <xdr:row>37</xdr:row>
                    <xdr:rowOff>220980</xdr:rowOff>
                  </to>
                </anchor>
              </controlPr>
            </control>
          </mc:Choice>
        </mc:AlternateContent>
        <mc:AlternateContent xmlns:mc="http://schemas.openxmlformats.org/markup-compatibility/2006">
          <mc:Choice Requires="x14">
            <control shapeId="206857" r:id="rId13" name="Button 9">
              <controlPr defaultSize="0" print="0" autoFill="0" autoPict="0" macro="[1]!expandClick">
                <anchor moveWithCells="1" sizeWithCells="1">
                  <from>
                    <xdr:col>0</xdr:col>
                    <xdr:colOff>22860</xdr:colOff>
                    <xdr:row>38</xdr:row>
                    <xdr:rowOff>22860</xdr:rowOff>
                  </from>
                  <to>
                    <xdr:col>1</xdr:col>
                    <xdr:colOff>0</xdr:colOff>
                    <xdr:row>38</xdr:row>
                    <xdr:rowOff>220980</xdr:rowOff>
                  </to>
                </anchor>
              </controlPr>
            </control>
          </mc:Choice>
        </mc:AlternateContent>
        <mc:AlternateContent xmlns:mc="http://schemas.openxmlformats.org/markup-compatibility/2006">
          <mc:Choice Requires="x14">
            <control shapeId="206858" r:id="rId14" name="Button 10">
              <controlPr defaultSize="0" print="0" autoFill="0" autoPict="0" macro="[1]!expandClick">
                <anchor moveWithCells="1" sizeWithCells="1">
                  <from>
                    <xdr:col>0</xdr:col>
                    <xdr:colOff>22860</xdr:colOff>
                    <xdr:row>39</xdr:row>
                    <xdr:rowOff>22860</xdr:rowOff>
                  </from>
                  <to>
                    <xdr:col>1</xdr:col>
                    <xdr:colOff>0</xdr:colOff>
                    <xdr:row>39</xdr:row>
                    <xdr:rowOff>220980</xdr:rowOff>
                  </to>
                </anchor>
              </controlPr>
            </control>
          </mc:Choice>
        </mc:AlternateContent>
        <mc:AlternateContent xmlns:mc="http://schemas.openxmlformats.org/markup-compatibility/2006">
          <mc:Choice Requires="x14">
            <control shapeId="206859" r:id="rId15" name="Button 11">
              <controlPr defaultSize="0" print="0" autoFill="0" autoPict="0" macro="[1]!expandClick">
                <anchor moveWithCells="1" sizeWithCells="1">
                  <from>
                    <xdr:col>0</xdr:col>
                    <xdr:colOff>22860</xdr:colOff>
                    <xdr:row>40</xdr:row>
                    <xdr:rowOff>22860</xdr:rowOff>
                  </from>
                  <to>
                    <xdr:col>1</xdr:col>
                    <xdr:colOff>0</xdr:colOff>
                    <xdr:row>40</xdr:row>
                    <xdr:rowOff>220980</xdr:rowOff>
                  </to>
                </anchor>
              </controlPr>
            </control>
          </mc:Choice>
        </mc:AlternateContent>
        <mc:AlternateContent xmlns:mc="http://schemas.openxmlformats.org/markup-compatibility/2006">
          <mc:Choice Requires="x14">
            <control shapeId="206860" r:id="rId16" name="Button 12">
              <controlPr defaultSize="0" print="0" autoFill="0" autoPict="0" macro="[1]!expandClick">
                <anchor moveWithCells="1" sizeWithCells="1">
                  <from>
                    <xdr:col>0</xdr:col>
                    <xdr:colOff>22860</xdr:colOff>
                    <xdr:row>41</xdr:row>
                    <xdr:rowOff>22860</xdr:rowOff>
                  </from>
                  <to>
                    <xdr:col>1</xdr:col>
                    <xdr:colOff>0</xdr:colOff>
                    <xdr:row>41</xdr:row>
                    <xdr:rowOff>220980</xdr:rowOff>
                  </to>
                </anchor>
              </controlPr>
            </control>
          </mc:Choice>
        </mc:AlternateContent>
        <mc:AlternateContent xmlns:mc="http://schemas.openxmlformats.org/markup-compatibility/2006">
          <mc:Choice Requires="x14">
            <control shapeId="206861" r:id="rId17" name="Button 13">
              <controlPr defaultSize="0" print="0" autoFill="0" autoPict="0" macro="[1]!expandClick">
                <anchor moveWithCells="1" sizeWithCells="1">
                  <from>
                    <xdr:col>0</xdr:col>
                    <xdr:colOff>22860</xdr:colOff>
                    <xdr:row>42</xdr:row>
                    <xdr:rowOff>22860</xdr:rowOff>
                  </from>
                  <to>
                    <xdr:col>1</xdr:col>
                    <xdr:colOff>0</xdr:colOff>
                    <xdr:row>42</xdr:row>
                    <xdr:rowOff>220980</xdr:rowOff>
                  </to>
                </anchor>
              </controlPr>
            </control>
          </mc:Choice>
        </mc:AlternateContent>
        <mc:AlternateContent xmlns:mc="http://schemas.openxmlformats.org/markup-compatibility/2006">
          <mc:Choice Requires="x14">
            <control shapeId="206862" r:id="rId18" name="Button 14">
              <controlPr defaultSize="0" print="0" autoFill="0" autoPict="0" macro="[1]!expandClick">
                <anchor moveWithCells="1" sizeWithCells="1">
                  <from>
                    <xdr:col>0</xdr:col>
                    <xdr:colOff>22860</xdr:colOff>
                    <xdr:row>43</xdr:row>
                    <xdr:rowOff>22860</xdr:rowOff>
                  </from>
                  <to>
                    <xdr:col>1</xdr:col>
                    <xdr:colOff>0</xdr:colOff>
                    <xdr:row>43</xdr:row>
                    <xdr:rowOff>220980</xdr:rowOff>
                  </to>
                </anchor>
              </controlPr>
            </control>
          </mc:Choice>
        </mc:AlternateContent>
        <mc:AlternateContent xmlns:mc="http://schemas.openxmlformats.org/markup-compatibility/2006">
          <mc:Choice Requires="x14">
            <control shapeId="206863" r:id="rId19" name="Button 15">
              <controlPr defaultSize="0" print="0" autoFill="0" autoPict="0" macro="[1]!expandClick">
                <anchor moveWithCells="1" sizeWithCells="1">
                  <from>
                    <xdr:col>0</xdr:col>
                    <xdr:colOff>22860</xdr:colOff>
                    <xdr:row>44</xdr:row>
                    <xdr:rowOff>22860</xdr:rowOff>
                  </from>
                  <to>
                    <xdr:col>1</xdr:col>
                    <xdr:colOff>0</xdr:colOff>
                    <xdr:row>44</xdr:row>
                    <xdr:rowOff>220980</xdr:rowOff>
                  </to>
                </anchor>
              </controlPr>
            </control>
          </mc:Choice>
        </mc:AlternateContent>
        <mc:AlternateContent xmlns:mc="http://schemas.openxmlformats.org/markup-compatibility/2006">
          <mc:Choice Requires="x14">
            <control shapeId="206864" r:id="rId20" name="Button 16">
              <controlPr defaultSize="0" print="0" autoFill="0" autoPict="0" macro="[1]!expandClick">
                <anchor moveWithCells="1" sizeWithCells="1">
                  <from>
                    <xdr:col>0</xdr:col>
                    <xdr:colOff>22860</xdr:colOff>
                    <xdr:row>45</xdr:row>
                    <xdr:rowOff>22860</xdr:rowOff>
                  </from>
                  <to>
                    <xdr:col>1</xdr:col>
                    <xdr:colOff>0</xdr:colOff>
                    <xdr:row>45</xdr:row>
                    <xdr:rowOff>220980</xdr:rowOff>
                  </to>
                </anchor>
              </controlPr>
            </control>
          </mc:Choice>
        </mc:AlternateContent>
        <mc:AlternateContent xmlns:mc="http://schemas.openxmlformats.org/markup-compatibility/2006">
          <mc:Choice Requires="x14">
            <control shapeId="206865" r:id="rId21" name="Button 17">
              <controlPr defaultSize="0" print="0" autoFill="0" autoPict="0" macro="[1]!expandClick">
                <anchor moveWithCells="1" sizeWithCells="1">
                  <from>
                    <xdr:col>0</xdr:col>
                    <xdr:colOff>22860</xdr:colOff>
                    <xdr:row>46</xdr:row>
                    <xdr:rowOff>22860</xdr:rowOff>
                  </from>
                  <to>
                    <xdr:col>1</xdr:col>
                    <xdr:colOff>0</xdr:colOff>
                    <xdr:row>46</xdr:row>
                    <xdr:rowOff>220980</xdr:rowOff>
                  </to>
                </anchor>
              </controlPr>
            </control>
          </mc:Choice>
        </mc:AlternateContent>
        <mc:AlternateContent xmlns:mc="http://schemas.openxmlformats.org/markup-compatibility/2006">
          <mc:Choice Requires="x14">
            <control shapeId="206866" r:id="rId22" name="Button 18">
              <controlPr defaultSize="0" print="0" autoFill="0" autoPict="0" macro="[1]!expandClick">
                <anchor moveWithCells="1" sizeWithCells="1">
                  <from>
                    <xdr:col>0</xdr:col>
                    <xdr:colOff>22860</xdr:colOff>
                    <xdr:row>47</xdr:row>
                    <xdr:rowOff>22860</xdr:rowOff>
                  </from>
                  <to>
                    <xdr:col>1</xdr:col>
                    <xdr:colOff>0</xdr:colOff>
                    <xdr:row>47</xdr:row>
                    <xdr:rowOff>220980</xdr:rowOff>
                  </to>
                </anchor>
              </controlPr>
            </control>
          </mc:Choice>
        </mc:AlternateContent>
        <mc:AlternateContent xmlns:mc="http://schemas.openxmlformats.org/markup-compatibility/2006">
          <mc:Choice Requires="x14">
            <control shapeId="206867" r:id="rId23" name="Button 19">
              <controlPr defaultSize="0" print="0" autoFill="0" autoPict="0" macro="[1]!expandClick">
                <anchor moveWithCells="1" sizeWithCells="1">
                  <from>
                    <xdr:col>0</xdr:col>
                    <xdr:colOff>22860</xdr:colOff>
                    <xdr:row>48</xdr:row>
                    <xdr:rowOff>22860</xdr:rowOff>
                  </from>
                  <to>
                    <xdr:col>1</xdr:col>
                    <xdr:colOff>0</xdr:colOff>
                    <xdr:row>48</xdr:row>
                    <xdr:rowOff>220980</xdr:rowOff>
                  </to>
                </anchor>
              </controlPr>
            </control>
          </mc:Choice>
        </mc:AlternateContent>
        <mc:AlternateContent xmlns:mc="http://schemas.openxmlformats.org/markup-compatibility/2006">
          <mc:Choice Requires="x14">
            <control shapeId="206868" r:id="rId24" name="Button 20">
              <controlPr defaultSize="0" print="0" autoFill="0" autoPict="0" macro="[1]!expandClick">
                <anchor moveWithCells="1" sizeWithCells="1">
                  <from>
                    <xdr:col>0</xdr:col>
                    <xdr:colOff>22860</xdr:colOff>
                    <xdr:row>49</xdr:row>
                    <xdr:rowOff>22860</xdr:rowOff>
                  </from>
                  <to>
                    <xdr:col>1</xdr:col>
                    <xdr:colOff>0</xdr:colOff>
                    <xdr:row>49</xdr:row>
                    <xdr:rowOff>220980</xdr:rowOff>
                  </to>
                </anchor>
              </controlPr>
            </control>
          </mc:Choice>
        </mc:AlternateContent>
        <mc:AlternateContent xmlns:mc="http://schemas.openxmlformats.org/markup-compatibility/2006">
          <mc:Choice Requires="x14">
            <control shapeId="206869" r:id="rId25" name="Button 21">
              <controlPr defaultSize="0" print="0" autoFill="0" autoPict="0" macro="[1]!expandClick">
                <anchor moveWithCells="1" sizeWithCells="1">
                  <from>
                    <xdr:col>0</xdr:col>
                    <xdr:colOff>22860</xdr:colOff>
                    <xdr:row>50</xdr:row>
                    <xdr:rowOff>22860</xdr:rowOff>
                  </from>
                  <to>
                    <xdr:col>1</xdr:col>
                    <xdr:colOff>0</xdr:colOff>
                    <xdr:row>50</xdr:row>
                    <xdr:rowOff>220980</xdr:rowOff>
                  </to>
                </anchor>
              </controlPr>
            </control>
          </mc:Choice>
        </mc:AlternateContent>
        <mc:AlternateContent xmlns:mc="http://schemas.openxmlformats.org/markup-compatibility/2006">
          <mc:Choice Requires="x14">
            <control shapeId="206870" r:id="rId26" name="Button 22">
              <controlPr defaultSize="0" print="0" autoFill="0" autoPict="0" macro="[1]!expandClick">
                <anchor moveWithCells="1" sizeWithCells="1">
                  <from>
                    <xdr:col>0</xdr:col>
                    <xdr:colOff>22860</xdr:colOff>
                    <xdr:row>51</xdr:row>
                    <xdr:rowOff>22860</xdr:rowOff>
                  </from>
                  <to>
                    <xdr:col>1</xdr:col>
                    <xdr:colOff>0</xdr:colOff>
                    <xdr:row>51</xdr:row>
                    <xdr:rowOff>220980</xdr:rowOff>
                  </to>
                </anchor>
              </controlPr>
            </control>
          </mc:Choice>
        </mc:AlternateContent>
        <mc:AlternateContent xmlns:mc="http://schemas.openxmlformats.org/markup-compatibility/2006">
          <mc:Choice Requires="x14">
            <control shapeId="206871" r:id="rId27" name="Button 23">
              <controlPr defaultSize="0" print="0" autoFill="0" autoPict="0" macro="[1]!expandClick">
                <anchor moveWithCells="1" sizeWithCells="1">
                  <from>
                    <xdr:col>0</xdr:col>
                    <xdr:colOff>22860</xdr:colOff>
                    <xdr:row>52</xdr:row>
                    <xdr:rowOff>22860</xdr:rowOff>
                  </from>
                  <to>
                    <xdr:col>1</xdr:col>
                    <xdr:colOff>0</xdr:colOff>
                    <xdr:row>52</xdr:row>
                    <xdr:rowOff>220980</xdr:rowOff>
                  </to>
                </anchor>
              </controlPr>
            </control>
          </mc:Choice>
        </mc:AlternateContent>
        <mc:AlternateContent xmlns:mc="http://schemas.openxmlformats.org/markup-compatibility/2006">
          <mc:Choice Requires="x14">
            <control shapeId="206872" r:id="rId28" name="Button 24">
              <controlPr defaultSize="0" print="0" autoFill="0" autoPict="0" macro="[1]!expandClick">
                <anchor moveWithCells="1" sizeWithCells="1">
                  <from>
                    <xdr:col>0</xdr:col>
                    <xdr:colOff>22860</xdr:colOff>
                    <xdr:row>53</xdr:row>
                    <xdr:rowOff>22860</xdr:rowOff>
                  </from>
                  <to>
                    <xdr:col>1</xdr:col>
                    <xdr:colOff>0</xdr:colOff>
                    <xdr:row>53</xdr:row>
                    <xdr:rowOff>220980</xdr:rowOff>
                  </to>
                </anchor>
              </controlPr>
            </control>
          </mc:Choice>
        </mc:AlternateContent>
        <mc:AlternateContent xmlns:mc="http://schemas.openxmlformats.org/markup-compatibility/2006">
          <mc:Choice Requires="x14">
            <control shapeId="206873" r:id="rId29" name="Button 25">
              <controlPr defaultSize="0" print="0" autoFill="0" autoPict="0" macro="[1]!expandClick">
                <anchor moveWithCells="1" sizeWithCells="1">
                  <from>
                    <xdr:col>0</xdr:col>
                    <xdr:colOff>22860</xdr:colOff>
                    <xdr:row>54</xdr:row>
                    <xdr:rowOff>22860</xdr:rowOff>
                  </from>
                  <to>
                    <xdr:col>1</xdr:col>
                    <xdr:colOff>0</xdr:colOff>
                    <xdr:row>54</xdr:row>
                    <xdr:rowOff>220980</xdr:rowOff>
                  </to>
                </anchor>
              </controlPr>
            </control>
          </mc:Choice>
        </mc:AlternateContent>
        <mc:AlternateContent xmlns:mc="http://schemas.openxmlformats.org/markup-compatibility/2006">
          <mc:Choice Requires="x14">
            <control shapeId="206874" r:id="rId30" name="Button 26">
              <controlPr defaultSize="0" print="0" autoFill="0" autoPict="0" macro="[1]!expandClick">
                <anchor moveWithCells="1" sizeWithCells="1">
                  <from>
                    <xdr:col>0</xdr:col>
                    <xdr:colOff>22860</xdr:colOff>
                    <xdr:row>55</xdr:row>
                    <xdr:rowOff>22860</xdr:rowOff>
                  </from>
                  <to>
                    <xdr:col>1</xdr:col>
                    <xdr:colOff>0</xdr:colOff>
                    <xdr:row>55</xdr:row>
                    <xdr:rowOff>220980</xdr:rowOff>
                  </to>
                </anchor>
              </controlPr>
            </control>
          </mc:Choice>
        </mc:AlternateContent>
        <mc:AlternateContent xmlns:mc="http://schemas.openxmlformats.org/markup-compatibility/2006">
          <mc:Choice Requires="x14">
            <control shapeId="206875" r:id="rId31" name="Button 27">
              <controlPr defaultSize="0" print="0" autoFill="0" autoPict="0" macro="[1]!expandClick">
                <anchor moveWithCells="1" sizeWithCells="1">
                  <from>
                    <xdr:col>0</xdr:col>
                    <xdr:colOff>22860</xdr:colOff>
                    <xdr:row>56</xdr:row>
                    <xdr:rowOff>22860</xdr:rowOff>
                  </from>
                  <to>
                    <xdr:col>1</xdr:col>
                    <xdr:colOff>0</xdr:colOff>
                    <xdr:row>56</xdr:row>
                    <xdr:rowOff>220980</xdr:rowOff>
                  </to>
                </anchor>
              </controlPr>
            </control>
          </mc:Choice>
        </mc:AlternateContent>
        <mc:AlternateContent xmlns:mc="http://schemas.openxmlformats.org/markup-compatibility/2006">
          <mc:Choice Requires="x14">
            <control shapeId="206876" r:id="rId32" name="Button 28">
              <controlPr defaultSize="0" print="0" autoFill="0" autoPict="0" macro="[1]!expandClick">
                <anchor moveWithCells="1" sizeWithCells="1">
                  <from>
                    <xdr:col>0</xdr:col>
                    <xdr:colOff>22860</xdr:colOff>
                    <xdr:row>57</xdr:row>
                    <xdr:rowOff>22860</xdr:rowOff>
                  </from>
                  <to>
                    <xdr:col>1</xdr:col>
                    <xdr:colOff>0</xdr:colOff>
                    <xdr:row>57</xdr:row>
                    <xdr:rowOff>220980</xdr:rowOff>
                  </to>
                </anchor>
              </controlPr>
            </control>
          </mc:Choice>
        </mc:AlternateContent>
        <mc:AlternateContent xmlns:mc="http://schemas.openxmlformats.org/markup-compatibility/2006">
          <mc:Choice Requires="x14">
            <control shapeId="206877" r:id="rId33" name="Button 29">
              <controlPr defaultSize="0" print="0" autoFill="0" autoPict="0" macro="[1]!expandClick">
                <anchor moveWithCells="1" sizeWithCells="1">
                  <from>
                    <xdr:col>0</xdr:col>
                    <xdr:colOff>22860</xdr:colOff>
                    <xdr:row>58</xdr:row>
                    <xdr:rowOff>22860</xdr:rowOff>
                  </from>
                  <to>
                    <xdr:col>1</xdr:col>
                    <xdr:colOff>0</xdr:colOff>
                    <xdr:row>58</xdr:row>
                    <xdr:rowOff>220980</xdr:rowOff>
                  </to>
                </anchor>
              </controlPr>
            </control>
          </mc:Choice>
        </mc:AlternateContent>
        <mc:AlternateContent xmlns:mc="http://schemas.openxmlformats.org/markup-compatibility/2006">
          <mc:Choice Requires="x14">
            <control shapeId="206878" r:id="rId34" name="Button 30">
              <controlPr defaultSize="0" print="0" autoFill="0" autoPict="0" macro="[1]!expandClick">
                <anchor moveWithCells="1" sizeWithCells="1">
                  <from>
                    <xdr:col>0</xdr:col>
                    <xdr:colOff>22860</xdr:colOff>
                    <xdr:row>59</xdr:row>
                    <xdr:rowOff>22860</xdr:rowOff>
                  </from>
                  <to>
                    <xdr:col>1</xdr:col>
                    <xdr:colOff>0</xdr:colOff>
                    <xdr:row>59</xdr:row>
                    <xdr:rowOff>220980</xdr:rowOff>
                  </to>
                </anchor>
              </controlPr>
            </control>
          </mc:Choice>
        </mc:AlternateContent>
        <mc:AlternateContent xmlns:mc="http://schemas.openxmlformats.org/markup-compatibility/2006">
          <mc:Choice Requires="x14">
            <control shapeId="206879" r:id="rId35" name="Button 31">
              <controlPr defaultSize="0" print="0" autoFill="0" autoPict="0" macro="[1]!expandClick">
                <anchor moveWithCells="1" sizeWithCells="1">
                  <from>
                    <xdr:col>0</xdr:col>
                    <xdr:colOff>22860</xdr:colOff>
                    <xdr:row>60</xdr:row>
                    <xdr:rowOff>22860</xdr:rowOff>
                  </from>
                  <to>
                    <xdr:col>1</xdr:col>
                    <xdr:colOff>0</xdr:colOff>
                    <xdr:row>60</xdr:row>
                    <xdr:rowOff>220980</xdr:rowOff>
                  </to>
                </anchor>
              </controlPr>
            </control>
          </mc:Choice>
        </mc:AlternateContent>
        <mc:AlternateContent xmlns:mc="http://schemas.openxmlformats.org/markup-compatibility/2006">
          <mc:Choice Requires="x14">
            <control shapeId="206880" r:id="rId36" name="Button 32">
              <controlPr defaultSize="0" print="0" autoFill="0" autoPict="0" macro="[1]!expandClick">
                <anchor moveWithCells="1" sizeWithCells="1">
                  <from>
                    <xdr:col>0</xdr:col>
                    <xdr:colOff>22860</xdr:colOff>
                    <xdr:row>61</xdr:row>
                    <xdr:rowOff>22860</xdr:rowOff>
                  </from>
                  <to>
                    <xdr:col>1</xdr:col>
                    <xdr:colOff>0</xdr:colOff>
                    <xdr:row>61</xdr:row>
                    <xdr:rowOff>220980</xdr:rowOff>
                  </to>
                </anchor>
              </controlPr>
            </control>
          </mc:Choice>
        </mc:AlternateContent>
        <mc:AlternateContent xmlns:mc="http://schemas.openxmlformats.org/markup-compatibility/2006">
          <mc:Choice Requires="x14">
            <control shapeId="206881" r:id="rId37" name="Button 33">
              <controlPr defaultSize="0" print="0" autoFill="0" autoPict="0" macro="[1]!expandClick">
                <anchor moveWithCells="1" sizeWithCells="1">
                  <from>
                    <xdr:col>0</xdr:col>
                    <xdr:colOff>22860</xdr:colOff>
                    <xdr:row>62</xdr:row>
                    <xdr:rowOff>22860</xdr:rowOff>
                  </from>
                  <to>
                    <xdr:col>1</xdr:col>
                    <xdr:colOff>0</xdr:colOff>
                    <xdr:row>62</xdr:row>
                    <xdr:rowOff>220980</xdr:rowOff>
                  </to>
                </anchor>
              </controlPr>
            </control>
          </mc:Choice>
        </mc:AlternateContent>
        <mc:AlternateContent xmlns:mc="http://schemas.openxmlformats.org/markup-compatibility/2006">
          <mc:Choice Requires="x14">
            <control shapeId="206882" r:id="rId38" name="Button 34">
              <controlPr defaultSize="0" print="0" autoFill="0" autoPict="0" macro="[1]!expandClick">
                <anchor moveWithCells="1" sizeWithCells="1">
                  <from>
                    <xdr:col>0</xdr:col>
                    <xdr:colOff>22860</xdr:colOff>
                    <xdr:row>63</xdr:row>
                    <xdr:rowOff>22860</xdr:rowOff>
                  </from>
                  <to>
                    <xdr:col>1</xdr:col>
                    <xdr:colOff>0</xdr:colOff>
                    <xdr:row>63</xdr:row>
                    <xdr:rowOff>220980</xdr:rowOff>
                  </to>
                </anchor>
              </controlPr>
            </control>
          </mc:Choice>
        </mc:AlternateContent>
        <mc:AlternateContent xmlns:mc="http://schemas.openxmlformats.org/markup-compatibility/2006">
          <mc:Choice Requires="x14">
            <control shapeId="206883" r:id="rId39" name="Button 35">
              <controlPr defaultSize="0" print="0" autoFill="0" autoPict="0" macro="[1]!expandClick">
                <anchor moveWithCells="1" sizeWithCells="1">
                  <from>
                    <xdr:col>0</xdr:col>
                    <xdr:colOff>22860</xdr:colOff>
                    <xdr:row>64</xdr:row>
                    <xdr:rowOff>22860</xdr:rowOff>
                  </from>
                  <to>
                    <xdr:col>1</xdr:col>
                    <xdr:colOff>0</xdr:colOff>
                    <xdr:row>64</xdr:row>
                    <xdr:rowOff>220980</xdr:rowOff>
                  </to>
                </anchor>
              </controlPr>
            </control>
          </mc:Choice>
        </mc:AlternateContent>
        <mc:AlternateContent xmlns:mc="http://schemas.openxmlformats.org/markup-compatibility/2006">
          <mc:Choice Requires="x14">
            <control shapeId="206884" r:id="rId40" name="Button 36">
              <controlPr defaultSize="0" print="0" autoFill="0" autoPict="0" macro="[1]!expandClick">
                <anchor moveWithCells="1" sizeWithCells="1">
                  <from>
                    <xdr:col>0</xdr:col>
                    <xdr:colOff>22860</xdr:colOff>
                    <xdr:row>65</xdr:row>
                    <xdr:rowOff>22860</xdr:rowOff>
                  </from>
                  <to>
                    <xdr:col>1</xdr:col>
                    <xdr:colOff>0</xdr:colOff>
                    <xdr:row>65</xdr:row>
                    <xdr:rowOff>220980</xdr:rowOff>
                  </to>
                </anchor>
              </controlPr>
            </control>
          </mc:Choice>
        </mc:AlternateContent>
        <mc:AlternateContent xmlns:mc="http://schemas.openxmlformats.org/markup-compatibility/2006">
          <mc:Choice Requires="x14">
            <control shapeId="206885" r:id="rId41" name="Button 37">
              <controlPr defaultSize="0" print="0" autoFill="0" autoPict="0" macro="[1]!expandClick">
                <anchor moveWithCells="1" sizeWithCells="1">
                  <from>
                    <xdr:col>0</xdr:col>
                    <xdr:colOff>22860</xdr:colOff>
                    <xdr:row>66</xdr:row>
                    <xdr:rowOff>22860</xdr:rowOff>
                  </from>
                  <to>
                    <xdr:col>1</xdr:col>
                    <xdr:colOff>0</xdr:colOff>
                    <xdr:row>66</xdr:row>
                    <xdr:rowOff>220980</xdr:rowOff>
                  </to>
                </anchor>
              </controlPr>
            </control>
          </mc:Choice>
        </mc:AlternateContent>
        <mc:AlternateContent xmlns:mc="http://schemas.openxmlformats.org/markup-compatibility/2006">
          <mc:Choice Requires="x14">
            <control shapeId="206886" r:id="rId42" name="Button 38">
              <controlPr defaultSize="0" print="0" autoFill="0" autoPict="0" macro="[1]!expandClick">
                <anchor moveWithCells="1" sizeWithCells="1">
                  <from>
                    <xdr:col>0</xdr:col>
                    <xdr:colOff>22860</xdr:colOff>
                    <xdr:row>67</xdr:row>
                    <xdr:rowOff>22860</xdr:rowOff>
                  </from>
                  <to>
                    <xdr:col>1</xdr:col>
                    <xdr:colOff>0</xdr:colOff>
                    <xdr:row>67</xdr:row>
                    <xdr:rowOff>220980</xdr:rowOff>
                  </to>
                </anchor>
              </controlPr>
            </control>
          </mc:Choice>
        </mc:AlternateContent>
        <mc:AlternateContent xmlns:mc="http://schemas.openxmlformats.org/markup-compatibility/2006">
          <mc:Choice Requires="x14">
            <control shapeId="206887" r:id="rId43" name="Button 39">
              <controlPr defaultSize="0" print="0" autoFill="0" autoPict="0" macro="[1]!expandClick">
                <anchor moveWithCells="1" sizeWithCells="1">
                  <from>
                    <xdr:col>0</xdr:col>
                    <xdr:colOff>22860</xdr:colOff>
                    <xdr:row>68</xdr:row>
                    <xdr:rowOff>22860</xdr:rowOff>
                  </from>
                  <to>
                    <xdr:col>1</xdr:col>
                    <xdr:colOff>0</xdr:colOff>
                    <xdr:row>68</xdr:row>
                    <xdr:rowOff>220980</xdr:rowOff>
                  </to>
                </anchor>
              </controlPr>
            </control>
          </mc:Choice>
        </mc:AlternateContent>
        <mc:AlternateContent xmlns:mc="http://schemas.openxmlformats.org/markup-compatibility/2006">
          <mc:Choice Requires="x14">
            <control shapeId="206888" r:id="rId44" name="Button 40">
              <controlPr defaultSize="0" print="0" autoFill="0" autoPict="0" macro="[1]!expandClick">
                <anchor moveWithCells="1" sizeWithCells="1">
                  <from>
                    <xdr:col>0</xdr:col>
                    <xdr:colOff>22860</xdr:colOff>
                    <xdr:row>69</xdr:row>
                    <xdr:rowOff>22860</xdr:rowOff>
                  </from>
                  <to>
                    <xdr:col>1</xdr:col>
                    <xdr:colOff>0</xdr:colOff>
                    <xdr:row>69</xdr:row>
                    <xdr:rowOff>220980</xdr:rowOff>
                  </to>
                </anchor>
              </controlPr>
            </control>
          </mc:Choice>
        </mc:AlternateContent>
        <mc:AlternateContent xmlns:mc="http://schemas.openxmlformats.org/markup-compatibility/2006">
          <mc:Choice Requires="x14">
            <control shapeId="206889" r:id="rId45" name="Button 41">
              <controlPr defaultSize="0" print="0" autoFill="0" autoPict="0" macro="[1]!expandClick">
                <anchor moveWithCells="1" sizeWithCells="1">
                  <from>
                    <xdr:col>0</xdr:col>
                    <xdr:colOff>22860</xdr:colOff>
                    <xdr:row>70</xdr:row>
                    <xdr:rowOff>22860</xdr:rowOff>
                  </from>
                  <to>
                    <xdr:col>1</xdr:col>
                    <xdr:colOff>0</xdr:colOff>
                    <xdr:row>70</xdr:row>
                    <xdr:rowOff>220980</xdr:rowOff>
                  </to>
                </anchor>
              </controlPr>
            </control>
          </mc:Choice>
        </mc:AlternateContent>
        <mc:AlternateContent xmlns:mc="http://schemas.openxmlformats.org/markup-compatibility/2006">
          <mc:Choice Requires="x14">
            <control shapeId="206890" r:id="rId46" name="Button 42">
              <controlPr defaultSize="0" print="0" autoFill="0" autoPict="0" macro="[1]!expandClick">
                <anchor moveWithCells="1" sizeWithCells="1">
                  <from>
                    <xdr:col>0</xdr:col>
                    <xdr:colOff>22860</xdr:colOff>
                    <xdr:row>71</xdr:row>
                    <xdr:rowOff>22860</xdr:rowOff>
                  </from>
                  <to>
                    <xdr:col>1</xdr:col>
                    <xdr:colOff>0</xdr:colOff>
                    <xdr:row>71</xdr:row>
                    <xdr:rowOff>220980</xdr:rowOff>
                  </to>
                </anchor>
              </controlPr>
            </control>
          </mc:Choice>
        </mc:AlternateContent>
        <mc:AlternateContent xmlns:mc="http://schemas.openxmlformats.org/markup-compatibility/2006">
          <mc:Choice Requires="x14">
            <control shapeId="206891" r:id="rId47" name="Button 43">
              <controlPr defaultSize="0" print="0" autoFill="0" autoPict="0" macro="[1]!expandClick">
                <anchor moveWithCells="1" sizeWithCells="1">
                  <from>
                    <xdr:col>0</xdr:col>
                    <xdr:colOff>22860</xdr:colOff>
                    <xdr:row>72</xdr:row>
                    <xdr:rowOff>22860</xdr:rowOff>
                  </from>
                  <to>
                    <xdr:col>1</xdr:col>
                    <xdr:colOff>0</xdr:colOff>
                    <xdr:row>72</xdr:row>
                    <xdr:rowOff>220980</xdr:rowOff>
                  </to>
                </anchor>
              </controlPr>
            </control>
          </mc:Choice>
        </mc:AlternateContent>
        <mc:AlternateContent xmlns:mc="http://schemas.openxmlformats.org/markup-compatibility/2006">
          <mc:Choice Requires="x14">
            <control shapeId="206892" r:id="rId48" name="Button 44">
              <controlPr defaultSize="0" print="0" autoFill="0" autoPict="0" macro="[1]!expandClick">
                <anchor moveWithCells="1" sizeWithCells="1">
                  <from>
                    <xdr:col>0</xdr:col>
                    <xdr:colOff>22860</xdr:colOff>
                    <xdr:row>73</xdr:row>
                    <xdr:rowOff>22860</xdr:rowOff>
                  </from>
                  <to>
                    <xdr:col>1</xdr:col>
                    <xdr:colOff>0</xdr:colOff>
                    <xdr:row>73</xdr:row>
                    <xdr:rowOff>220980</xdr:rowOff>
                  </to>
                </anchor>
              </controlPr>
            </control>
          </mc:Choice>
        </mc:AlternateContent>
        <mc:AlternateContent xmlns:mc="http://schemas.openxmlformats.org/markup-compatibility/2006">
          <mc:Choice Requires="x14">
            <control shapeId="206893" r:id="rId49" name="Button 45">
              <controlPr defaultSize="0" print="0" autoFill="0" autoPict="0" macro="[1]!expandClick">
                <anchor moveWithCells="1" sizeWithCells="1">
                  <from>
                    <xdr:col>0</xdr:col>
                    <xdr:colOff>22860</xdr:colOff>
                    <xdr:row>74</xdr:row>
                    <xdr:rowOff>22860</xdr:rowOff>
                  </from>
                  <to>
                    <xdr:col>1</xdr:col>
                    <xdr:colOff>0</xdr:colOff>
                    <xdr:row>74</xdr:row>
                    <xdr:rowOff>220980</xdr:rowOff>
                  </to>
                </anchor>
              </controlPr>
            </control>
          </mc:Choice>
        </mc:AlternateContent>
        <mc:AlternateContent xmlns:mc="http://schemas.openxmlformats.org/markup-compatibility/2006">
          <mc:Choice Requires="x14">
            <control shapeId="206894" r:id="rId50" name="Button 46">
              <controlPr defaultSize="0" print="0" autoFill="0" autoPict="0" macro="[1]!expandClick">
                <anchor moveWithCells="1" sizeWithCells="1">
                  <from>
                    <xdr:col>0</xdr:col>
                    <xdr:colOff>22860</xdr:colOff>
                    <xdr:row>75</xdr:row>
                    <xdr:rowOff>22860</xdr:rowOff>
                  </from>
                  <to>
                    <xdr:col>1</xdr:col>
                    <xdr:colOff>0</xdr:colOff>
                    <xdr:row>75</xdr:row>
                    <xdr:rowOff>220980</xdr:rowOff>
                  </to>
                </anchor>
              </controlPr>
            </control>
          </mc:Choice>
        </mc:AlternateContent>
        <mc:AlternateContent xmlns:mc="http://schemas.openxmlformats.org/markup-compatibility/2006">
          <mc:Choice Requires="x14">
            <control shapeId="206895" r:id="rId51" name="Button 47">
              <controlPr defaultSize="0" print="0" autoFill="0" autoPict="0" macro="[1]!expandClick">
                <anchor moveWithCells="1" sizeWithCells="1">
                  <from>
                    <xdr:col>0</xdr:col>
                    <xdr:colOff>22860</xdr:colOff>
                    <xdr:row>76</xdr:row>
                    <xdr:rowOff>22860</xdr:rowOff>
                  </from>
                  <to>
                    <xdr:col>1</xdr:col>
                    <xdr:colOff>0</xdr:colOff>
                    <xdr:row>76</xdr:row>
                    <xdr:rowOff>220980</xdr:rowOff>
                  </to>
                </anchor>
              </controlPr>
            </control>
          </mc:Choice>
        </mc:AlternateContent>
        <mc:AlternateContent xmlns:mc="http://schemas.openxmlformats.org/markup-compatibility/2006">
          <mc:Choice Requires="x14">
            <control shapeId="206896" r:id="rId52" name="Button 48">
              <controlPr defaultSize="0" print="0" autoFill="0" autoPict="0" macro="[1]!expandClick">
                <anchor moveWithCells="1" sizeWithCells="1">
                  <from>
                    <xdr:col>0</xdr:col>
                    <xdr:colOff>22860</xdr:colOff>
                    <xdr:row>77</xdr:row>
                    <xdr:rowOff>22860</xdr:rowOff>
                  </from>
                  <to>
                    <xdr:col>1</xdr:col>
                    <xdr:colOff>0</xdr:colOff>
                    <xdr:row>77</xdr:row>
                    <xdr:rowOff>220980</xdr:rowOff>
                  </to>
                </anchor>
              </controlPr>
            </control>
          </mc:Choice>
        </mc:AlternateContent>
        <mc:AlternateContent xmlns:mc="http://schemas.openxmlformats.org/markup-compatibility/2006">
          <mc:Choice Requires="x14">
            <control shapeId="206897" r:id="rId53" name="Button 49">
              <controlPr defaultSize="0" print="0" autoFill="0" autoPict="0" macro="[1]!expandClick">
                <anchor moveWithCells="1" sizeWithCells="1">
                  <from>
                    <xdr:col>0</xdr:col>
                    <xdr:colOff>22860</xdr:colOff>
                    <xdr:row>78</xdr:row>
                    <xdr:rowOff>22860</xdr:rowOff>
                  </from>
                  <to>
                    <xdr:col>1</xdr:col>
                    <xdr:colOff>0</xdr:colOff>
                    <xdr:row>78</xdr:row>
                    <xdr:rowOff>220980</xdr:rowOff>
                  </to>
                </anchor>
              </controlPr>
            </control>
          </mc:Choice>
        </mc:AlternateContent>
        <mc:AlternateContent xmlns:mc="http://schemas.openxmlformats.org/markup-compatibility/2006">
          <mc:Choice Requires="x14">
            <control shapeId="206898" r:id="rId54" name="Button 50">
              <controlPr defaultSize="0" print="0" autoFill="0" autoPict="0" macro="[1]!expandClick">
                <anchor moveWithCells="1" sizeWithCells="1">
                  <from>
                    <xdr:col>0</xdr:col>
                    <xdr:colOff>22860</xdr:colOff>
                    <xdr:row>79</xdr:row>
                    <xdr:rowOff>22860</xdr:rowOff>
                  </from>
                  <to>
                    <xdr:col>1</xdr:col>
                    <xdr:colOff>0</xdr:colOff>
                    <xdr:row>79</xdr:row>
                    <xdr:rowOff>220980</xdr:rowOff>
                  </to>
                </anchor>
              </controlPr>
            </control>
          </mc:Choice>
        </mc:AlternateContent>
        <mc:AlternateContent xmlns:mc="http://schemas.openxmlformats.org/markup-compatibility/2006">
          <mc:Choice Requires="x14">
            <control shapeId="206899" r:id="rId55" name="Button 51">
              <controlPr defaultSize="0" print="0" autoFill="0" autoPict="0" macro="[1]!expandClick">
                <anchor moveWithCells="1" sizeWithCells="1">
                  <from>
                    <xdr:col>0</xdr:col>
                    <xdr:colOff>22860</xdr:colOff>
                    <xdr:row>80</xdr:row>
                    <xdr:rowOff>22860</xdr:rowOff>
                  </from>
                  <to>
                    <xdr:col>1</xdr:col>
                    <xdr:colOff>0</xdr:colOff>
                    <xdr:row>80</xdr:row>
                    <xdr:rowOff>220980</xdr:rowOff>
                  </to>
                </anchor>
              </controlPr>
            </control>
          </mc:Choice>
        </mc:AlternateContent>
        <mc:AlternateContent xmlns:mc="http://schemas.openxmlformats.org/markup-compatibility/2006">
          <mc:Choice Requires="x14">
            <control shapeId="206900" r:id="rId56" name="Button 52">
              <controlPr defaultSize="0" print="0" autoFill="0" autoPict="0" macro="[1]!expandClick">
                <anchor moveWithCells="1" sizeWithCells="1">
                  <from>
                    <xdr:col>0</xdr:col>
                    <xdr:colOff>22860</xdr:colOff>
                    <xdr:row>81</xdr:row>
                    <xdr:rowOff>22860</xdr:rowOff>
                  </from>
                  <to>
                    <xdr:col>1</xdr:col>
                    <xdr:colOff>0</xdr:colOff>
                    <xdr:row>81</xdr:row>
                    <xdr:rowOff>220980</xdr:rowOff>
                  </to>
                </anchor>
              </controlPr>
            </control>
          </mc:Choice>
        </mc:AlternateContent>
        <mc:AlternateContent xmlns:mc="http://schemas.openxmlformats.org/markup-compatibility/2006">
          <mc:Choice Requires="x14">
            <control shapeId="206901" r:id="rId57" name="Button 53">
              <controlPr defaultSize="0" print="0" autoFill="0" autoPict="0" macro="[1]!expandClick">
                <anchor moveWithCells="1" sizeWithCells="1">
                  <from>
                    <xdr:col>0</xdr:col>
                    <xdr:colOff>22860</xdr:colOff>
                    <xdr:row>82</xdr:row>
                    <xdr:rowOff>22860</xdr:rowOff>
                  </from>
                  <to>
                    <xdr:col>1</xdr:col>
                    <xdr:colOff>0</xdr:colOff>
                    <xdr:row>82</xdr:row>
                    <xdr:rowOff>220980</xdr:rowOff>
                  </to>
                </anchor>
              </controlPr>
            </control>
          </mc:Choice>
        </mc:AlternateContent>
        <mc:AlternateContent xmlns:mc="http://schemas.openxmlformats.org/markup-compatibility/2006">
          <mc:Choice Requires="x14">
            <control shapeId="206902" r:id="rId58" name="Button 54">
              <controlPr defaultSize="0" print="0" autoFill="0" autoPict="0" macro="[1]!expandClick">
                <anchor moveWithCells="1" sizeWithCells="1">
                  <from>
                    <xdr:col>0</xdr:col>
                    <xdr:colOff>22860</xdr:colOff>
                    <xdr:row>83</xdr:row>
                    <xdr:rowOff>22860</xdr:rowOff>
                  </from>
                  <to>
                    <xdr:col>1</xdr:col>
                    <xdr:colOff>0</xdr:colOff>
                    <xdr:row>83</xdr:row>
                    <xdr:rowOff>220980</xdr:rowOff>
                  </to>
                </anchor>
              </controlPr>
            </control>
          </mc:Choice>
        </mc:AlternateContent>
        <mc:AlternateContent xmlns:mc="http://schemas.openxmlformats.org/markup-compatibility/2006">
          <mc:Choice Requires="x14">
            <control shapeId="206903" r:id="rId59" name="Button 55">
              <controlPr defaultSize="0" print="0" autoFill="0" autoPict="0" macro="[1]!expandClick">
                <anchor moveWithCells="1" sizeWithCells="1">
                  <from>
                    <xdr:col>0</xdr:col>
                    <xdr:colOff>22860</xdr:colOff>
                    <xdr:row>84</xdr:row>
                    <xdr:rowOff>22860</xdr:rowOff>
                  </from>
                  <to>
                    <xdr:col>1</xdr:col>
                    <xdr:colOff>0</xdr:colOff>
                    <xdr:row>84</xdr:row>
                    <xdr:rowOff>220980</xdr:rowOff>
                  </to>
                </anchor>
              </controlPr>
            </control>
          </mc:Choice>
        </mc:AlternateContent>
        <mc:AlternateContent xmlns:mc="http://schemas.openxmlformats.org/markup-compatibility/2006">
          <mc:Choice Requires="x14">
            <control shapeId="206904" r:id="rId60" name="Button 56">
              <controlPr defaultSize="0" print="0" autoFill="0" autoPict="0" macro="[1]!expandClick">
                <anchor moveWithCells="1" sizeWithCells="1">
                  <from>
                    <xdr:col>0</xdr:col>
                    <xdr:colOff>22860</xdr:colOff>
                    <xdr:row>85</xdr:row>
                    <xdr:rowOff>22860</xdr:rowOff>
                  </from>
                  <to>
                    <xdr:col>1</xdr:col>
                    <xdr:colOff>0</xdr:colOff>
                    <xdr:row>85</xdr:row>
                    <xdr:rowOff>220980</xdr:rowOff>
                  </to>
                </anchor>
              </controlPr>
            </control>
          </mc:Choice>
        </mc:AlternateContent>
        <mc:AlternateContent xmlns:mc="http://schemas.openxmlformats.org/markup-compatibility/2006">
          <mc:Choice Requires="x14">
            <control shapeId="206905" r:id="rId61" name="Button 57">
              <controlPr defaultSize="0" print="0" autoFill="0" autoPict="0" macro="[1]!expandClick">
                <anchor moveWithCells="1" sizeWithCells="1">
                  <from>
                    <xdr:col>0</xdr:col>
                    <xdr:colOff>22860</xdr:colOff>
                    <xdr:row>86</xdr:row>
                    <xdr:rowOff>22860</xdr:rowOff>
                  </from>
                  <to>
                    <xdr:col>1</xdr:col>
                    <xdr:colOff>0</xdr:colOff>
                    <xdr:row>86</xdr:row>
                    <xdr:rowOff>220980</xdr:rowOff>
                  </to>
                </anchor>
              </controlPr>
            </control>
          </mc:Choice>
        </mc:AlternateContent>
        <mc:AlternateContent xmlns:mc="http://schemas.openxmlformats.org/markup-compatibility/2006">
          <mc:Choice Requires="x14">
            <control shapeId="206906" r:id="rId62" name="Button 58">
              <controlPr defaultSize="0" print="0" autoFill="0" autoPict="0" macro="[1]!expandClick">
                <anchor moveWithCells="1" sizeWithCells="1">
                  <from>
                    <xdr:col>0</xdr:col>
                    <xdr:colOff>22860</xdr:colOff>
                    <xdr:row>87</xdr:row>
                    <xdr:rowOff>22860</xdr:rowOff>
                  </from>
                  <to>
                    <xdr:col>1</xdr:col>
                    <xdr:colOff>0</xdr:colOff>
                    <xdr:row>87</xdr:row>
                    <xdr:rowOff>220980</xdr:rowOff>
                  </to>
                </anchor>
              </controlPr>
            </control>
          </mc:Choice>
        </mc:AlternateContent>
        <mc:AlternateContent xmlns:mc="http://schemas.openxmlformats.org/markup-compatibility/2006">
          <mc:Choice Requires="x14">
            <control shapeId="206907" r:id="rId63" name="Button 59">
              <controlPr defaultSize="0" print="0" autoFill="0" autoPict="0" macro="[1]!expandClick">
                <anchor moveWithCells="1" sizeWithCells="1">
                  <from>
                    <xdr:col>0</xdr:col>
                    <xdr:colOff>22860</xdr:colOff>
                    <xdr:row>88</xdr:row>
                    <xdr:rowOff>22860</xdr:rowOff>
                  </from>
                  <to>
                    <xdr:col>1</xdr:col>
                    <xdr:colOff>0</xdr:colOff>
                    <xdr:row>88</xdr:row>
                    <xdr:rowOff>220980</xdr:rowOff>
                  </to>
                </anchor>
              </controlPr>
            </control>
          </mc:Choice>
        </mc:AlternateContent>
        <mc:AlternateContent xmlns:mc="http://schemas.openxmlformats.org/markup-compatibility/2006">
          <mc:Choice Requires="x14">
            <control shapeId="206908" r:id="rId64" name="Button 60">
              <controlPr defaultSize="0" print="0" autoFill="0" autoPict="0" macro="[1]!expandClick">
                <anchor moveWithCells="1" sizeWithCells="1">
                  <from>
                    <xdr:col>0</xdr:col>
                    <xdr:colOff>22860</xdr:colOff>
                    <xdr:row>89</xdr:row>
                    <xdr:rowOff>22860</xdr:rowOff>
                  </from>
                  <to>
                    <xdr:col>1</xdr:col>
                    <xdr:colOff>0</xdr:colOff>
                    <xdr:row>89</xdr:row>
                    <xdr:rowOff>220980</xdr:rowOff>
                  </to>
                </anchor>
              </controlPr>
            </control>
          </mc:Choice>
        </mc:AlternateContent>
        <mc:AlternateContent xmlns:mc="http://schemas.openxmlformats.org/markup-compatibility/2006">
          <mc:Choice Requires="x14">
            <control shapeId="206909" r:id="rId65" name="Button 61">
              <controlPr defaultSize="0" print="0" autoFill="0" autoPict="0" macro="[1]!expandClick">
                <anchor moveWithCells="1" sizeWithCells="1">
                  <from>
                    <xdr:col>0</xdr:col>
                    <xdr:colOff>22860</xdr:colOff>
                    <xdr:row>90</xdr:row>
                    <xdr:rowOff>22860</xdr:rowOff>
                  </from>
                  <to>
                    <xdr:col>1</xdr:col>
                    <xdr:colOff>0</xdr:colOff>
                    <xdr:row>90</xdr:row>
                    <xdr:rowOff>220980</xdr:rowOff>
                  </to>
                </anchor>
              </controlPr>
            </control>
          </mc:Choice>
        </mc:AlternateContent>
        <mc:AlternateContent xmlns:mc="http://schemas.openxmlformats.org/markup-compatibility/2006">
          <mc:Choice Requires="x14">
            <control shapeId="206910" r:id="rId66" name="Button 62">
              <controlPr defaultSize="0" print="0" autoFill="0" autoPict="0" macro="[1]!expandClick">
                <anchor moveWithCells="1" sizeWithCells="1">
                  <from>
                    <xdr:col>0</xdr:col>
                    <xdr:colOff>22860</xdr:colOff>
                    <xdr:row>91</xdr:row>
                    <xdr:rowOff>22860</xdr:rowOff>
                  </from>
                  <to>
                    <xdr:col>1</xdr:col>
                    <xdr:colOff>0</xdr:colOff>
                    <xdr:row>91</xdr:row>
                    <xdr:rowOff>220980</xdr:rowOff>
                  </to>
                </anchor>
              </controlPr>
            </control>
          </mc:Choice>
        </mc:AlternateContent>
        <mc:AlternateContent xmlns:mc="http://schemas.openxmlformats.org/markup-compatibility/2006">
          <mc:Choice Requires="x14">
            <control shapeId="206911" r:id="rId67" name="Button 63">
              <controlPr defaultSize="0" print="0" autoFill="0" autoPict="0" macro="[1]!expandClick">
                <anchor moveWithCells="1" sizeWithCells="1">
                  <from>
                    <xdr:col>0</xdr:col>
                    <xdr:colOff>22860</xdr:colOff>
                    <xdr:row>92</xdr:row>
                    <xdr:rowOff>22860</xdr:rowOff>
                  </from>
                  <to>
                    <xdr:col>1</xdr:col>
                    <xdr:colOff>0</xdr:colOff>
                    <xdr:row>92</xdr:row>
                    <xdr:rowOff>220980</xdr:rowOff>
                  </to>
                </anchor>
              </controlPr>
            </control>
          </mc:Choice>
        </mc:AlternateContent>
        <mc:AlternateContent xmlns:mc="http://schemas.openxmlformats.org/markup-compatibility/2006">
          <mc:Choice Requires="x14">
            <control shapeId="206912" r:id="rId68" name="Button 64">
              <controlPr defaultSize="0" print="0" autoFill="0" autoPict="0" macro="[1]!expandClick">
                <anchor moveWithCells="1" sizeWithCells="1">
                  <from>
                    <xdr:col>0</xdr:col>
                    <xdr:colOff>22860</xdr:colOff>
                    <xdr:row>93</xdr:row>
                    <xdr:rowOff>22860</xdr:rowOff>
                  </from>
                  <to>
                    <xdr:col>1</xdr:col>
                    <xdr:colOff>0</xdr:colOff>
                    <xdr:row>93</xdr:row>
                    <xdr:rowOff>220980</xdr:rowOff>
                  </to>
                </anchor>
              </controlPr>
            </control>
          </mc:Choice>
        </mc:AlternateContent>
        <mc:AlternateContent xmlns:mc="http://schemas.openxmlformats.org/markup-compatibility/2006">
          <mc:Choice Requires="x14">
            <control shapeId="206913" r:id="rId69" name="Button 65">
              <controlPr defaultSize="0" print="0" autoFill="0" autoPict="0" macro="[1]!expandClick">
                <anchor moveWithCells="1" sizeWithCells="1">
                  <from>
                    <xdr:col>0</xdr:col>
                    <xdr:colOff>22860</xdr:colOff>
                    <xdr:row>94</xdr:row>
                    <xdr:rowOff>22860</xdr:rowOff>
                  </from>
                  <to>
                    <xdr:col>1</xdr:col>
                    <xdr:colOff>0</xdr:colOff>
                    <xdr:row>94</xdr:row>
                    <xdr:rowOff>220980</xdr:rowOff>
                  </to>
                </anchor>
              </controlPr>
            </control>
          </mc:Choice>
        </mc:AlternateContent>
        <mc:AlternateContent xmlns:mc="http://schemas.openxmlformats.org/markup-compatibility/2006">
          <mc:Choice Requires="x14">
            <control shapeId="206914" r:id="rId70" name="Button 66">
              <controlPr defaultSize="0" print="0" autoFill="0" autoPict="0" macro="[1]!expandClick">
                <anchor moveWithCells="1" sizeWithCells="1">
                  <from>
                    <xdr:col>0</xdr:col>
                    <xdr:colOff>22860</xdr:colOff>
                    <xdr:row>95</xdr:row>
                    <xdr:rowOff>22860</xdr:rowOff>
                  </from>
                  <to>
                    <xdr:col>1</xdr:col>
                    <xdr:colOff>0</xdr:colOff>
                    <xdr:row>95</xdr:row>
                    <xdr:rowOff>220980</xdr:rowOff>
                  </to>
                </anchor>
              </controlPr>
            </control>
          </mc:Choice>
        </mc:AlternateContent>
        <mc:AlternateContent xmlns:mc="http://schemas.openxmlformats.org/markup-compatibility/2006">
          <mc:Choice Requires="x14">
            <control shapeId="206915" r:id="rId71" name="Button 67">
              <controlPr defaultSize="0" print="0" autoFill="0" autoPict="0" macro="[1]!expandClick">
                <anchor moveWithCells="1" sizeWithCells="1">
                  <from>
                    <xdr:col>0</xdr:col>
                    <xdr:colOff>22860</xdr:colOff>
                    <xdr:row>96</xdr:row>
                    <xdr:rowOff>22860</xdr:rowOff>
                  </from>
                  <to>
                    <xdr:col>1</xdr:col>
                    <xdr:colOff>0</xdr:colOff>
                    <xdr:row>96</xdr:row>
                    <xdr:rowOff>220980</xdr:rowOff>
                  </to>
                </anchor>
              </controlPr>
            </control>
          </mc:Choice>
        </mc:AlternateContent>
        <mc:AlternateContent xmlns:mc="http://schemas.openxmlformats.org/markup-compatibility/2006">
          <mc:Choice Requires="x14">
            <control shapeId="206916" r:id="rId72" name="Button 68">
              <controlPr defaultSize="0" print="0" autoFill="0" autoPict="0" macro="[1]!expandClick">
                <anchor moveWithCells="1" sizeWithCells="1">
                  <from>
                    <xdr:col>0</xdr:col>
                    <xdr:colOff>22860</xdr:colOff>
                    <xdr:row>97</xdr:row>
                    <xdr:rowOff>22860</xdr:rowOff>
                  </from>
                  <to>
                    <xdr:col>1</xdr:col>
                    <xdr:colOff>0</xdr:colOff>
                    <xdr:row>97</xdr:row>
                    <xdr:rowOff>220980</xdr:rowOff>
                  </to>
                </anchor>
              </controlPr>
            </control>
          </mc:Choice>
        </mc:AlternateContent>
        <mc:AlternateContent xmlns:mc="http://schemas.openxmlformats.org/markup-compatibility/2006">
          <mc:Choice Requires="x14">
            <control shapeId="206917" r:id="rId73" name="Button 69">
              <controlPr defaultSize="0" print="0" autoFill="0" autoPict="0" macro="[1]!expandClick">
                <anchor moveWithCells="1" sizeWithCells="1">
                  <from>
                    <xdr:col>0</xdr:col>
                    <xdr:colOff>22860</xdr:colOff>
                    <xdr:row>98</xdr:row>
                    <xdr:rowOff>22860</xdr:rowOff>
                  </from>
                  <to>
                    <xdr:col>1</xdr:col>
                    <xdr:colOff>0</xdr:colOff>
                    <xdr:row>98</xdr:row>
                    <xdr:rowOff>220980</xdr:rowOff>
                  </to>
                </anchor>
              </controlPr>
            </control>
          </mc:Choice>
        </mc:AlternateContent>
        <mc:AlternateContent xmlns:mc="http://schemas.openxmlformats.org/markup-compatibility/2006">
          <mc:Choice Requires="x14">
            <control shapeId="206918" r:id="rId74" name="Button 70">
              <controlPr defaultSize="0" print="0" autoFill="0" autoPict="0" macro="[1]!expandClick">
                <anchor moveWithCells="1" sizeWithCells="1">
                  <from>
                    <xdr:col>0</xdr:col>
                    <xdr:colOff>22860</xdr:colOff>
                    <xdr:row>99</xdr:row>
                    <xdr:rowOff>22860</xdr:rowOff>
                  </from>
                  <to>
                    <xdr:col>1</xdr:col>
                    <xdr:colOff>0</xdr:colOff>
                    <xdr:row>99</xdr:row>
                    <xdr:rowOff>220980</xdr:rowOff>
                  </to>
                </anchor>
              </controlPr>
            </control>
          </mc:Choice>
        </mc:AlternateContent>
        <mc:AlternateContent xmlns:mc="http://schemas.openxmlformats.org/markup-compatibility/2006">
          <mc:Choice Requires="x14">
            <control shapeId="206919" r:id="rId75" name="Button 71">
              <controlPr defaultSize="0" print="0" autoFill="0" autoPict="0" macro="[1]!expandClick">
                <anchor moveWithCells="1" sizeWithCells="1">
                  <from>
                    <xdr:col>0</xdr:col>
                    <xdr:colOff>22860</xdr:colOff>
                    <xdr:row>100</xdr:row>
                    <xdr:rowOff>22860</xdr:rowOff>
                  </from>
                  <to>
                    <xdr:col>1</xdr:col>
                    <xdr:colOff>0</xdr:colOff>
                    <xdr:row>100</xdr:row>
                    <xdr:rowOff>220980</xdr:rowOff>
                  </to>
                </anchor>
              </controlPr>
            </control>
          </mc:Choice>
        </mc:AlternateContent>
        <mc:AlternateContent xmlns:mc="http://schemas.openxmlformats.org/markup-compatibility/2006">
          <mc:Choice Requires="x14">
            <control shapeId="206920" r:id="rId76" name="Button 72">
              <controlPr defaultSize="0" print="0" autoFill="0" autoPict="0" macro="[1]!expandClick">
                <anchor moveWithCells="1" sizeWithCells="1">
                  <from>
                    <xdr:col>0</xdr:col>
                    <xdr:colOff>22860</xdr:colOff>
                    <xdr:row>101</xdr:row>
                    <xdr:rowOff>22860</xdr:rowOff>
                  </from>
                  <to>
                    <xdr:col>1</xdr:col>
                    <xdr:colOff>0</xdr:colOff>
                    <xdr:row>101</xdr:row>
                    <xdr:rowOff>220980</xdr:rowOff>
                  </to>
                </anchor>
              </controlPr>
            </control>
          </mc:Choice>
        </mc:AlternateContent>
        <mc:AlternateContent xmlns:mc="http://schemas.openxmlformats.org/markup-compatibility/2006">
          <mc:Choice Requires="x14">
            <control shapeId="206921" r:id="rId77" name="Button 73">
              <controlPr defaultSize="0" print="0" autoFill="0" autoPict="0" macro="[1]!expandClick">
                <anchor moveWithCells="1" sizeWithCells="1">
                  <from>
                    <xdr:col>0</xdr:col>
                    <xdr:colOff>22860</xdr:colOff>
                    <xdr:row>102</xdr:row>
                    <xdr:rowOff>22860</xdr:rowOff>
                  </from>
                  <to>
                    <xdr:col>1</xdr:col>
                    <xdr:colOff>0</xdr:colOff>
                    <xdr:row>102</xdr:row>
                    <xdr:rowOff>220980</xdr:rowOff>
                  </to>
                </anchor>
              </controlPr>
            </control>
          </mc:Choice>
        </mc:AlternateContent>
        <mc:AlternateContent xmlns:mc="http://schemas.openxmlformats.org/markup-compatibility/2006">
          <mc:Choice Requires="x14">
            <control shapeId="206922" r:id="rId78" name="Button 74">
              <controlPr defaultSize="0" print="0" autoFill="0" autoPict="0" macro="[1]!expandClick">
                <anchor moveWithCells="1" sizeWithCells="1">
                  <from>
                    <xdr:col>0</xdr:col>
                    <xdr:colOff>22860</xdr:colOff>
                    <xdr:row>103</xdr:row>
                    <xdr:rowOff>22860</xdr:rowOff>
                  </from>
                  <to>
                    <xdr:col>1</xdr:col>
                    <xdr:colOff>0</xdr:colOff>
                    <xdr:row>103</xdr:row>
                    <xdr:rowOff>220980</xdr:rowOff>
                  </to>
                </anchor>
              </controlPr>
            </control>
          </mc:Choice>
        </mc:AlternateContent>
        <mc:AlternateContent xmlns:mc="http://schemas.openxmlformats.org/markup-compatibility/2006">
          <mc:Choice Requires="x14">
            <control shapeId="206923" r:id="rId79" name="Button 75">
              <controlPr defaultSize="0" print="0" autoFill="0" autoPict="0" macro="[1]!expandClick">
                <anchor moveWithCells="1" sizeWithCells="1">
                  <from>
                    <xdr:col>0</xdr:col>
                    <xdr:colOff>22860</xdr:colOff>
                    <xdr:row>104</xdr:row>
                    <xdr:rowOff>22860</xdr:rowOff>
                  </from>
                  <to>
                    <xdr:col>1</xdr:col>
                    <xdr:colOff>0</xdr:colOff>
                    <xdr:row>104</xdr:row>
                    <xdr:rowOff>220980</xdr:rowOff>
                  </to>
                </anchor>
              </controlPr>
            </control>
          </mc:Choice>
        </mc:AlternateContent>
        <mc:AlternateContent xmlns:mc="http://schemas.openxmlformats.org/markup-compatibility/2006">
          <mc:Choice Requires="x14">
            <control shapeId="206924" r:id="rId80" name="Button 76">
              <controlPr defaultSize="0" print="0" autoFill="0" autoPict="0" macro="[1]!expandClick">
                <anchor moveWithCells="1" sizeWithCells="1">
                  <from>
                    <xdr:col>0</xdr:col>
                    <xdr:colOff>22860</xdr:colOff>
                    <xdr:row>105</xdr:row>
                    <xdr:rowOff>22860</xdr:rowOff>
                  </from>
                  <to>
                    <xdr:col>1</xdr:col>
                    <xdr:colOff>0</xdr:colOff>
                    <xdr:row>105</xdr:row>
                    <xdr:rowOff>220980</xdr:rowOff>
                  </to>
                </anchor>
              </controlPr>
            </control>
          </mc:Choice>
        </mc:AlternateContent>
        <mc:AlternateContent xmlns:mc="http://schemas.openxmlformats.org/markup-compatibility/2006">
          <mc:Choice Requires="x14">
            <control shapeId="206925" r:id="rId81" name="Button 77">
              <controlPr defaultSize="0" print="0" autoFill="0" autoPict="0" macro="[1]!expandClick">
                <anchor moveWithCells="1" sizeWithCells="1">
                  <from>
                    <xdr:col>0</xdr:col>
                    <xdr:colOff>22860</xdr:colOff>
                    <xdr:row>106</xdr:row>
                    <xdr:rowOff>22860</xdr:rowOff>
                  </from>
                  <to>
                    <xdr:col>1</xdr:col>
                    <xdr:colOff>0</xdr:colOff>
                    <xdr:row>106</xdr:row>
                    <xdr:rowOff>220980</xdr:rowOff>
                  </to>
                </anchor>
              </controlPr>
            </control>
          </mc:Choice>
        </mc:AlternateContent>
        <mc:AlternateContent xmlns:mc="http://schemas.openxmlformats.org/markup-compatibility/2006">
          <mc:Choice Requires="x14">
            <control shapeId="206926" r:id="rId82" name="Button 78">
              <controlPr defaultSize="0" print="0" autoFill="0" autoPict="0" macro="[1]!expandClick">
                <anchor moveWithCells="1" sizeWithCells="1">
                  <from>
                    <xdr:col>0</xdr:col>
                    <xdr:colOff>22860</xdr:colOff>
                    <xdr:row>107</xdr:row>
                    <xdr:rowOff>22860</xdr:rowOff>
                  </from>
                  <to>
                    <xdr:col>1</xdr:col>
                    <xdr:colOff>0</xdr:colOff>
                    <xdr:row>107</xdr:row>
                    <xdr:rowOff>220980</xdr:rowOff>
                  </to>
                </anchor>
              </controlPr>
            </control>
          </mc:Choice>
        </mc:AlternateContent>
        <mc:AlternateContent xmlns:mc="http://schemas.openxmlformats.org/markup-compatibility/2006">
          <mc:Choice Requires="x14">
            <control shapeId="206927" r:id="rId83" name="Button 79">
              <controlPr defaultSize="0" print="0" autoFill="0" autoPict="0" macro="[1]!expandClick">
                <anchor moveWithCells="1" sizeWithCells="1">
                  <from>
                    <xdr:col>0</xdr:col>
                    <xdr:colOff>22860</xdr:colOff>
                    <xdr:row>108</xdr:row>
                    <xdr:rowOff>22860</xdr:rowOff>
                  </from>
                  <to>
                    <xdr:col>1</xdr:col>
                    <xdr:colOff>0</xdr:colOff>
                    <xdr:row>108</xdr:row>
                    <xdr:rowOff>220980</xdr:rowOff>
                  </to>
                </anchor>
              </controlPr>
            </control>
          </mc:Choice>
        </mc:AlternateContent>
        <mc:AlternateContent xmlns:mc="http://schemas.openxmlformats.org/markup-compatibility/2006">
          <mc:Choice Requires="x14">
            <control shapeId="206928" r:id="rId84" name="Button 80">
              <controlPr defaultSize="0" print="0" autoFill="0" autoPict="0" macro="[1]!expandClick">
                <anchor moveWithCells="1" sizeWithCells="1">
                  <from>
                    <xdr:col>0</xdr:col>
                    <xdr:colOff>22860</xdr:colOff>
                    <xdr:row>109</xdr:row>
                    <xdr:rowOff>22860</xdr:rowOff>
                  </from>
                  <to>
                    <xdr:col>1</xdr:col>
                    <xdr:colOff>0</xdr:colOff>
                    <xdr:row>109</xdr:row>
                    <xdr:rowOff>220980</xdr:rowOff>
                  </to>
                </anchor>
              </controlPr>
            </control>
          </mc:Choice>
        </mc:AlternateContent>
        <mc:AlternateContent xmlns:mc="http://schemas.openxmlformats.org/markup-compatibility/2006">
          <mc:Choice Requires="x14">
            <control shapeId="206929" r:id="rId85" name="Button 81">
              <controlPr defaultSize="0" print="0" autoFill="0" autoPict="0" macro="[1]!expandClick">
                <anchor moveWithCells="1" sizeWithCells="1">
                  <from>
                    <xdr:col>0</xdr:col>
                    <xdr:colOff>22860</xdr:colOff>
                    <xdr:row>110</xdr:row>
                    <xdr:rowOff>22860</xdr:rowOff>
                  </from>
                  <to>
                    <xdr:col>1</xdr:col>
                    <xdr:colOff>0</xdr:colOff>
                    <xdr:row>110</xdr:row>
                    <xdr:rowOff>220980</xdr:rowOff>
                  </to>
                </anchor>
              </controlPr>
            </control>
          </mc:Choice>
        </mc:AlternateContent>
        <mc:AlternateContent xmlns:mc="http://schemas.openxmlformats.org/markup-compatibility/2006">
          <mc:Choice Requires="x14">
            <control shapeId="206930" r:id="rId86" name="Button 82">
              <controlPr defaultSize="0" print="0" autoFill="0" autoPict="0" macro="[1]!expandClick">
                <anchor moveWithCells="1" sizeWithCells="1">
                  <from>
                    <xdr:col>0</xdr:col>
                    <xdr:colOff>22860</xdr:colOff>
                    <xdr:row>111</xdr:row>
                    <xdr:rowOff>22860</xdr:rowOff>
                  </from>
                  <to>
                    <xdr:col>1</xdr:col>
                    <xdr:colOff>0</xdr:colOff>
                    <xdr:row>111</xdr:row>
                    <xdr:rowOff>220980</xdr:rowOff>
                  </to>
                </anchor>
              </controlPr>
            </control>
          </mc:Choice>
        </mc:AlternateContent>
        <mc:AlternateContent xmlns:mc="http://schemas.openxmlformats.org/markup-compatibility/2006">
          <mc:Choice Requires="x14">
            <control shapeId="206931" r:id="rId87" name="Button 83">
              <controlPr defaultSize="0" print="0" autoFill="0" autoPict="0" macro="[1]!expandClick">
                <anchor moveWithCells="1" sizeWithCells="1">
                  <from>
                    <xdr:col>0</xdr:col>
                    <xdr:colOff>22860</xdr:colOff>
                    <xdr:row>112</xdr:row>
                    <xdr:rowOff>22860</xdr:rowOff>
                  </from>
                  <to>
                    <xdr:col>1</xdr:col>
                    <xdr:colOff>0</xdr:colOff>
                    <xdr:row>112</xdr:row>
                    <xdr:rowOff>220980</xdr:rowOff>
                  </to>
                </anchor>
              </controlPr>
            </control>
          </mc:Choice>
        </mc:AlternateContent>
        <mc:AlternateContent xmlns:mc="http://schemas.openxmlformats.org/markup-compatibility/2006">
          <mc:Choice Requires="x14">
            <control shapeId="206932" r:id="rId88" name="Button 84">
              <controlPr defaultSize="0" print="0" autoFill="0" autoPict="0" macro="[1]!expandClick">
                <anchor moveWithCells="1" sizeWithCells="1">
                  <from>
                    <xdr:col>0</xdr:col>
                    <xdr:colOff>22860</xdr:colOff>
                    <xdr:row>113</xdr:row>
                    <xdr:rowOff>22860</xdr:rowOff>
                  </from>
                  <to>
                    <xdr:col>1</xdr:col>
                    <xdr:colOff>0</xdr:colOff>
                    <xdr:row>113</xdr:row>
                    <xdr:rowOff>220980</xdr:rowOff>
                  </to>
                </anchor>
              </controlPr>
            </control>
          </mc:Choice>
        </mc:AlternateContent>
        <mc:AlternateContent xmlns:mc="http://schemas.openxmlformats.org/markup-compatibility/2006">
          <mc:Choice Requires="x14">
            <control shapeId="206933" r:id="rId89" name="Button 85">
              <controlPr defaultSize="0" print="0" autoFill="0" autoPict="0" macro="[1]!expandClick">
                <anchor moveWithCells="1" sizeWithCells="1">
                  <from>
                    <xdr:col>0</xdr:col>
                    <xdr:colOff>22860</xdr:colOff>
                    <xdr:row>114</xdr:row>
                    <xdr:rowOff>22860</xdr:rowOff>
                  </from>
                  <to>
                    <xdr:col>1</xdr:col>
                    <xdr:colOff>0</xdr:colOff>
                    <xdr:row>114</xdr:row>
                    <xdr:rowOff>220980</xdr:rowOff>
                  </to>
                </anchor>
              </controlPr>
            </control>
          </mc:Choice>
        </mc:AlternateContent>
        <mc:AlternateContent xmlns:mc="http://schemas.openxmlformats.org/markup-compatibility/2006">
          <mc:Choice Requires="x14">
            <control shapeId="206934" r:id="rId90" name="Button 86">
              <controlPr defaultSize="0" print="0" autoFill="0" autoPict="0" macro="[1]!expandClick">
                <anchor moveWithCells="1" sizeWithCells="1">
                  <from>
                    <xdr:col>0</xdr:col>
                    <xdr:colOff>22860</xdr:colOff>
                    <xdr:row>115</xdr:row>
                    <xdr:rowOff>22860</xdr:rowOff>
                  </from>
                  <to>
                    <xdr:col>1</xdr:col>
                    <xdr:colOff>0</xdr:colOff>
                    <xdr:row>115</xdr:row>
                    <xdr:rowOff>220980</xdr:rowOff>
                  </to>
                </anchor>
              </controlPr>
            </control>
          </mc:Choice>
        </mc:AlternateContent>
        <mc:AlternateContent xmlns:mc="http://schemas.openxmlformats.org/markup-compatibility/2006">
          <mc:Choice Requires="x14">
            <control shapeId="206935" r:id="rId91" name="Button 87">
              <controlPr defaultSize="0" print="0" autoFill="0" autoPict="0" macro="[1]!expandClick">
                <anchor moveWithCells="1" sizeWithCells="1">
                  <from>
                    <xdr:col>0</xdr:col>
                    <xdr:colOff>22860</xdr:colOff>
                    <xdr:row>116</xdr:row>
                    <xdr:rowOff>22860</xdr:rowOff>
                  </from>
                  <to>
                    <xdr:col>1</xdr:col>
                    <xdr:colOff>0</xdr:colOff>
                    <xdr:row>116</xdr:row>
                    <xdr:rowOff>220980</xdr:rowOff>
                  </to>
                </anchor>
              </controlPr>
            </control>
          </mc:Choice>
        </mc:AlternateContent>
        <mc:AlternateContent xmlns:mc="http://schemas.openxmlformats.org/markup-compatibility/2006">
          <mc:Choice Requires="x14">
            <control shapeId="206936" r:id="rId92" name="Button 88">
              <controlPr defaultSize="0" print="0" autoFill="0" autoPict="0" macro="[1]!expandClick">
                <anchor moveWithCells="1" sizeWithCells="1">
                  <from>
                    <xdr:col>0</xdr:col>
                    <xdr:colOff>22860</xdr:colOff>
                    <xdr:row>117</xdr:row>
                    <xdr:rowOff>22860</xdr:rowOff>
                  </from>
                  <to>
                    <xdr:col>1</xdr:col>
                    <xdr:colOff>0</xdr:colOff>
                    <xdr:row>117</xdr:row>
                    <xdr:rowOff>220980</xdr:rowOff>
                  </to>
                </anchor>
              </controlPr>
            </control>
          </mc:Choice>
        </mc:AlternateContent>
        <mc:AlternateContent xmlns:mc="http://schemas.openxmlformats.org/markup-compatibility/2006">
          <mc:Choice Requires="x14">
            <control shapeId="206937" r:id="rId93" name="Button 89">
              <controlPr defaultSize="0" print="0" autoFill="0" autoPict="0" macro="[1]!expandClick">
                <anchor moveWithCells="1" sizeWithCells="1">
                  <from>
                    <xdr:col>0</xdr:col>
                    <xdr:colOff>22860</xdr:colOff>
                    <xdr:row>118</xdr:row>
                    <xdr:rowOff>22860</xdr:rowOff>
                  </from>
                  <to>
                    <xdr:col>1</xdr:col>
                    <xdr:colOff>0</xdr:colOff>
                    <xdr:row>118</xdr:row>
                    <xdr:rowOff>220980</xdr:rowOff>
                  </to>
                </anchor>
              </controlPr>
            </control>
          </mc:Choice>
        </mc:AlternateContent>
        <mc:AlternateContent xmlns:mc="http://schemas.openxmlformats.org/markup-compatibility/2006">
          <mc:Choice Requires="x14">
            <control shapeId="206938" r:id="rId94" name="Button 90">
              <controlPr defaultSize="0" print="0" autoFill="0" autoPict="0" macro="[1]!expandClick">
                <anchor moveWithCells="1" sizeWithCells="1">
                  <from>
                    <xdr:col>0</xdr:col>
                    <xdr:colOff>22860</xdr:colOff>
                    <xdr:row>119</xdr:row>
                    <xdr:rowOff>22860</xdr:rowOff>
                  </from>
                  <to>
                    <xdr:col>1</xdr:col>
                    <xdr:colOff>0</xdr:colOff>
                    <xdr:row>119</xdr:row>
                    <xdr:rowOff>220980</xdr:rowOff>
                  </to>
                </anchor>
              </controlPr>
            </control>
          </mc:Choice>
        </mc:AlternateContent>
        <mc:AlternateContent xmlns:mc="http://schemas.openxmlformats.org/markup-compatibility/2006">
          <mc:Choice Requires="x14">
            <control shapeId="206939" r:id="rId95" name="Button 91">
              <controlPr defaultSize="0" print="0" autoFill="0" autoPict="0" macro="[1]!expandClick">
                <anchor moveWithCells="1" sizeWithCells="1">
                  <from>
                    <xdr:col>0</xdr:col>
                    <xdr:colOff>22860</xdr:colOff>
                    <xdr:row>120</xdr:row>
                    <xdr:rowOff>22860</xdr:rowOff>
                  </from>
                  <to>
                    <xdr:col>1</xdr:col>
                    <xdr:colOff>0</xdr:colOff>
                    <xdr:row>120</xdr:row>
                    <xdr:rowOff>220980</xdr:rowOff>
                  </to>
                </anchor>
              </controlPr>
            </control>
          </mc:Choice>
        </mc:AlternateContent>
        <mc:AlternateContent xmlns:mc="http://schemas.openxmlformats.org/markup-compatibility/2006">
          <mc:Choice Requires="x14">
            <control shapeId="206940" r:id="rId96" name="Button 92">
              <controlPr defaultSize="0" print="0" autoFill="0" autoPict="0" macro="[1]!expandClick">
                <anchor moveWithCells="1" sizeWithCells="1">
                  <from>
                    <xdr:col>0</xdr:col>
                    <xdr:colOff>22860</xdr:colOff>
                    <xdr:row>121</xdr:row>
                    <xdr:rowOff>22860</xdr:rowOff>
                  </from>
                  <to>
                    <xdr:col>1</xdr:col>
                    <xdr:colOff>0</xdr:colOff>
                    <xdr:row>121</xdr:row>
                    <xdr:rowOff>220980</xdr:rowOff>
                  </to>
                </anchor>
              </controlPr>
            </control>
          </mc:Choice>
        </mc:AlternateContent>
        <mc:AlternateContent xmlns:mc="http://schemas.openxmlformats.org/markup-compatibility/2006">
          <mc:Choice Requires="x14">
            <control shapeId="206941" r:id="rId97" name="Button 93">
              <controlPr defaultSize="0" print="0" autoFill="0" autoPict="0" macro="[1]!expandClick">
                <anchor moveWithCells="1" sizeWithCells="1">
                  <from>
                    <xdr:col>0</xdr:col>
                    <xdr:colOff>22860</xdr:colOff>
                    <xdr:row>122</xdr:row>
                    <xdr:rowOff>22860</xdr:rowOff>
                  </from>
                  <to>
                    <xdr:col>1</xdr:col>
                    <xdr:colOff>0</xdr:colOff>
                    <xdr:row>122</xdr:row>
                    <xdr:rowOff>220980</xdr:rowOff>
                  </to>
                </anchor>
              </controlPr>
            </control>
          </mc:Choice>
        </mc:AlternateContent>
        <mc:AlternateContent xmlns:mc="http://schemas.openxmlformats.org/markup-compatibility/2006">
          <mc:Choice Requires="x14">
            <control shapeId="206942" r:id="rId98" name="Button 94">
              <controlPr defaultSize="0" print="0" autoFill="0" autoPict="0" macro="[1]!expandClick">
                <anchor moveWithCells="1" sizeWithCells="1">
                  <from>
                    <xdr:col>0</xdr:col>
                    <xdr:colOff>22860</xdr:colOff>
                    <xdr:row>123</xdr:row>
                    <xdr:rowOff>22860</xdr:rowOff>
                  </from>
                  <to>
                    <xdr:col>1</xdr:col>
                    <xdr:colOff>0</xdr:colOff>
                    <xdr:row>123</xdr:row>
                    <xdr:rowOff>220980</xdr:rowOff>
                  </to>
                </anchor>
              </controlPr>
            </control>
          </mc:Choice>
        </mc:AlternateContent>
        <mc:AlternateContent xmlns:mc="http://schemas.openxmlformats.org/markup-compatibility/2006">
          <mc:Choice Requires="x14">
            <control shapeId="206943" r:id="rId99" name="Button 95">
              <controlPr defaultSize="0" print="0" autoFill="0" autoPict="0" macro="[1]!expandClick">
                <anchor moveWithCells="1" sizeWithCells="1">
                  <from>
                    <xdr:col>0</xdr:col>
                    <xdr:colOff>22860</xdr:colOff>
                    <xdr:row>124</xdr:row>
                    <xdr:rowOff>22860</xdr:rowOff>
                  </from>
                  <to>
                    <xdr:col>1</xdr:col>
                    <xdr:colOff>0</xdr:colOff>
                    <xdr:row>124</xdr:row>
                    <xdr:rowOff>220980</xdr:rowOff>
                  </to>
                </anchor>
              </controlPr>
            </control>
          </mc:Choice>
        </mc:AlternateContent>
        <mc:AlternateContent xmlns:mc="http://schemas.openxmlformats.org/markup-compatibility/2006">
          <mc:Choice Requires="x14">
            <control shapeId="206944" r:id="rId100" name="Button 96">
              <controlPr defaultSize="0" print="0" autoFill="0" autoPict="0" macro="[1]!expandClick">
                <anchor moveWithCells="1" sizeWithCells="1">
                  <from>
                    <xdr:col>0</xdr:col>
                    <xdr:colOff>22860</xdr:colOff>
                    <xdr:row>125</xdr:row>
                    <xdr:rowOff>22860</xdr:rowOff>
                  </from>
                  <to>
                    <xdr:col>1</xdr:col>
                    <xdr:colOff>0</xdr:colOff>
                    <xdr:row>125</xdr:row>
                    <xdr:rowOff>220980</xdr:rowOff>
                  </to>
                </anchor>
              </controlPr>
            </control>
          </mc:Choice>
        </mc:AlternateContent>
        <mc:AlternateContent xmlns:mc="http://schemas.openxmlformats.org/markup-compatibility/2006">
          <mc:Choice Requires="x14">
            <control shapeId="206945" r:id="rId101" name="Button 97">
              <controlPr defaultSize="0" print="0" autoFill="0" autoPict="0" macro="[1]!expandClick">
                <anchor moveWithCells="1" sizeWithCells="1">
                  <from>
                    <xdr:col>0</xdr:col>
                    <xdr:colOff>22860</xdr:colOff>
                    <xdr:row>126</xdr:row>
                    <xdr:rowOff>22860</xdr:rowOff>
                  </from>
                  <to>
                    <xdr:col>1</xdr:col>
                    <xdr:colOff>0</xdr:colOff>
                    <xdr:row>126</xdr:row>
                    <xdr:rowOff>220980</xdr:rowOff>
                  </to>
                </anchor>
              </controlPr>
            </control>
          </mc:Choice>
        </mc:AlternateContent>
        <mc:AlternateContent xmlns:mc="http://schemas.openxmlformats.org/markup-compatibility/2006">
          <mc:Choice Requires="x14">
            <control shapeId="206946" r:id="rId102" name="Button 98">
              <controlPr defaultSize="0" print="0" autoFill="0" autoPict="0" macro="[1]!expandClick">
                <anchor moveWithCells="1" sizeWithCells="1">
                  <from>
                    <xdr:col>0</xdr:col>
                    <xdr:colOff>22860</xdr:colOff>
                    <xdr:row>127</xdr:row>
                    <xdr:rowOff>22860</xdr:rowOff>
                  </from>
                  <to>
                    <xdr:col>1</xdr:col>
                    <xdr:colOff>0</xdr:colOff>
                    <xdr:row>127</xdr:row>
                    <xdr:rowOff>220980</xdr:rowOff>
                  </to>
                </anchor>
              </controlPr>
            </control>
          </mc:Choice>
        </mc:AlternateContent>
        <mc:AlternateContent xmlns:mc="http://schemas.openxmlformats.org/markup-compatibility/2006">
          <mc:Choice Requires="x14">
            <control shapeId="206947" r:id="rId103" name="Button 99">
              <controlPr defaultSize="0" print="0" autoFill="0" autoPict="0" macro="[1]!expandClick">
                <anchor moveWithCells="1" sizeWithCells="1">
                  <from>
                    <xdr:col>0</xdr:col>
                    <xdr:colOff>22860</xdr:colOff>
                    <xdr:row>128</xdr:row>
                    <xdr:rowOff>22860</xdr:rowOff>
                  </from>
                  <to>
                    <xdr:col>1</xdr:col>
                    <xdr:colOff>0</xdr:colOff>
                    <xdr:row>128</xdr:row>
                    <xdr:rowOff>220980</xdr:rowOff>
                  </to>
                </anchor>
              </controlPr>
            </control>
          </mc:Choice>
        </mc:AlternateContent>
        <mc:AlternateContent xmlns:mc="http://schemas.openxmlformats.org/markup-compatibility/2006">
          <mc:Choice Requires="x14">
            <control shapeId="206948" r:id="rId104" name="Button 100">
              <controlPr defaultSize="0" print="0" autoFill="0" autoPict="0" macro="[1]!expandClick">
                <anchor moveWithCells="1" sizeWithCells="1">
                  <from>
                    <xdr:col>0</xdr:col>
                    <xdr:colOff>22860</xdr:colOff>
                    <xdr:row>129</xdr:row>
                    <xdr:rowOff>22860</xdr:rowOff>
                  </from>
                  <to>
                    <xdr:col>1</xdr:col>
                    <xdr:colOff>0</xdr:colOff>
                    <xdr:row>129</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B8" sqref="B8:K8"/>
    </sheetView>
  </sheetViews>
  <sheetFormatPr defaultColWidth="9.109375" defaultRowHeight="13.2" x14ac:dyDescent="0.25"/>
  <cols>
    <col min="1" max="1" width="13.6640625" style="314" customWidth="1"/>
    <col min="2" max="2" width="14.33203125" style="316" customWidth="1"/>
    <col min="3" max="3" width="12.44140625" style="313" customWidth="1"/>
    <col min="4" max="4" width="14.6640625" style="316" customWidth="1"/>
    <col min="5" max="5" width="13.88671875" style="316" customWidth="1"/>
    <col min="6" max="6" width="13.33203125" style="316" customWidth="1"/>
    <col min="7" max="7" width="14.5546875" style="314" customWidth="1"/>
    <col min="8" max="8" width="16.6640625" style="314" customWidth="1"/>
    <col min="9" max="9" width="17" style="316" customWidth="1"/>
    <col min="10" max="10" width="13.44140625" style="314" customWidth="1"/>
    <col min="11" max="11" width="12.6640625" style="314" customWidth="1"/>
    <col min="12" max="12" width="7.5546875" style="314" customWidth="1"/>
    <col min="13" max="16384" width="9.109375" style="314"/>
  </cols>
  <sheetData>
    <row r="1" spans="1:12" s="339" customFormat="1" ht="17.399999999999999" x14ac:dyDescent="0.3">
      <c r="A1" s="388" t="s">
        <v>467</v>
      </c>
      <c r="B1" s="302"/>
      <c r="C1" s="650"/>
      <c r="D1" s="72"/>
      <c r="E1" s="72"/>
      <c r="F1" s="72"/>
      <c r="G1" s="410"/>
      <c r="H1" s="410"/>
      <c r="I1" s="72"/>
      <c r="J1" s="411"/>
      <c r="K1" s="412"/>
      <c r="L1" s="413"/>
    </row>
    <row r="2" spans="1:12" s="339" customFormat="1" ht="14.4" x14ac:dyDescent="0.3">
      <c r="A2" s="414"/>
      <c r="B2" s="303"/>
      <c r="C2" s="651"/>
      <c r="D2" s="16"/>
      <c r="E2" s="16"/>
      <c r="F2" s="16"/>
      <c r="G2" s="414"/>
      <c r="H2" s="414"/>
      <c r="I2" s="16"/>
      <c r="J2" s="361"/>
      <c r="K2" s="363"/>
      <c r="L2" s="413"/>
    </row>
    <row r="3" spans="1:12" s="339" customFormat="1" ht="14.4" x14ac:dyDescent="0.3">
      <c r="A3" s="414"/>
      <c r="B3" s="303"/>
      <c r="C3" s="651"/>
      <c r="D3" s="16"/>
      <c r="E3" s="16"/>
      <c r="F3" s="16"/>
      <c r="G3" s="414"/>
      <c r="H3" s="414"/>
      <c r="I3" s="16"/>
      <c r="J3" s="361"/>
      <c r="K3" s="363"/>
      <c r="L3" s="413"/>
    </row>
    <row r="4" spans="1:12" s="339" customFormat="1" ht="14.4" x14ac:dyDescent="0.3">
      <c r="A4" s="414"/>
      <c r="B4" s="303"/>
      <c r="C4" s="651"/>
      <c r="D4" s="16"/>
      <c r="E4" s="16"/>
      <c r="F4" s="16"/>
      <c r="G4" s="414"/>
      <c r="H4" s="414"/>
      <c r="I4" s="16"/>
      <c r="J4" s="361"/>
      <c r="K4" s="363"/>
      <c r="L4" s="413"/>
    </row>
    <row r="5" spans="1:12" s="339" customFormat="1" ht="15.6" x14ac:dyDescent="0.3">
      <c r="A5" s="395" t="s">
        <v>343</v>
      </c>
      <c r="B5" s="304"/>
      <c r="C5" s="652"/>
      <c r="D5" s="41"/>
      <c r="E5" s="41"/>
      <c r="F5" s="51"/>
      <c r="G5" s="415"/>
      <c r="H5" s="415"/>
      <c r="I5" s="51"/>
      <c r="J5" s="1516"/>
      <c r="K5" s="1517"/>
      <c r="L5" s="397"/>
    </row>
    <row r="6" spans="1:12" s="339" customFormat="1" ht="48" customHeight="1" x14ac:dyDescent="0.3">
      <c r="A6" s="1509" t="s">
        <v>1300</v>
      </c>
      <c r="B6" s="16"/>
      <c r="C6" s="256" t="s">
        <v>116</v>
      </c>
      <c r="D6" s="16"/>
      <c r="E6" s="16"/>
      <c r="F6" s="16"/>
      <c r="G6" s="416" t="s">
        <v>493</v>
      </c>
      <c r="H6" s="416" t="s">
        <v>275</v>
      </c>
      <c r="I6" s="653"/>
      <c r="J6" s="398" t="s">
        <v>46</v>
      </c>
      <c r="K6" s="417" t="s">
        <v>46</v>
      </c>
      <c r="L6" s="418"/>
    </row>
    <row r="7" spans="1:12" s="339" customFormat="1" ht="14.4" x14ac:dyDescent="0.3">
      <c r="A7" s="1510"/>
      <c r="B7" s="16"/>
      <c r="C7" s="67"/>
      <c r="D7" s="16"/>
      <c r="E7" s="803" t="str">
        <f>HYPERLINK("#DropDownLists!K6","Add to this list")</f>
        <v>Add to this list</v>
      </c>
      <c r="F7" s="16"/>
      <c r="G7" s="414"/>
      <c r="H7" s="414"/>
      <c r="I7" s="803" t="str">
        <f>HYPERLINK("#DropDownLists!U6","Add to this list")</f>
        <v>Add to this list</v>
      </c>
      <c r="J7" s="361"/>
      <c r="K7" s="363"/>
      <c r="L7" s="413"/>
    </row>
    <row r="8" spans="1:12" s="339" customFormat="1" ht="27.6" thickBot="1" x14ac:dyDescent="0.35">
      <c r="A8" s="1511"/>
      <c r="B8" s="18" t="s">
        <v>1637</v>
      </c>
      <c r="C8" s="20" t="s">
        <v>35</v>
      </c>
      <c r="D8" s="7" t="s">
        <v>1598</v>
      </c>
      <c r="E8" s="18" t="s">
        <v>77</v>
      </c>
      <c r="F8" s="19" t="s">
        <v>151</v>
      </c>
      <c r="G8" s="419" t="s">
        <v>3498</v>
      </c>
      <c r="H8" s="419" t="s">
        <v>3499</v>
      </c>
      <c r="I8" s="19" t="s">
        <v>1651</v>
      </c>
      <c r="J8" s="419" t="s">
        <v>3500</v>
      </c>
      <c r="K8" s="420" t="s">
        <v>3501</v>
      </c>
      <c r="L8" s="421"/>
    </row>
    <row r="9" spans="1:12" ht="19.95" customHeight="1" x14ac:dyDescent="0.25"/>
    <row r="10" spans="1:12" ht="19.95" customHeight="1" x14ac:dyDescent="0.25"/>
    <row r="11" spans="1:12" ht="19.95" customHeight="1" x14ac:dyDescent="0.25"/>
    <row r="12" spans="1:12" ht="19.95" customHeight="1" x14ac:dyDescent="0.25"/>
    <row r="13" spans="1:12" ht="19.95" customHeight="1" x14ac:dyDescent="0.25"/>
    <row r="14" spans="1:12" ht="19.95" customHeight="1" x14ac:dyDescent="0.25"/>
    <row r="15" spans="1:12" ht="19.95" customHeight="1" x14ac:dyDescent="0.25"/>
    <row r="16" spans="1:12"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conditionalFormatting sqref="A8:K8">
    <cfRule type="expression" dxfId="86"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434" r:id="rId3" name="Button 2610">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0435" r:id="rId4" name="Button 2611">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0436" r:id="rId5" name="Button 2612">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0437" r:id="rId6" name="Button 2613">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0438" r:id="rId7" name="Button 2614">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0439" r:id="rId8" name="Button 2615">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0440" r:id="rId9" name="Button 2616">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0441" r:id="rId10" name="Button 2617">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0442" r:id="rId11" name="Button 2618">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0443" r:id="rId12" name="Button 2619">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0444" r:id="rId13" name="Button 2620">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0445" r:id="rId14" name="Button 2621">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0446" r:id="rId15" name="Button 2622">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0447" r:id="rId16" name="Button 2623">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0448" r:id="rId17" name="Button 2624">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0449" r:id="rId18" name="Button 2625">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0450" r:id="rId19" name="Button 2626">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0451" r:id="rId20" name="Button 2627">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0452" r:id="rId21" name="Button 2628">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0453" r:id="rId22" name="Button 2629">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0454" r:id="rId23" name="Button 2630">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0455" r:id="rId24" name="Button 2631">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0456" r:id="rId25" name="Button 2632">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0457" r:id="rId26" name="Button 2633">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0458" r:id="rId27" name="Button 2634">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0459" r:id="rId28" name="Button 2635">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0460" r:id="rId29" name="Button 2636">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0461" r:id="rId30" name="Button 2637">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0462" r:id="rId31" name="Button 2638">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0463" r:id="rId32" name="Button 2639">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0464" r:id="rId33" name="Button 2640">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0465" r:id="rId34" name="Button 2641">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0466" r:id="rId35" name="Button 2642">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0467" r:id="rId36" name="Button 2643">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0468" r:id="rId37" name="Button 2644">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0469" r:id="rId38" name="Button 2645">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0470" r:id="rId39" name="Button 2646">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0471" r:id="rId40" name="Button 2647">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0472" r:id="rId41" name="Button 2648">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0473" r:id="rId42" name="Button 2649">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0474" r:id="rId43" name="Button 2650">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0475" r:id="rId44" name="Button 2651">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0476" r:id="rId45" name="Button 2652">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0477" r:id="rId46" name="Button 2653">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0478" r:id="rId47" name="Button 2654">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0479" r:id="rId48" name="Button 2655">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0480" r:id="rId49" name="Button 2656">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0481" r:id="rId50" name="Button 2657">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0482" r:id="rId51" name="Button 2658">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0483" r:id="rId52" name="Button 2659">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0484" r:id="rId53" name="Button 2660">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0485" r:id="rId54" name="Button 2661">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0486" r:id="rId55" name="Button 2662">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0487" r:id="rId56" name="Button 2663">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0488" r:id="rId57" name="Button 2664">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0489" r:id="rId58" name="Button 2665">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0490" r:id="rId59" name="Button 2666">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0491" r:id="rId60" name="Button 2667">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0492" r:id="rId61" name="Button 2668">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0493" r:id="rId62" name="Button 2669">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0494" r:id="rId63" name="Button 2670">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0495" r:id="rId64" name="Button 2671">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0496" r:id="rId65" name="Button 2672">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0497" r:id="rId66" name="Button 2673">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0498" r:id="rId67" name="Button 2674">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0499" r:id="rId68" name="Button 2675">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0500" r:id="rId69" name="Button 2676">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0501" r:id="rId70" name="Button 2677">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0502" r:id="rId71" name="Button 2678">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0503" r:id="rId72" name="Button 2679">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0504" r:id="rId73" name="Button 2680">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0505" r:id="rId74" name="Button 2681">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0506" r:id="rId75" name="Button 2682">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0507" r:id="rId76" name="Button 2683">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0508" r:id="rId77" name="Button 2684">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0509" r:id="rId78" name="Button 2685">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0510" r:id="rId79" name="Button 2686">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0511" r:id="rId80" name="Button 2687">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0512" r:id="rId81" name="Button 2688">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0513" r:id="rId82" name="Button 2689">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0514" r:id="rId83" name="Button 2690">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0515" r:id="rId84" name="Button 2691">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0516" r:id="rId85" name="Button 2692">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0517" r:id="rId86" name="Button 2693">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0518" r:id="rId87" name="Button 2694">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0519" r:id="rId88" name="Button 2695">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0520" r:id="rId89" name="Button 2696">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0521" r:id="rId90" name="Button 2697">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0522" r:id="rId91" name="Button 2698">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0523" r:id="rId92" name="Button 2699">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0524" r:id="rId93" name="Button 2700">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0525" r:id="rId94" name="Button 2701">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0526" r:id="rId95" name="Button 2702">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0527" r:id="rId96" name="Button 2703">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0528" r:id="rId97" name="Button 2704">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0529" r:id="rId98" name="Button 2705">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0530" r:id="rId99" name="Button 2706">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0531" r:id="rId100" name="Button 2707">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0532" r:id="rId101" name="Button 2708">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0533" r:id="rId102" name="Button 2709">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F14" sqref="F14"/>
    </sheetView>
  </sheetViews>
  <sheetFormatPr defaultColWidth="9.109375" defaultRowHeight="13.2" x14ac:dyDescent="0.25"/>
  <cols>
    <col min="1" max="1" width="13.6640625" style="314" customWidth="1"/>
    <col min="2" max="2" width="19.5546875" style="316" customWidth="1"/>
    <col min="3" max="3" width="11" style="313" customWidth="1"/>
    <col min="4" max="4" width="20.33203125" style="316" customWidth="1"/>
    <col min="5" max="5" width="11.5546875" style="316" customWidth="1"/>
    <col min="6" max="6" width="25.5546875" style="316" customWidth="1"/>
    <col min="7" max="7" width="22" style="314" customWidth="1"/>
    <col min="8" max="8" width="31.5546875" style="316" customWidth="1"/>
    <col min="9" max="9" width="7.44140625" style="314" customWidth="1"/>
    <col min="10" max="10" width="26" style="314" customWidth="1"/>
    <col min="11" max="16384" width="9.109375" style="314"/>
  </cols>
  <sheetData>
    <row r="1" spans="1:10" s="339" customFormat="1" ht="17.399999999999999" x14ac:dyDescent="0.3">
      <c r="A1" s="388" t="s">
        <v>468</v>
      </c>
      <c r="B1" s="654"/>
      <c r="C1" s="259"/>
      <c r="D1" s="654"/>
      <c r="E1" s="72"/>
      <c r="F1" s="657"/>
      <c r="G1" s="422"/>
      <c r="H1" s="662"/>
      <c r="I1" s="423"/>
    </row>
    <row r="2" spans="1:10" s="339" customFormat="1" ht="29.25" customHeight="1" x14ac:dyDescent="0.3">
      <c r="A2" s="424"/>
      <c r="B2" s="655"/>
      <c r="C2" s="260"/>
      <c r="D2" s="655"/>
      <c r="E2" s="16"/>
      <c r="F2" s="658" t="s">
        <v>470</v>
      </c>
      <c r="G2" s="425"/>
      <c r="H2" s="663"/>
      <c r="I2" s="423"/>
    </row>
    <row r="3" spans="1:10" s="339" customFormat="1" ht="14.4" x14ac:dyDescent="0.3">
      <c r="B3" s="655"/>
      <c r="C3" s="260"/>
      <c r="D3" s="655"/>
      <c r="E3" s="16"/>
      <c r="F3" s="659"/>
      <c r="G3" s="425"/>
      <c r="H3" s="663"/>
      <c r="I3" s="423"/>
    </row>
    <row r="4" spans="1:10" s="339" customFormat="1" ht="14.4" x14ac:dyDescent="0.3">
      <c r="A4" s="424"/>
      <c r="B4" s="655"/>
      <c r="C4" s="260"/>
      <c r="D4" s="655"/>
      <c r="E4" s="16"/>
      <c r="F4" s="659"/>
      <c r="G4" s="425"/>
      <c r="H4" s="663"/>
      <c r="I4" s="423"/>
    </row>
    <row r="5" spans="1:10" s="339" customFormat="1" ht="15.6" x14ac:dyDescent="0.3">
      <c r="A5" s="427" t="s">
        <v>132</v>
      </c>
      <c r="B5" s="656"/>
      <c r="C5" s="261"/>
      <c r="D5" s="656"/>
      <c r="E5" s="660"/>
      <c r="F5" s="661"/>
      <c r="G5" s="364"/>
      <c r="H5" s="664"/>
      <c r="I5" s="423"/>
    </row>
    <row r="6" spans="1:10" s="339" customFormat="1" ht="47.25" customHeight="1" x14ac:dyDescent="0.3">
      <c r="A6" s="1509" t="s">
        <v>1300</v>
      </c>
      <c r="B6" s="655"/>
      <c r="C6" s="256" t="s">
        <v>116</v>
      </c>
      <c r="D6" s="655"/>
      <c r="E6" s="655"/>
      <c r="F6" s="622"/>
      <c r="G6" s="398" t="s">
        <v>46</v>
      </c>
      <c r="H6" s="665"/>
      <c r="I6" s="423"/>
    </row>
    <row r="7" spans="1:10" s="797" customFormat="1" ht="21" customHeight="1" x14ac:dyDescent="0.2">
      <c r="A7" s="1510"/>
      <c r="B7" s="794"/>
      <c r="C7" s="791"/>
      <c r="D7" s="794"/>
      <c r="E7" s="793" t="str">
        <f>HYPERLINK("#DropDownLists!K6","Add to this list")</f>
        <v>Add to this list</v>
      </c>
      <c r="F7" s="788" t="str">
        <f>HYPERLINK("#DropDownLists!AD6","Add to this list")</f>
        <v>Add to this list</v>
      </c>
      <c r="G7" s="792"/>
      <c r="H7" s="795"/>
      <c r="I7" s="796"/>
    </row>
    <row r="8" spans="1:10" s="403" customFormat="1" ht="15" thickBot="1" x14ac:dyDescent="0.35">
      <c r="A8" s="1511"/>
      <c r="B8" s="18" t="s">
        <v>1637</v>
      </c>
      <c r="C8" s="20" t="s">
        <v>35</v>
      </c>
      <c r="D8" s="7" t="s">
        <v>1598</v>
      </c>
      <c r="E8" s="18" t="s">
        <v>77</v>
      </c>
      <c r="F8" s="18" t="s">
        <v>1656</v>
      </c>
      <c r="G8" s="419" t="s">
        <v>3502</v>
      </c>
      <c r="H8" s="19" t="s">
        <v>1657</v>
      </c>
      <c r="I8" s="428"/>
      <c r="J8" s="429"/>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H8">
    <cfRule type="expression" dxfId="85"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485" r:id="rId4" name="Button 27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78486" r:id="rId5" name="Button 27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78487" r:id="rId6" name="Button 27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78488" r:id="rId7" name="Button 27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78489" r:id="rId8" name="Button 27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78490" r:id="rId9" name="Button 27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78491" r:id="rId10" name="Button 27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78492" r:id="rId11" name="Button 27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78493" r:id="rId12" name="Button 27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78494" r:id="rId13" name="Button 27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78495" r:id="rId14" name="Button 27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78496" r:id="rId15" name="Button 27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78497" r:id="rId16" name="Button 27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78498" r:id="rId17" name="Button 27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78499" r:id="rId18" name="Button 27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78500" r:id="rId19" name="Button 27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78501" r:id="rId20" name="Button 27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78502" r:id="rId21" name="Button 27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78503" r:id="rId22" name="Button 27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78504" r:id="rId23" name="Button 27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78505" r:id="rId24" name="Button 27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78506" r:id="rId25" name="Button 27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78507" r:id="rId26" name="Button 27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78508" r:id="rId27" name="Button 27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78509" r:id="rId28" name="Button 27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78510" r:id="rId29" name="Button 27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78511" r:id="rId30" name="Button 27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78512" r:id="rId31" name="Button 27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78513" r:id="rId32" name="Button 27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78514" r:id="rId33" name="Button 27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78515" r:id="rId34" name="Button 27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78516" r:id="rId35" name="Button 27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78517" r:id="rId36" name="Button 27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78518" r:id="rId37" name="Button 27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78519" r:id="rId38" name="Button 27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78520" r:id="rId39" name="Button 27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78521" r:id="rId40" name="Button 27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78522" r:id="rId41" name="Button 27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78523" r:id="rId42" name="Button 27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78524" r:id="rId43" name="Button 27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78525" r:id="rId44" name="Button 27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78526" r:id="rId45" name="Button 27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78527" r:id="rId46" name="Button 27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78528" r:id="rId47" name="Button 27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78529" r:id="rId48" name="Button 27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78530" r:id="rId49" name="Button 27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78531" r:id="rId50" name="Button 27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78532" r:id="rId51" name="Button 27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78533" r:id="rId52" name="Button 27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78534" r:id="rId53" name="Button 27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78535" r:id="rId54" name="Button 27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78536" r:id="rId55" name="Button 27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78537" r:id="rId56" name="Button 27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78538" r:id="rId57" name="Button 27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78539" r:id="rId58" name="Button 27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78540" r:id="rId59" name="Button 27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78541" r:id="rId60" name="Button 27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78542" r:id="rId61" name="Button 27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78543" r:id="rId62" name="Button 27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78544" r:id="rId63" name="Button 27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78545" r:id="rId64" name="Button 27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78546" r:id="rId65" name="Button 27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78547" r:id="rId66" name="Button 27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78548" r:id="rId67" name="Button 27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78549" r:id="rId68" name="Button 27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78550" r:id="rId69" name="Button 27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78551" r:id="rId70" name="Button 27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78552" r:id="rId71" name="Button 27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78553" r:id="rId72" name="Button 27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78554" r:id="rId73" name="Button 27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78555" r:id="rId74" name="Button 27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78556" r:id="rId75" name="Button 27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78557" r:id="rId76" name="Button 27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78558" r:id="rId77" name="Button 27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78559" r:id="rId78" name="Button 27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78560" r:id="rId79" name="Button 27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78561" r:id="rId80" name="Button 27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78562" r:id="rId81" name="Button 27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78563" r:id="rId82" name="Button 27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78564" r:id="rId83" name="Button 27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78565" r:id="rId84" name="Button 27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78566" r:id="rId85" name="Button 27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78567" r:id="rId86" name="Button 27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78568" r:id="rId87" name="Button 27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78569" r:id="rId88" name="Button 27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78570" r:id="rId89" name="Button 27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78571" r:id="rId90" name="Button 27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78572" r:id="rId91" name="Button 27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78573" r:id="rId92" name="Button 27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78574" r:id="rId93" name="Button 27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78575" r:id="rId94" name="Button 27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78576" r:id="rId95" name="Button 28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78577" r:id="rId96" name="Button 28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78578" r:id="rId97" name="Button 28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78579" r:id="rId98" name="Button 28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78580" r:id="rId99" name="Button 28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78581" r:id="rId100" name="Button 28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78582" r:id="rId101" name="Button 28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78583" r:id="rId102" name="Button 28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78584" r:id="rId103" name="Button 28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F9" sqref="F9"/>
    </sheetView>
  </sheetViews>
  <sheetFormatPr defaultColWidth="9.109375" defaultRowHeight="13.2" x14ac:dyDescent="0.25"/>
  <cols>
    <col min="1" max="1" width="13.6640625" style="314" customWidth="1"/>
    <col min="2" max="2" width="19.88671875" style="316" customWidth="1"/>
    <col min="3" max="3" width="12.6640625" style="313" customWidth="1"/>
    <col min="4" max="4" width="18.6640625" style="316" customWidth="1"/>
    <col min="5" max="5" width="20.88671875" style="316" customWidth="1"/>
    <col min="6" max="6" width="17" style="316" customWidth="1"/>
    <col min="7" max="7" width="14.6640625" style="314" customWidth="1"/>
    <col min="8" max="16384" width="9.109375" style="314"/>
  </cols>
  <sheetData>
    <row r="1" spans="1:7" s="339" customFormat="1" ht="17.399999999999999" x14ac:dyDescent="0.3">
      <c r="A1" s="388" t="s">
        <v>547</v>
      </c>
      <c r="B1" s="654"/>
      <c r="C1" s="259"/>
      <c r="D1" s="654"/>
      <c r="E1" s="654"/>
      <c r="F1" s="654"/>
      <c r="G1" s="352"/>
    </row>
    <row r="2" spans="1:7" s="339" customFormat="1" ht="14.4" x14ac:dyDescent="0.3">
      <c r="A2" s="63"/>
      <c r="B2" s="73"/>
      <c r="C2" s="67"/>
      <c r="D2" s="73"/>
      <c r="E2" s="73"/>
      <c r="F2" s="73"/>
      <c r="G2" s="352"/>
    </row>
    <row r="3" spans="1:7" s="339" customFormat="1" ht="14.4" x14ac:dyDescent="0.3">
      <c r="A3" s="64"/>
      <c r="B3" s="560"/>
      <c r="C3" s="66"/>
      <c r="D3" s="560"/>
      <c r="E3" s="560"/>
      <c r="F3" s="560"/>
      <c r="G3" s="430"/>
    </row>
    <row r="4" spans="1:7" s="339" customFormat="1" ht="14.4" x14ac:dyDescent="0.3">
      <c r="A4" s="63"/>
      <c r="B4" s="73"/>
      <c r="C4" s="67"/>
      <c r="D4" s="73"/>
      <c r="E4" s="73"/>
      <c r="F4" s="73"/>
      <c r="G4" s="352"/>
    </row>
    <row r="5" spans="1:7" s="339" customFormat="1" ht="15.6" x14ac:dyDescent="0.3">
      <c r="A5" s="431" t="s">
        <v>343</v>
      </c>
      <c r="B5" s="666"/>
      <c r="C5" s="668"/>
      <c r="D5" s="669"/>
      <c r="E5" s="669"/>
      <c r="F5" s="670"/>
      <c r="G5" s="432"/>
    </row>
    <row r="6" spans="1:7" s="339" customFormat="1" ht="48.75" customHeight="1" x14ac:dyDescent="0.35">
      <c r="A6" s="1509" t="s">
        <v>1300</v>
      </c>
      <c r="B6" s="667"/>
      <c r="C6" s="256" t="s">
        <v>116</v>
      </c>
      <c r="D6" s="25"/>
      <c r="E6" s="667"/>
      <c r="F6" s="667"/>
      <c r="G6" s="433"/>
    </row>
    <row r="7" spans="1:7" s="339" customFormat="1" ht="14.4" x14ac:dyDescent="0.3">
      <c r="A7" s="1510"/>
      <c r="B7" s="26"/>
      <c r="C7" s="67"/>
      <c r="D7" s="26"/>
      <c r="E7" s="798" t="str">
        <f>HYPERLINK("#DropDownLists!K6","Add to this list")</f>
        <v>Add to this list</v>
      </c>
      <c r="F7" s="798" t="str">
        <f>HYPERLINK("#DropDownLists!O6","Add to this list")</f>
        <v>Add to this list</v>
      </c>
      <c r="G7" s="434"/>
    </row>
    <row r="8" spans="1:7" s="339" customFormat="1" ht="15" thickBot="1" x14ac:dyDescent="0.35">
      <c r="A8" s="1511"/>
      <c r="B8" s="18" t="s">
        <v>1637</v>
      </c>
      <c r="C8" s="20" t="s">
        <v>35</v>
      </c>
      <c r="D8" s="7" t="s">
        <v>1598</v>
      </c>
      <c r="E8" s="12" t="s">
        <v>77</v>
      </c>
      <c r="F8" s="7" t="s">
        <v>1659</v>
      </c>
      <c r="G8" s="435"/>
    </row>
    <row r="9" spans="1:7" ht="19.95" customHeight="1" x14ac:dyDescent="0.25"/>
    <row r="10" spans="1:7" ht="19.95" customHeight="1" x14ac:dyDescent="0.25"/>
    <row r="11" spans="1:7" ht="19.95" customHeight="1" x14ac:dyDescent="0.25"/>
    <row r="12" spans="1:7" ht="19.95" customHeight="1" x14ac:dyDescent="0.25"/>
    <row r="13" spans="1:7" ht="19.95" customHeight="1" x14ac:dyDescent="0.25"/>
    <row r="14" spans="1:7" ht="19.95" customHeight="1" x14ac:dyDescent="0.25"/>
    <row r="15" spans="1:7" ht="19.95" customHeight="1" x14ac:dyDescent="0.25"/>
    <row r="16" spans="1:7"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F8">
    <cfRule type="expression" dxfId="84"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457" r:id="rId4" name="Button 26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1458" r:id="rId5" name="Button 26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1459" r:id="rId6" name="Button 26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1460" r:id="rId7" name="Button 26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1461" r:id="rId8" name="Button 26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1462" r:id="rId9" name="Button 26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1463" r:id="rId10" name="Button 26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1464" r:id="rId11" name="Button 26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1465" r:id="rId12" name="Button 26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1466" r:id="rId13" name="Button 26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1467" r:id="rId14" name="Button 26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1468" r:id="rId15" name="Button 26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1469" r:id="rId16" name="Button 26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1470" r:id="rId17" name="Button 26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1471" r:id="rId18" name="Button 26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1472" r:id="rId19" name="Button 26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1473" r:id="rId20" name="Button 26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1474" r:id="rId21" name="Button 26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1475" r:id="rId22" name="Button 26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1476" r:id="rId23" name="Button 26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1477" r:id="rId24" name="Button 26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1478" r:id="rId25" name="Button 26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1479" r:id="rId26" name="Button 26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1480" r:id="rId27" name="Button 26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1481" r:id="rId28" name="Button 26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1482" r:id="rId29" name="Button 26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1483" r:id="rId30" name="Button 26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1484" r:id="rId31" name="Button 26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1485" r:id="rId32" name="Button 26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1486" r:id="rId33" name="Button 26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1487" r:id="rId34" name="Button 26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1488" r:id="rId35" name="Button 26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1489" r:id="rId36" name="Button 26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1490" r:id="rId37" name="Button 26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1491" r:id="rId38" name="Button 26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1492" r:id="rId39" name="Button 26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1493" r:id="rId40" name="Button 26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1494" r:id="rId41" name="Button 26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1495" r:id="rId42" name="Button 26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1496" r:id="rId43" name="Button 26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1497" r:id="rId44" name="Button 26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1498" r:id="rId45" name="Button 26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1499" r:id="rId46" name="Button 26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1500" r:id="rId47" name="Button 26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1501" r:id="rId48" name="Button 26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1502" r:id="rId49" name="Button 26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1503" r:id="rId50" name="Button 26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1504" r:id="rId51" name="Button 26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1505" r:id="rId52" name="Button 26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1506" r:id="rId53" name="Button 26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1507" r:id="rId54" name="Button 26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1508" r:id="rId55" name="Button 26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1509" r:id="rId56" name="Button 26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1510" r:id="rId57" name="Button 26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1511" r:id="rId58" name="Button 26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1512" r:id="rId59" name="Button 26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1513" r:id="rId60" name="Button 26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1514" r:id="rId61" name="Button 26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1515" r:id="rId62" name="Button 26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1516" r:id="rId63" name="Button 26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1517" r:id="rId64" name="Button 26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1518" r:id="rId65" name="Button 26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1519" r:id="rId66" name="Button 26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1520" r:id="rId67" name="Button 26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1521" r:id="rId68" name="Button 26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1522" r:id="rId69" name="Button 26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1523" r:id="rId70" name="Button 26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1524" r:id="rId71" name="Button 26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1525" r:id="rId72" name="Button 26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1526" r:id="rId73" name="Button 26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1527" r:id="rId74" name="Button 26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1528" r:id="rId75" name="Button 26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1529" r:id="rId76" name="Button 26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1530" r:id="rId77" name="Button 26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1531" r:id="rId78" name="Button 26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1532" r:id="rId79" name="Button 26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1533" r:id="rId80" name="Button 26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1534" r:id="rId81" name="Button 26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1535" r:id="rId82" name="Button 26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1536" r:id="rId83" name="Button 26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1537" r:id="rId84" name="Button 26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1538" r:id="rId85" name="Button 26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1539" r:id="rId86" name="Button 26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1540" r:id="rId87" name="Button 26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1541" r:id="rId88" name="Button 26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1542" r:id="rId89" name="Button 26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1543" r:id="rId90" name="Button 26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1544" r:id="rId91" name="Button 26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1545" r:id="rId92" name="Button 26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1546" r:id="rId93" name="Button 26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1547" r:id="rId94" name="Button 26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1548" r:id="rId95" name="Button 27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1549" r:id="rId96" name="Button 27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1550" r:id="rId97" name="Button 27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1551" r:id="rId98" name="Button 27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1552" r:id="rId99" name="Button 27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1553" r:id="rId100" name="Button 27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1554" r:id="rId101" name="Button 27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1555" r:id="rId102" name="Button 27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1556" r:id="rId103" name="Button 27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F12" sqref="F12"/>
    </sheetView>
  </sheetViews>
  <sheetFormatPr defaultColWidth="9.109375" defaultRowHeight="13.2" x14ac:dyDescent="0.25"/>
  <cols>
    <col min="1" max="1" width="13.6640625" style="314" customWidth="1"/>
    <col min="2" max="2" width="29" style="316" customWidth="1"/>
    <col min="3" max="3" width="12.44140625" style="313" customWidth="1"/>
    <col min="4" max="4" width="14.5546875" style="316" customWidth="1"/>
    <col min="5" max="5" width="13.44140625" style="316" customWidth="1"/>
    <col min="6" max="7" width="20.6640625" style="316" customWidth="1"/>
    <col min="8" max="9" width="20.6640625" style="314" customWidth="1"/>
    <col min="10" max="10" width="20.6640625" style="316" customWidth="1"/>
    <col min="11" max="16384" width="9.109375" style="314"/>
  </cols>
  <sheetData>
    <row r="1" spans="1:10" s="339" customFormat="1" ht="17.399999999999999" x14ac:dyDescent="0.3">
      <c r="A1" s="388" t="s">
        <v>380</v>
      </c>
      <c r="B1" s="671"/>
      <c r="C1" s="262"/>
      <c r="D1" s="673"/>
      <c r="E1" s="673"/>
      <c r="F1" s="674"/>
      <c r="G1" s="675"/>
      <c r="H1" s="437"/>
      <c r="I1" s="437"/>
      <c r="J1" s="685"/>
    </row>
    <row r="2" spans="1:10" s="339" customFormat="1" ht="15" customHeight="1" x14ac:dyDescent="0.3">
      <c r="A2" s="438"/>
      <c r="B2" s="672"/>
      <c r="C2" s="263"/>
      <c r="D2" s="676"/>
      <c r="E2" s="676"/>
      <c r="F2" s="677"/>
      <c r="G2" s="1518" t="s">
        <v>475</v>
      </c>
      <c r="H2" s="439"/>
      <c r="I2" s="439"/>
      <c r="J2" s="686"/>
    </row>
    <row r="3" spans="1:10" s="339" customFormat="1" ht="14.4" x14ac:dyDescent="0.3">
      <c r="B3" s="655"/>
      <c r="C3" s="260"/>
      <c r="D3" s="16"/>
      <c r="E3" s="16"/>
      <c r="F3" s="659"/>
      <c r="G3" s="1518"/>
      <c r="H3" s="426"/>
      <c r="I3" s="426"/>
      <c r="J3" s="687"/>
    </row>
    <row r="4" spans="1:10" s="339" customFormat="1" ht="15" customHeight="1" x14ac:dyDescent="0.3">
      <c r="A4" s="424"/>
      <c r="B4" s="655"/>
      <c r="C4" s="260"/>
      <c r="D4" s="16"/>
      <c r="E4" s="16"/>
      <c r="F4" s="659"/>
      <c r="G4" s="1519"/>
      <c r="H4" s="426"/>
      <c r="I4" s="426"/>
      <c r="J4" s="687"/>
    </row>
    <row r="5" spans="1:10" s="339" customFormat="1" ht="15.6" x14ac:dyDescent="0.3">
      <c r="A5" s="431" t="s">
        <v>343</v>
      </c>
      <c r="B5" s="666"/>
      <c r="C5" s="668"/>
      <c r="D5" s="678"/>
      <c r="E5" s="678"/>
      <c r="F5" s="679" t="s">
        <v>381</v>
      </c>
      <c r="G5" s="680"/>
      <c r="H5" s="440"/>
      <c r="I5" s="440"/>
      <c r="J5" s="688"/>
    </row>
    <row r="6" spans="1:10" s="339" customFormat="1" ht="36.75" customHeight="1" x14ac:dyDescent="0.3">
      <c r="A6" s="1509" t="s">
        <v>1300</v>
      </c>
      <c r="B6" s="655"/>
      <c r="C6" s="256" t="s">
        <v>116</v>
      </c>
      <c r="D6" s="655"/>
      <c r="E6" s="681"/>
      <c r="F6" s="622"/>
      <c r="G6" s="682"/>
      <c r="H6" s="398" t="s">
        <v>40</v>
      </c>
      <c r="I6" s="398" t="s">
        <v>382</v>
      </c>
      <c r="J6" s="689"/>
    </row>
    <row r="7" spans="1:10" s="339" customFormat="1" ht="14.4" x14ac:dyDescent="0.3">
      <c r="A7" s="1510"/>
      <c r="B7" s="655"/>
      <c r="C7" s="67"/>
      <c r="D7" s="655"/>
      <c r="E7" s="804" t="str">
        <f>HYPERLINK("#DropDownLists!K6","Add to this list")</f>
        <v>Add to this list</v>
      </c>
      <c r="F7" s="622"/>
      <c r="G7" s="683"/>
      <c r="H7" s="334"/>
      <c r="I7" s="334"/>
      <c r="J7" s="804" t="str">
        <f>HYPERLINK("#DropDownLists!O6","Add to this list")</f>
        <v>Add to this list</v>
      </c>
    </row>
    <row r="8" spans="1:10" s="339" customFormat="1" ht="40.799999999999997" thickBot="1" x14ac:dyDescent="0.35">
      <c r="A8" s="1511"/>
      <c r="B8" s="18" t="s">
        <v>1637</v>
      </c>
      <c r="C8" s="20" t="s">
        <v>35</v>
      </c>
      <c r="D8" s="7" t="s">
        <v>1598</v>
      </c>
      <c r="E8" s="684" t="s">
        <v>77</v>
      </c>
      <c r="F8" s="19" t="s">
        <v>1662</v>
      </c>
      <c r="G8" s="19" t="s">
        <v>1663</v>
      </c>
      <c r="H8" s="419" t="s">
        <v>3503</v>
      </c>
      <c r="I8" s="419" t="s">
        <v>3504</v>
      </c>
      <c r="J8" s="690" t="s">
        <v>1661</v>
      </c>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conditionalFormatting sqref="A8:J8">
    <cfRule type="expression" dxfId="83"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479" r:id="rId3" name="Button 2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2480" r:id="rId4" name="Button 2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2481" r:id="rId5" name="Button 2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2482" r:id="rId6" name="Button 2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2483" r:id="rId7" name="Button 2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2484" r:id="rId8" name="Button 2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2485" r:id="rId9" name="Button 2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2486" r:id="rId10" name="Button 2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2487" r:id="rId11" name="Button 2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2488" r:id="rId12" name="Button 2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2489" r:id="rId13" name="Button 2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2490" r:id="rId14" name="Button 2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2491" r:id="rId15" name="Button 2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2492" r:id="rId16" name="Button 2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2493" r:id="rId17" name="Button 2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2494" r:id="rId18" name="Button 2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2495" r:id="rId19" name="Button 2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2496" r:id="rId20" name="Button 2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2497" r:id="rId21" name="Button 2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2498" r:id="rId22" name="Button 2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2499" r:id="rId23" name="Button 2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2500" r:id="rId24" name="Button 2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2501" r:id="rId25" name="Button 2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2502" r:id="rId26" name="Button 2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2503" r:id="rId27" name="Button 2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2504" r:id="rId28" name="Button 2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2505" r:id="rId29" name="Button 2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2506" r:id="rId30" name="Button 2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2507" r:id="rId31" name="Button 2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2508" r:id="rId32" name="Button 2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2509" r:id="rId33" name="Button 2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2510" r:id="rId34" name="Button 2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2511" r:id="rId35" name="Button 2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2512" r:id="rId36" name="Button 2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2513" r:id="rId37" name="Button 2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2514" r:id="rId38" name="Button 2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2515" r:id="rId39" name="Button 2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2516" r:id="rId40" name="Button 2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2517" r:id="rId41" name="Button 2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2518" r:id="rId42" name="Button 2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2519" r:id="rId43" name="Button 2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2520" r:id="rId44" name="Button 2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2521" r:id="rId45" name="Button 2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2522" r:id="rId46" name="Button 2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2523" r:id="rId47" name="Button 2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2524" r:id="rId48" name="Button 2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2525" r:id="rId49" name="Button 2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2526" r:id="rId50" name="Button 2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2527" r:id="rId51" name="Button 2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2528" r:id="rId52" name="Button 2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2529" r:id="rId53" name="Button 2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2530" r:id="rId54" name="Button 2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2531" r:id="rId55" name="Button 2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2532" r:id="rId56" name="Button 2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2533" r:id="rId57" name="Button 2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2534" r:id="rId58" name="Button 2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2535" r:id="rId59" name="Button 2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2536" r:id="rId60" name="Button 2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2537" r:id="rId61" name="Button 2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2538" r:id="rId62" name="Button 2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2539" r:id="rId63" name="Button 2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2540" r:id="rId64" name="Button 2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2541" r:id="rId65" name="Button 2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2542" r:id="rId66" name="Button 2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2543" r:id="rId67" name="Button 2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2544" r:id="rId68" name="Button 2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2545" r:id="rId69" name="Button 2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2546" r:id="rId70" name="Button 2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2547" r:id="rId71" name="Button 2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2548" r:id="rId72" name="Button 2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2549" r:id="rId73" name="Button 2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2550" r:id="rId74" name="Button 2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2551" r:id="rId75" name="Button 2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2552" r:id="rId76" name="Button 2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2553" r:id="rId77" name="Button 2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2554" r:id="rId78" name="Button 2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2555" r:id="rId79" name="Button 2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2556" r:id="rId80" name="Button 2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2557" r:id="rId81" name="Button 2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2558" r:id="rId82" name="Button 2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2559" r:id="rId83" name="Button 2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2560" r:id="rId84" name="Button 2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2561" r:id="rId85" name="Button 2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2562" r:id="rId86" name="Button 2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2563" r:id="rId87" name="Button 2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2564" r:id="rId88" name="Button 2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2565" r:id="rId89" name="Button 2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2566" r:id="rId90" name="Button 2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2567" r:id="rId91" name="Button 2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2568" r:id="rId92" name="Button 2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2569" r:id="rId93" name="Button 2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2570" r:id="rId94" name="Button 2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2571" r:id="rId95" name="Button 2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2572" r:id="rId96" name="Button 2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2573" r:id="rId97" name="Button 2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2574" r:id="rId98" name="Button 2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2575" r:id="rId99" name="Button 2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2576" r:id="rId100" name="Button 2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2577" r:id="rId101" name="Button 2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2578" r:id="rId102" name="Button 2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J8" sqref="J8"/>
    </sheetView>
  </sheetViews>
  <sheetFormatPr defaultColWidth="8.88671875" defaultRowHeight="13.2" x14ac:dyDescent="0.25"/>
  <cols>
    <col min="1" max="1" width="13.6640625" style="314" customWidth="1"/>
    <col min="2" max="2" width="21.6640625" style="316" customWidth="1"/>
    <col min="3" max="3" width="21.6640625" style="313" customWidth="1"/>
    <col min="4" max="4" width="12.33203125" style="313" customWidth="1"/>
    <col min="5" max="5" width="19" style="316" customWidth="1"/>
    <col min="6" max="6" width="16.5546875" style="314" customWidth="1"/>
    <col min="7" max="7" width="15.44140625" style="316" customWidth="1"/>
    <col min="8" max="8" width="16.44140625" style="316" customWidth="1"/>
    <col min="9" max="9" width="15.44140625" style="316" customWidth="1"/>
    <col min="10" max="10" width="16.6640625" style="314" customWidth="1"/>
    <col min="11" max="11" width="15.6640625" style="316" customWidth="1"/>
    <col min="12" max="12" width="8.33203125" style="314" customWidth="1"/>
    <col min="13" max="13" width="17.5546875" style="314" customWidth="1"/>
    <col min="14" max="19" width="8.88671875" style="314" customWidth="1"/>
    <col min="20" max="16384" width="8.88671875" style="314"/>
  </cols>
  <sheetData>
    <row r="1" spans="1:19" s="442" customFormat="1" ht="17.399999999999999" x14ac:dyDescent="0.3">
      <c r="A1" s="388" t="s">
        <v>548</v>
      </c>
      <c r="B1" s="671"/>
      <c r="C1" s="262"/>
      <c r="D1" s="262"/>
      <c r="E1" s="673"/>
      <c r="F1" s="436"/>
      <c r="G1" s="674"/>
      <c r="H1" s="674"/>
      <c r="I1" s="674"/>
      <c r="J1" s="436"/>
      <c r="K1" s="674"/>
      <c r="L1" s="441"/>
      <c r="M1" s="441"/>
      <c r="N1" s="401"/>
      <c r="O1" s="401"/>
      <c r="P1" s="401"/>
      <c r="Q1" s="401"/>
      <c r="R1" s="401"/>
      <c r="S1" s="401"/>
    </row>
    <row r="2" spans="1:19" s="442" customFormat="1" ht="14.4" x14ac:dyDescent="0.3">
      <c r="A2" s="63"/>
      <c r="B2" s="73"/>
      <c r="C2" s="67"/>
      <c r="D2" s="67"/>
      <c r="E2" s="73"/>
      <c r="F2" s="63"/>
      <c r="G2" s="73"/>
      <c r="H2" s="73"/>
      <c r="I2" s="73"/>
      <c r="J2" s="63"/>
      <c r="K2" s="189"/>
      <c r="L2" s="441"/>
      <c r="M2" s="441"/>
      <c r="N2" s="401"/>
      <c r="O2" s="401"/>
      <c r="P2" s="401"/>
      <c r="Q2" s="401"/>
      <c r="R2" s="401"/>
      <c r="S2" s="401"/>
    </row>
    <row r="3" spans="1:19" s="442" customFormat="1" ht="15.6" x14ac:dyDescent="0.3">
      <c r="A3" s="64"/>
      <c r="B3" s="560"/>
      <c r="C3" s="66"/>
      <c r="D3" s="693"/>
      <c r="E3" s="696"/>
      <c r="F3" s="63"/>
      <c r="G3" s="698"/>
      <c r="H3" s="698"/>
      <c r="I3" s="73"/>
      <c r="J3" s="63"/>
      <c r="K3" s="189"/>
      <c r="L3" s="441"/>
      <c r="M3" s="441"/>
      <c r="N3" s="401"/>
      <c r="O3" s="401"/>
      <c r="P3" s="401"/>
      <c r="Q3" s="401"/>
      <c r="R3" s="401"/>
      <c r="S3" s="401"/>
    </row>
    <row r="4" spans="1:19" s="442" customFormat="1" ht="14.4" x14ac:dyDescent="0.3">
      <c r="A4" s="63"/>
      <c r="B4" s="73"/>
      <c r="C4" s="67"/>
      <c r="D4" s="67"/>
      <c r="E4" s="73"/>
      <c r="F4" s="63"/>
      <c r="G4" s="73"/>
      <c r="H4" s="73"/>
      <c r="I4" s="73"/>
      <c r="J4" s="63"/>
      <c r="K4" s="189"/>
      <c r="L4" s="441"/>
      <c r="M4" s="441"/>
      <c r="N4" s="401"/>
      <c r="O4" s="401"/>
      <c r="P4" s="401"/>
      <c r="Q4" s="401"/>
      <c r="R4" s="401"/>
      <c r="S4" s="401"/>
    </row>
    <row r="5" spans="1:19" s="442" customFormat="1" ht="16.2" thickBot="1" x14ac:dyDescent="0.35">
      <c r="A5" s="395" t="s">
        <v>343</v>
      </c>
      <c r="B5" s="691"/>
      <c r="C5" s="264"/>
      <c r="D5" s="694"/>
      <c r="E5" s="697"/>
      <c r="F5" s="1520" t="s">
        <v>82</v>
      </c>
      <c r="G5" s="1521"/>
      <c r="H5" s="1521"/>
      <c r="I5" s="1521"/>
      <c r="J5" s="445"/>
      <c r="K5" s="702"/>
      <c r="L5" s="94"/>
      <c r="M5" s="441"/>
      <c r="N5" s="401"/>
      <c r="O5" s="401"/>
      <c r="P5" s="401"/>
      <c r="Q5" s="401"/>
      <c r="R5" s="401"/>
    </row>
    <row r="6" spans="1:19" s="446" customFormat="1" ht="37.5" customHeight="1" x14ac:dyDescent="0.3">
      <c r="A6" s="1509" t="s">
        <v>1301</v>
      </c>
      <c r="B6" s="692"/>
      <c r="C6" s="1522" t="s">
        <v>116</v>
      </c>
      <c r="D6" s="1522"/>
      <c r="E6" s="25"/>
      <c r="F6" s="65" t="s">
        <v>136</v>
      </c>
      <c r="G6" s="699"/>
      <c r="H6" s="700"/>
      <c r="I6" s="642"/>
      <c r="J6" s="65" t="s">
        <v>177</v>
      </c>
      <c r="K6" s="703"/>
      <c r="L6" s="447"/>
      <c r="M6" s="340"/>
      <c r="N6" s="448"/>
      <c r="O6" s="448"/>
      <c r="P6" s="448"/>
      <c r="Q6" s="448"/>
      <c r="R6" s="448"/>
      <c r="S6" s="448"/>
    </row>
    <row r="7" spans="1:19" s="442" customFormat="1" ht="15" customHeight="1" x14ac:dyDescent="0.3">
      <c r="A7" s="1510"/>
      <c r="B7" s="26"/>
      <c r="C7" s="250"/>
      <c r="D7" s="250"/>
      <c r="E7" s="26"/>
      <c r="F7" s="11"/>
      <c r="G7" s="805" t="str">
        <f>HYPERLINK("#DropDownLists!F6","Add to this list")</f>
        <v>Add to this list</v>
      </c>
      <c r="H7" s="805" t="str">
        <f>HYPERLINK("#DropDownLists!E6","Add to this list")</f>
        <v>Add to this list</v>
      </c>
      <c r="I7" s="701"/>
      <c r="J7" s="383"/>
      <c r="K7" s="806" t="str">
        <f>HYPERLINK("#DropDownLists!H6","Add to this list")</f>
        <v>Add to this list</v>
      </c>
      <c r="L7" s="405"/>
      <c r="M7" s="405"/>
      <c r="N7" s="401"/>
      <c r="O7" s="401"/>
      <c r="P7" s="401"/>
      <c r="Q7" s="401"/>
      <c r="R7" s="401"/>
      <c r="S7" s="401"/>
    </row>
    <row r="8" spans="1:19" s="442" customFormat="1" ht="40.799999999999997" thickBot="1" x14ac:dyDescent="0.35">
      <c r="A8" s="1511"/>
      <c r="B8" s="18" t="s">
        <v>1637</v>
      </c>
      <c r="C8" s="17" t="s">
        <v>1576</v>
      </c>
      <c r="D8" s="695" t="s">
        <v>1577</v>
      </c>
      <c r="E8" s="7" t="s">
        <v>1598</v>
      </c>
      <c r="F8" s="6" t="s">
        <v>3505</v>
      </c>
      <c r="G8" s="12" t="s">
        <v>1670</v>
      </c>
      <c r="H8" s="12" t="s">
        <v>1665</v>
      </c>
      <c r="I8" s="12" t="s">
        <v>1666</v>
      </c>
      <c r="J8" s="6" t="s">
        <v>3506</v>
      </c>
      <c r="K8" s="704" t="s">
        <v>1667</v>
      </c>
      <c r="L8" s="405"/>
      <c r="M8" s="401"/>
      <c r="N8" s="401"/>
      <c r="O8" s="401"/>
      <c r="P8" s="401"/>
      <c r="Q8" s="401"/>
      <c r="R8" s="401"/>
    </row>
    <row r="9" spans="1:19" ht="19.95" customHeight="1" x14ac:dyDescent="0.25"/>
    <row r="10" spans="1:19" ht="19.95" customHeight="1" x14ac:dyDescent="0.25"/>
    <row r="11" spans="1:19" ht="19.95" customHeight="1" x14ac:dyDescent="0.25"/>
    <row r="12" spans="1:19" ht="19.95" customHeight="1" x14ac:dyDescent="0.25"/>
    <row r="13" spans="1:19" ht="19.95" customHeight="1" x14ac:dyDescent="0.25"/>
    <row r="14" spans="1:19" ht="19.95" customHeight="1" x14ac:dyDescent="0.25"/>
    <row r="15" spans="1:19" ht="19.95" customHeight="1" x14ac:dyDescent="0.25"/>
    <row r="16" spans="1:19"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conditionalFormatting sqref="A8:K8">
    <cfRule type="expression" dxfId="82"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506" r:id="rId4" name="Button 2610">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3507" r:id="rId5" name="Button 2611">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3508" r:id="rId6" name="Button 2612">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3509" r:id="rId7" name="Button 2613">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3510" r:id="rId8" name="Button 2614">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3511" r:id="rId9" name="Button 2615">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3512" r:id="rId10" name="Button 2616">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3513" r:id="rId11" name="Button 2617">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3514" r:id="rId12" name="Button 2618">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3515" r:id="rId13" name="Button 2619">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3516" r:id="rId14" name="Button 2620">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3517" r:id="rId15" name="Button 2621">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3518" r:id="rId16" name="Button 2622">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3519" r:id="rId17" name="Button 2623">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3520" r:id="rId18" name="Button 2624">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3521" r:id="rId19" name="Button 2625">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3522" r:id="rId20" name="Button 2626">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3523" r:id="rId21" name="Button 2627">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3524" r:id="rId22" name="Button 2628">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3525" r:id="rId23" name="Button 2629">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3526" r:id="rId24" name="Button 2630">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3527" r:id="rId25" name="Button 2631">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3528" r:id="rId26" name="Button 2632">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3529" r:id="rId27" name="Button 2633">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3530" r:id="rId28" name="Button 2634">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3531" r:id="rId29" name="Button 2635">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3532" r:id="rId30" name="Button 2636">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3533" r:id="rId31" name="Button 2637">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3534" r:id="rId32" name="Button 2638">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3535" r:id="rId33" name="Button 2639">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3536" r:id="rId34" name="Button 2640">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3537" r:id="rId35" name="Button 2641">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3538" r:id="rId36" name="Button 2642">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3539" r:id="rId37" name="Button 2643">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3540" r:id="rId38" name="Button 2644">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3541" r:id="rId39" name="Button 2645">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3542" r:id="rId40" name="Button 2646">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3543" r:id="rId41" name="Button 2647">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3544" r:id="rId42" name="Button 2648">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3545" r:id="rId43" name="Button 2649">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3546" r:id="rId44" name="Button 2650">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3547" r:id="rId45" name="Button 2651">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3548" r:id="rId46" name="Button 2652">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3549" r:id="rId47" name="Button 2653">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3550" r:id="rId48" name="Button 2654">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3551" r:id="rId49" name="Button 2655">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3552" r:id="rId50" name="Button 2656">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3553" r:id="rId51" name="Button 2657">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3554" r:id="rId52" name="Button 2658">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3555" r:id="rId53" name="Button 2659">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3556" r:id="rId54" name="Button 2660">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3557" r:id="rId55" name="Button 2661">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3558" r:id="rId56" name="Button 2662">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3559" r:id="rId57" name="Button 2663">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3560" r:id="rId58" name="Button 2664">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3561" r:id="rId59" name="Button 2665">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3562" r:id="rId60" name="Button 2666">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3563" r:id="rId61" name="Button 2667">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3564" r:id="rId62" name="Button 2668">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3565" r:id="rId63" name="Button 2669">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3566" r:id="rId64" name="Button 2670">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3567" r:id="rId65" name="Button 2671">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3568" r:id="rId66" name="Button 2672">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3569" r:id="rId67" name="Button 2673">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3570" r:id="rId68" name="Button 2674">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3571" r:id="rId69" name="Button 2675">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3572" r:id="rId70" name="Button 2676">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3573" r:id="rId71" name="Button 2677">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3574" r:id="rId72" name="Button 2678">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3575" r:id="rId73" name="Button 2679">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3576" r:id="rId74" name="Button 2680">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3577" r:id="rId75" name="Button 2681">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3578" r:id="rId76" name="Button 2682">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3579" r:id="rId77" name="Button 2683">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3580" r:id="rId78" name="Button 2684">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3581" r:id="rId79" name="Button 2685">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3582" r:id="rId80" name="Button 2686">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3583" r:id="rId81" name="Button 2687">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3584" r:id="rId82" name="Button 2688">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3585" r:id="rId83" name="Button 2689">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3586" r:id="rId84" name="Button 2690">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3587" r:id="rId85" name="Button 2691">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3588" r:id="rId86" name="Button 2692">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3589" r:id="rId87" name="Button 2693">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3590" r:id="rId88" name="Button 2694">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3591" r:id="rId89" name="Button 2695">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3592" r:id="rId90" name="Button 2696">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3593" r:id="rId91" name="Button 2697">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3594" r:id="rId92" name="Button 2698">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3595" r:id="rId93" name="Button 2699">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3596" r:id="rId94" name="Button 2700">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3597" r:id="rId95" name="Button 2701">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3598" r:id="rId96" name="Button 2702">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3599" r:id="rId97" name="Button 2703">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3600" r:id="rId98" name="Button 2704">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3601" r:id="rId99" name="Button 2705">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3602" r:id="rId100" name="Button 2706">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3603" r:id="rId101" name="Button 2707">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3604" r:id="rId102" name="Button 2708">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3605" r:id="rId103" name="Button 2709">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3300"/>
  </sheetPr>
  <dimension ref="A1:D9"/>
  <sheetViews>
    <sheetView workbookViewId="0">
      <selection activeCell="E11" sqref="E11:F11"/>
    </sheetView>
  </sheetViews>
  <sheetFormatPr defaultRowHeight="14.4" x14ac:dyDescent="0.3"/>
  <sheetData>
    <row r="1" spans="1:4" ht="17.399999999999999" x14ac:dyDescent="0.3">
      <c r="A1" s="388" t="s">
        <v>2794</v>
      </c>
      <c r="B1" s="637"/>
      <c r="C1" s="258"/>
      <c r="D1" s="640"/>
    </row>
    <row r="2" spans="1:4" x14ac:dyDescent="0.3">
      <c r="A2" s="63"/>
      <c r="B2" s="73"/>
      <c r="C2" s="67"/>
      <c r="D2" s="615"/>
    </row>
    <row r="3" spans="1:4" x14ac:dyDescent="0.3">
      <c r="A3" s="394"/>
      <c r="B3" s="73"/>
      <c r="C3" s="67"/>
      <c r="D3" s="615"/>
    </row>
    <row r="4" spans="1:4" x14ac:dyDescent="0.3">
      <c r="A4" s="63"/>
      <c r="B4" s="73"/>
      <c r="C4" s="67"/>
      <c r="D4" s="615"/>
    </row>
    <row r="5" spans="1:4" ht="15.6" x14ac:dyDescent="0.3">
      <c r="A5" s="1119" t="s">
        <v>343</v>
      </c>
      <c r="B5" s="1120"/>
      <c r="C5" s="1121"/>
      <c r="D5" s="1120"/>
    </row>
    <row r="6" spans="1:4" x14ac:dyDescent="0.3">
      <c r="A6" s="1509" t="s">
        <v>1300</v>
      </c>
      <c r="B6" s="638"/>
      <c r="C6" s="256" t="s">
        <v>116</v>
      </c>
      <c r="D6" s="25"/>
    </row>
    <row r="7" spans="1:4" x14ac:dyDescent="0.3">
      <c r="A7" s="1510"/>
      <c r="B7" s="639"/>
      <c r="C7" s="67"/>
      <c r="D7" s="73"/>
    </row>
    <row r="8" spans="1:4" ht="27.6" thickBot="1" x14ac:dyDescent="0.35">
      <c r="A8" s="1511"/>
      <c r="B8" s="1037" t="s">
        <v>3474</v>
      </c>
      <c r="C8" s="812" t="s">
        <v>35</v>
      </c>
      <c r="D8" s="625" t="s">
        <v>152</v>
      </c>
    </row>
    <row r="9" spans="1:4" x14ac:dyDescent="0.3">
      <c r="A9" s="108"/>
      <c r="B9" s="108"/>
      <c r="C9" s="108"/>
      <c r="D9" s="108"/>
    </row>
  </sheetData>
  <mergeCells count="1">
    <mergeCell ref="A6:A8"/>
  </mergeCells>
  <conditionalFormatting sqref="A8:D8">
    <cfRule type="expression" dxfId="81" priority="1">
      <formula>IF(INDEX(VAD_aMgtAnimal,COLUMN(A8),5)&gt;0,TRUE(),FALSE())</formula>
    </cfRule>
  </conditionalFormatting>
  <dataValidations count="4">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the amendment occurred (for example, the fertilization day), using the format specified above." sqref="C8"/>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Q9" activePane="bottomRight" state="frozen"/>
      <selection activeCell="D8" sqref="D8"/>
      <selection pane="topRight" activeCell="D8" sqref="D8"/>
      <selection pane="bottomLeft" activeCell="D8" sqref="D8"/>
      <selection pane="bottomRight" activeCell="F8" sqref="F8"/>
    </sheetView>
  </sheetViews>
  <sheetFormatPr defaultColWidth="9.109375" defaultRowHeight="13.2" x14ac:dyDescent="0.25"/>
  <cols>
    <col min="1" max="1" width="20.5546875" style="316" customWidth="1"/>
    <col min="2" max="2" width="12.33203125" style="313" customWidth="1"/>
    <col min="3" max="3" width="20.6640625" style="316" customWidth="1"/>
    <col min="4" max="4" width="9.6640625" style="314" customWidth="1"/>
    <col min="5" max="5" width="13.44140625" style="314" customWidth="1"/>
    <col min="6" max="6" width="12.6640625" style="314" customWidth="1"/>
    <col min="7" max="9" width="8.44140625" style="314" customWidth="1"/>
    <col min="10" max="10" width="8.6640625" style="314" customWidth="1"/>
    <col min="11" max="11" width="9" style="314" customWidth="1"/>
    <col min="12" max="12" width="11.5546875" style="314" customWidth="1"/>
    <col min="13" max="13" width="12" style="316" customWidth="1"/>
    <col min="14" max="14" width="9.109375" style="314"/>
    <col min="15" max="15" width="11.6640625" style="314" customWidth="1"/>
    <col min="16" max="16" width="12.33203125" style="314" customWidth="1"/>
    <col min="17" max="17" width="11.33203125" style="314" customWidth="1"/>
    <col min="18" max="19" width="10.6640625" style="314" customWidth="1"/>
    <col min="20" max="20" width="9" style="314" customWidth="1"/>
    <col min="21" max="21" width="11.5546875" style="314" customWidth="1"/>
    <col min="22" max="22" width="10.88671875" style="314" customWidth="1"/>
    <col min="23" max="23" width="16.6640625" style="314" customWidth="1"/>
    <col min="24" max="24" width="13.33203125" style="314" customWidth="1"/>
    <col min="25" max="25" width="13.88671875" style="314" customWidth="1"/>
    <col min="26" max="16384" width="9.109375" style="314"/>
  </cols>
  <sheetData>
    <row r="1" spans="1:25" s="324" customFormat="1" ht="17.399999999999999" x14ac:dyDescent="0.3">
      <c r="A1" s="705" t="s">
        <v>549</v>
      </c>
      <c r="B1" s="83"/>
      <c r="C1" s="708"/>
      <c r="D1" s="84"/>
      <c r="E1" s="84"/>
      <c r="F1" s="85"/>
      <c r="G1" s="84"/>
      <c r="H1" s="84"/>
      <c r="I1" s="84"/>
      <c r="J1" s="84"/>
      <c r="K1" s="84"/>
      <c r="L1" s="84"/>
      <c r="M1" s="708"/>
      <c r="N1" s="450"/>
      <c r="O1" s="449"/>
      <c r="P1" s="450"/>
      <c r="Q1" s="451"/>
      <c r="R1" s="84"/>
      <c r="S1" s="84"/>
      <c r="T1" s="84"/>
      <c r="U1" s="84"/>
      <c r="V1" s="449"/>
      <c r="W1" s="449"/>
      <c r="X1" s="450"/>
      <c r="Y1" s="452"/>
    </row>
    <row r="2" spans="1:25" s="324" customFormat="1" ht="14.4" x14ac:dyDescent="0.3">
      <c r="A2" s="889" t="s">
        <v>617</v>
      </c>
      <c r="B2" s="67"/>
      <c r="C2" s="73"/>
      <c r="D2" s="63"/>
      <c r="E2" s="63"/>
      <c r="F2" s="113"/>
      <c r="G2" s="63"/>
      <c r="H2" s="63"/>
      <c r="I2" s="63"/>
      <c r="J2" s="63"/>
      <c r="K2" s="63"/>
      <c r="L2" s="63"/>
      <c r="M2" s="1523"/>
      <c r="N2" s="453"/>
      <c r="O2" s="453"/>
      <c r="P2" s="62"/>
      <c r="Q2" s="206"/>
      <c r="R2" s="890" t="s">
        <v>538</v>
      </c>
      <c r="S2" s="890" t="s">
        <v>538</v>
      </c>
      <c r="T2" s="890" t="s">
        <v>538</v>
      </c>
      <c r="U2" s="890" t="s">
        <v>538</v>
      </c>
      <c r="V2" s="890" t="s">
        <v>538</v>
      </c>
      <c r="W2" s="890" t="s">
        <v>538</v>
      </c>
      <c r="X2" s="890" t="s">
        <v>538</v>
      </c>
      <c r="Y2" s="890" t="s">
        <v>538</v>
      </c>
    </row>
    <row r="3" spans="1:25" s="459" customFormat="1" ht="12.75" customHeight="1" x14ac:dyDescent="0.25">
      <c r="A3" s="283"/>
      <c r="B3" s="67"/>
      <c r="C3" s="73"/>
      <c r="D3" s="63"/>
      <c r="E3" s="64"/>
      <c r="F3" s="454"/>
      <c r="G3" s="455"/>
      <c r="H3" s="455"/>
      <c r="I3" s="455"/>
      <c r="J3" s="64"/>
      <c r="K3" s="455"/>
      <c r="L3" s="455"/>
      <c r="M3" s="1523"/>
      <c r="N3" s="453"/>
      <c r="O3" s="453"/>
      <c r="P3" s="70"/>
      <c r="Q3" s="456"/>
      <c r="R3" s="64"/>
      <c r="S3" s="64"/>
      <c r="T3" s="455"/>
      <c r="U3" s="455"/>
      <c r="V3" s="453"/>
      <c r="W3" s="457"/>
      <c r="X3" s="70"/>
      <c r="Y3" s="458"/>
    </row>
    <row r="4" spans="1:25" s="324" customFormat="1" ht="14.4" x14ac:dyDescent="0.3">
      <c r="A4" s="283"/>
      <c r="B4" s="67"/>
      <c r="C4" s="73"/>
      <c r="D4" s="63"/>
      <c r="E4" s="30"/>
      <c r="F4" s="40"/>
      <c r="G4" s="63"/>
      <c r="H4" s="63"/>
      <c r="I4" s="63"/>
      <c r="J4" s="63"/>
      <c r="K4" s="394"/>
      <c r="L4" s="394"/>
      <c r="M4" s="1523"/>
      <c r="N4" s="70"/>
      <c r="O4" s="70"/>
      <c r="P4" s="82"/>
      <c r="Q4" s="207"/>
      <c r="R4" s="63"/>
      <c r="S4" s="63"/>
      <c r="T4" s="394"/>
      <c r="U4" s="394"/>
      <c r="V4" s="70"/>
      <c r="W4" s="86"/>
      <c r="X4" s="82"/>
      <c r="Y4" s="87"/>
    </row>
    <row r="5" spans="1:25" s="324" customFormat="1" ht="15.6" x14ac:dyDescent="0.3">
      <c r="A5" s="706" t="s">
        <v>343</v>
      </c>
      <c r="B5" s="707"/>
      <c r="C5" s="709"/>
      <c r="D5" s="63"/>
      <c r="E5" s="30"/>
      <c r="F5" s="40"/>
      <c r="G5" s="63"/>
      <c r="H5" s="63"/>
      <c r="I5" s="307"/>
      <c r="J5" s="63"/>
      <c r="K5" s="394"/>
      <c r="L5" s="394"/>
      <c r="M5" s="1524"/>
      <c r="N5" s="63"/>
      <c r="O5" s="307"/>
      <c r="P5" s="63"/>
      <c r="Q5" s="460"/>
      <c r="R5" s="63"/>
      <c r="S5" s="63"/>
      <c r="T5" s="394"/>
      <c r="U5" s="394"/>
      <c r="V5" s="63"/>
      <c r="W5" s="63"/>
      <c r="X5" s="63"/>
      <c r="Y5" s="461"/>
    </row>
    <row r="6" spans="1:25" s="330" customFormat="1" ht="16.2" x14ac:dyDescent="0.3">
      <c r="A6" s="285"/>
      <c r="B6" s="256" t="s">
        <v>116</v>
      </c>
      <c r="C6" s="25"/>
      <c r="D6" s="1528" t="s">
        <v>46</v>
      </c>
      <c r="E6" s="1528"/>
      <c r="F6" s="1525" t="s">
        <v>40</v>
      </c>
      <c r="G6" s="1525"/>
      <c r="H6" s="1525"/>
      <c r="I6" s="462" t="s">
        <v>117</v>
      </c>
      <c r="J6" s="1525" t="s">
        <v>1525</v>
      </c>
      <c r="K6" s="1526"/>
      <c r="L6" s="463" t="s">
        <v>44</v>
      </c>
      <c r="M6" s="886" t="s">
        <v>482</v>
      </c>
      <c r="N6" s="464" t="s">
        <v>106</v>
      </c>
      <c r="O6" s="100" t="s">
        <v>40</v>
      </c>
      <c r="P6" s="837" t="s">
        <v>40</v>
      </c>
      <c r="Q6" s="836" t="s">
        <v>1031</v>
      </c>
      <c r="R6" s="462" t="s">
        <v>117</v>
      </c>
      <c r="S6" s="1525" t="s">
        <v>43</v>
      </c>
      <c r="T6" s="1526"/>
      <c r="U6" s="463" t="s">
        <v>44</v>
      </c>
      <c r="V6" s="464" t="s">
        <v>106</v>
      </c>
      <c r="W6" s="179" t="s">
        <v>40</v>
      </c>
      <c r="X6" s="837" t="s">
        <v>40</v>
      </c>
      <c r="Y6" s="836" t="s">
        <v>1031</v>
      </c>
    </row>
    <row r="7" spans="1:25" s="324" customFormat="1" ht="12.75" customHeight="1" x14ac:dyDescent="0.3">
      <c r="A7" s="286"/>
      <c r="B7" s="67"/>
      <c r="C7" s="26"/>
      <c r="D7" s="1529" t="s">
        <v>71</v>
      </c>
      <c r="E7" s="1529"/>
      <c r="F7" s="1495" t="s">
        <v>101</v>
      </c>
      <c r="G7" s="1495"/>
      <c r="H7" s="1495"/>
      <c r="I7" s="11"/>
      <c r="J7" s="1527"/>
      <c r="K7" s="1527"/>
      <c r="L7" s="1527"/>
      <c r="M7" s="710"/>
      <c r="N7" s="465"/>
      <c r="O7" s="172"/>
      <c r="P7" s="466"/>
      <c r="Q7" s="467"/>
      <c r="R7" s="63"/>
      <c r="S7" s="1527"/>
      <c r="T7" s="1527"/>
      <c r="U7" s="1527"/>
      <c r="V7" s="465"/>
      <c r="W7" s="172"/>
      <c r="X7" s="466"/>
      <c r="Y7" s="468"/>
    </row>
    <row r="8" spans="1:25" s="324" customFormat="1" ht="57.6" customHeight="1" thickBot="1" x14ac:dyDescent="0.35">
      <c r="A8" s="18" t="s">
        <v>1637</v>
      </c>
      <c r="B8" s="20" t="s">
        <v>35</v>
      </c>
      <c r="C8" s="7" t="s">
        <v>1598</v>
      </c>
      <c r="D8" s="6" t="s">
        <v>3507</v>
      </c>
      <c r="E8" s="6" t="s">
        <v>3508</v>
      </c>
      <c r="F8" s="39" t="s">
        <v>3509</v>
      </c>
      <c r="G8" s="39" t="s">
        <v>3510</v>
      </c>
      <c r="H8" s="39" t="s">
        <v>3511</v>
      </c>
      <c r="I8" s="6" t="s">
        <v>3512</v>
      </c>
      <c r="J8" s="221" t="s">
        <v>3513</v>
      </c>
      <c r="K8" s="221" t="s">
        <v>3514</v>
      </c>
      <c r="L8" s="221" t="s">
        <v>3515</v>
      </c>
      <c r="M8" s="948" t="s">
        <v>1680</v>
      </c>
      <c r="N8" s="6" t="s">
        <v>3516</v>
      </c>
      <c r="O8" s="173" t="s">
        <v>3517</v>
      </c>
      <c r="P8" s="114" t="s">
        <v>3518</v>
      </c>
      <c r="Q8" s="469" t="s">
        <v>3519</v>
      </c>
      <c r="R8" s="6" t="s">
        <v>3520</v>
      </c>
      <c r="S8" s="221" t="s">
        <v>3521</v>
      </c>
      <c r="T8" s="221" t="s">
        <v>3522</v>
      </c>
      <c r="U8" s="221" t="s">
        <v>3523</v>
      </c>
      <c r="V8" s="6" t="s">
        <v>3524</v>
      </c>
      <c r="W8" s="173" t="s">
        <v>3525</v>
      </c>
      <c r="X8" s="6" t="s">
        <v>3526</v>
      </c>
      <c r="Y8" s="470" t="s">
        <v>3527</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80"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BU29"/>
  <sheetViews>
    <sheetView workbookViewId="0">
      <pane xSplit="5" ySplit="8" topLeftCell="F9" activePane="bottomRight" state="frozen"/>
      <selection pane="topRight" activeCell="F1" sqref="F1"/>
      <selection pane="bottomLeft" activeCell="A9" sqref="A9"/>
      <selection pane="bottomRight" activeCell="D8" sqref="D8:E8"/>
    </sheetView>
  </sheetViews>
  <sheetFormatPr defaultColWidth="9.109375" defaultRowHeight="13.2" x14ac:dyDescent="0.25"/>
  <cols>
    <col min="1" max="1" width="20" style="316" customWidth="1"/>
    <col min="2" max="2" width="15" style="313" customWidth="1"/>
    <col min="3" max="3" width="19.6640625" style="316" customWidth="1"/>
    <col min="4" max="6" width="10.6640625" style="314" customWidth="1"/>
    <col min="7" max="7" width="12.33203125" style="314" customWidth="1"/>
    <col min="8" max="8" width="11.33203125" style="314" customWidth="1"/>
    <col min="9" max="10" width="13.5546875" style="314" customWidth="1"/>
    <col min="11" max="12" width="11.44140625" style="314" customWidth="1"/>
    <col min="13" max="13" width="13.33203125" style="314" customWidth="1"/>
    <col min="14" max="14" width="11.44140625" style="314" customWidth="1"/>
    <col min="15" max="15" width="16.5546875" style="314" customWidth="1"/>
    <col min="16" max="16" width="13.33203125" style="314" customWidth="1"/>
    <col min="17" max="17" width="15.6640625" style="314" customWidth="1"/>
    <col min="18" max="31" width="14.6640625" style="314" customWidth="1"/>
    <col min="32" max="32" width="14.88671875" style="314" customWidth="1"/>
    <col min="33" max="34" width="10.6640625" style="314" customWidth="1"/>
    <col min="35" max="35" width="15.88671875" style="314" customWidth="1"/>
    <col min="36" max="37" width="13.5546875" style="314" customWidth="1"/>
    <col min="38" max="41" width="11.44140625" style="314" customWidth="1"/>
    <col min="42" max="42" width="16.5546875" style="314" customWidth="1"/>
    <col min="43" max="43" width="13.33203125" style="314" customWidth="1"/>
    <col min="44" max="44" width="15.6640625" style="314" customWidth="1"/>
    <col min="45" max="56" width="14.6640625" style="314" customWidth="1"/>
    <col min="57" max="57" width="13.44140625" style="314" customWidth="1"/>
    <col min="58" max="59" width="14.6640625" style="314" customWidth="1"/>
    <col min="60" max="16384" width="9.109375" style="314"/>
  </cols>
  <sheetData>
    <row r="1" spans="1:73" s="472" customFormat="1" ht="18" x14ac:dyDescent="0.35">
      <c r="A1" s="1024" t="s">
        <v>550</v>
      </c>
      <c r="B1" s="1025"/>
      <c r="C1" s="1026"/>
      <c r="D1" s="1027"/>
      <c r="E1" s="1027"/>
      <c r="F1" s="184"/>
      <c r="G1" s="1027"/>
      <c r="H1" s="1027"/>
      <c r="I1" s="1027"/>
      <c r="J1" s="1027"/>
      <c r="K1" s="1027"/>
      <c r="L1" s="1027"/>
      <c r="M1" s="1027"/>
      <c r="N1" s="1027"/>
      <c r="O1" s="1027"/>
      <c r="P1" s="1027"/>
      <c r="Q1" s="1027"/>
      <c r="R1" s="1027"/>
      <c r="S1" s="222"/>
      <c r="T1" s="223"/>
      <c r="U1" s="223"/>
      <c r="V1" s="223"/>
      <c r="W1" s="223"/>
      <c r="X1" s="223"/>
      <c r="Y1" s="223"/>
      <c r="Z1" s="223"/>
      <c r="AA1" s="223"/>
      <c r="AB1" s="223"/>
      <c r="AC1" s="224"/>
      <c r="AD1" s="225"/>
      <c r="AE1" s="225"/>
      <c r="AF1" s="226"/>
      <c r="AG1" s="1028"/>
      <c r="AH1" s="1028"/>
      <c r="AI1" s="1027"/>
      <c r="AJ1" s="1027"/>
      <c r="AK1" s="1027"/>
      <c r="AL1" s="1027"/>
      <c r="AM1" s="1027"/>
      <c r="AN1" s="1027"/>
      <c r="AO1" s="1027"/>
      <c r="AP1" s="1027"/>
      <c r="AQ1" s="1027"/>
      <c r="AR1" s="1027"/>
      <c r="AS1" s="1027"/>
      <c r="AT1" s="227"/>
      <c r="AU1" s="1209"/>
      <c r="AV1" s="1209"/>
      <c r="AW1" s="1209"/>
      <c r="AX1" s="1209"/>
      <c r="AY1" s="1209"/>
      <c r="AZ1" s="1209"/>
      <c r="BA1" s="1209"/>
      <c r="BB1" s="1209"/>
      <c r="BC1" s="1209"/>
      <c r="BD1" s="1210"/>
      <c r="BE1" s="1211"/>
      <c r="BF1" s="1211"/>
      <c r="BG1" s="228"/>
      <c r="BH1" s="471"/>
      <c r="BI1" s="471"/>
      <c r="BJ1" s="471"/>
      <c r="BK1" s="471"/>
      <c r="BL1" s="471"/>
      <c r="BM1" s="471"/>
      <c r="BN1" s="471"/>
      <c r="BO1" s="471"/>
      <c r="BP1" s="471"/>
      <c r="BQ1" s="471"/>
      <c r="BR1" s="471"/>
      <c r="BS1" s="471"/>
      <c r="BT1" s="471"/>
      <c r="BU1" s="471"/>
    </row>
    <row r="2" spans="1:73" s="324" customFormat="1" ht="14.4" x14ac:dyDescent="0.3">
      <c r="A2" s="712"/>
      <c r="B2" s="265"/>
      <c r="C2" s="712"/>
      <c r="D2" s="113" t="s">
        <v>617</v>
      </c>
      <c r="E2" s="109"/>
      <c r="F2" s="109"/>
      <c r="G2" s="110"/>
      <c r="H2" s="109"/>
      <c r="I2" s="109"/>
      <c r="J2" s="109"/>
      <c r="K2" s="109"/>
      <c r="L2" s="109"/>
      <c r="M2" s="109"/>
      <c r="N2" s="109"/>
      <c r="O2" s="80"/>
      <c r="P2" s="80"/>
      <c r="Q2" s="80"/>
      <c r="R2" s="80"/>
      <c r="S2" s="229"/>
      <c r="T2" s="230"/>
      <c r="U2" s="230"/>
      <c r="V2" s="230"/>
      <c r="W2" s="230"/>
      <c r="X2" s="230"/>
      <c r="Y2" s="230"/>
      <c r="Z2" s="230"/>
      <c r="AA2" s="230"/>
      <c r="AB2" s="230"/>
      <c r="AC2" s="230"/>
      <c r="AD2" s="230"/>
      <c r="AE2" s="231"/>
      <c r="AF2" s="232"/>
      <c r="AG2" s="1212" t="s">
        <v>538</v>
      </c>
      <c r="AH2" s="1212" t="s">
        <v>538</v>
      </c>
      <c r="AI2" s="1212" t="s">
        <v>538</v>
      </c>
      <c r="AJ2" s="1212" t="s">
        <v>538</v>
      </c>
      <c r="AK2" s="1212" t="s">
        <v>538</v>
      </c>
      <c r="AL2" s="1212" t="s">
        <v>538</v>
      </c>
      <c r="AM2" s="1212" t="s">
        <v>538</v>
      </c>
      <c r="AN2" s="1212" t="s">
        <v>538</v>
      </c>
      <c r="AO2" s="1212" t="s">
        <v>538</v>
      </c>
      <c r="AP2" s="1212" t="s">
        <v>538</v>
      </c>
      <c r="AQ2" s="1212" t="s">
        <v>538</v>
      </c>
      <c r="AR2" s="1212" t="s">
        <v>538</v>
      </c>
      <c r="AS2" s="1212" t="s">
        <v>538</v>
      </c>
      <c r="AT2" s="1212" t="s">
        <v>538</v>
      </c>
      <c r="AU2" s="1212" t="s">
        <v>538</v>
      </c>
      <c r="AV2" s="1212" t="s">
        <v>538</v>
      </c>
      <c r="AW2" s="1212" t="s">
        <v>538</v>
      </c>
      <c r="AX2" s="1212" t="s">
        <v>538</v>
      </c>
      <c r="AY2" s="1212" t="s">
        <v>538</v>
      </c>
      <c r="AZ2" s="1212" t="s">
        <v>538</v>
      </c>
      <c r="BA2" s="1212" t="s">
        <v>538</v>
      </c>
      <c r="BB2" s="1212" t="s">
        <v>538</v>
      </c>
      <c r="BC2" s="1212" t="s">
        <v>538</v>
      </c>
      <c r="BD2" s="1212" t="s">
        <v>538</v>
      </c>
      <c r="BE2" s="1212" t="s">
        <v>538</v>
      </c>
      <c r="BF2" s="1212" t="s">
        <v>538</v>
      </c>
      <c r="BG2" s="1213" t="s">
        <v>538</v>
      </c>
      <c r="BH2" s="392"/>
      <c r="BI2" s="392"/>
      <c r="BJ2" s="392"/>
      <c r="BK2" s="392"/>
      <c r="BL2" s="392"/>
      <c r="BM2" s="392"/>
      <c r="BN2" s="392"/>
      <c r="BO2" s="392"/>
      <c r="BP2" s="392"/>
      <c r="BQ2" s="392"/>
      <c r="BR2" s="392"/>
      <c r="BS2" s="392"/>
      <c r="BT2" s="392"/>
      <c r="BU2" s="392"/>
    </row>
    <row r="3" spans="1:73" s="324" customFormat="1" ht="14.4" x14ac:dyDescent="0.3">
      <c r="A3" s="712"/>
      <c r="B3" s="266"/>
      <c r="C3" s="712"/>
      <c r="D3" s="109"/>
      <c r="E3" s="109"/>
      <c r="F3" s="109"/>
      <c r="G3" s="109"/>
      <c r="H3" s="109"/>
      <c r="I3" s="109"/>
      <c r="J3" s="109"/>
      <c r="K3" s="109"/>
      <c r="L3" s="109"/>
      <c r="M3" s="109"/>
      <c r="N3" s="109"/>
      <c r="O3" s="80"/>
      <c r="P3" s="80"/>
      <c r="Q3" s="80"/>
      <c r="R3" s="80"/>
      <c r="S3" s="229"/>
      <c r="T3" s="230"/>
      <c r="U3" s="230"/>
      <c r="V3" s="230"/>
      <c r="W3" s="230"/>
      <c r="X3" s="230"/>
      <c r="Y3" s="230"/>
      <c r="Z3" s="230"/>
      <c r="AA3" s="230"/>
      <c r="AB3" s="230"/>
      <c r="AC3" s="230"/>
      <c r="AD3" s="230"/>
      <c r="AE3" s="231"/>
      <c r="AF3" s="232"/>
      <c r="AG3" s="109"/>
      <c r="AH3" s="109"/>
      <c r="AI3" s="109"/>
      <c r="AJ3" s="109"/>
      <c r="AK3" s="109"/>
      <c r="AL3" s="109"/>
      <c r="AM3" s="109"/>
      <c r="AN3" s="109"/>
      <c r="AO3" s="109"/>
      <c r="AP3" s="80"/>
      <c r="AQ3" s="80"/>
      <c r="AR3" s="80"/>
      <c r="AS3" s="80"/>
      <c r="AT3" s="233"/>
      <c r="AU3" s="234"/>
      <c r="AV3" s="234"/>
      <c r="AW3" s="234"/>
      <c r="AX3" s="234"/>
      <c r="AY3" s="234"/>
      <c r="AZ3" s="234"/>
      <c r="BA3" s="234"/>
      <c r="BB3" s="234"/>
      <c r="BC3" s="234"/>
      <c r="BD3" s="234"/>
      <c r="BE3" s="234"/>
      <c r="BF3" s="235"/>
      <c r="BG3" s="236"/>
      <c r="BH3" s="392"/>
      <c r="BI3" s="392"/>
      <c r="BJ3" s="392"/>
      <c r="BK3" s="392"/>
      <c r="BL3" s="392"/>
      <c r="BM3" s="392"/>
      <c r="BN3" s="392"/>
      <c r="BO3" s="392"/>
      <c r="BP3" s="392"/>
      <c r="BQ3" s="392"/>
      <c r="BR3" s="392"/>
      <c r="BS3" s="392"/>
      <c r="BT3" s="392"/>
      <c r="BU3" s="392"/>
    </row>
    <row r="4" spans="1:73" s="459" customFormat="1" ht="15.6" x14ac:dyDescent="0.3">
      <c r="A4" s="712"/>
      <c r="B4" s="267"/>
      <c r="C4" s="712"/>
      <c r="D4" s="111"/>
      <c r="E4" s="111"/>
      <c r="F4" s="111"/>
      <c r="G4" s="111"/>
      <c r="H4" s="111"/>
      <c r="I4" s="112"/>
      <c r="J4" s="112"/>
      <c r="K4" s="112"/>
      <c r="L4" s="112"/>
      <c r="M4" s="112"/>
      <c r="N4" s="112"/>
      <c r="O4" s="112"/>
      <c r="P4" s="112"/>
      <c r="Q4" s="112"/>
      <c r="R4" s="112"/>
      <c r="S4" s="237"/>
      <c r="T4" s="238"/>
      <c r="U4" s="1214"/>
      <c r="V4" s="1214"/>
      <c r="W4" s="1214"/>
      <c r="X4" s="1214"/>
      <c r="Y4" s="1214"/>
      <c r="Z4" s="1214"/>
      <c r="AA4" s="238"/>
      <c r="AB4" s="238"/>
      <c r="AC4" s="238"/>
      <c r="AD4" s="238"/>
      <c r="AE4" s="239"/>
      <c r="AF4" s="1215"/>
      <c r="AG4" s="111"/>
      <c r="AH4" s="111"/>
      <c r="AI4" s="111"/>
      <c r="AJ4" s="112"/>
      <c r="AK4" s="112"/>
      <c r="AL4" s="112"/>
      <c r="AM4" s="112"/>
      <c r="AN4" s="112"/>
      <c r="AO4" s="112"/>
      <c r="AP4" s="112"/>
      <c r="AQ4" s="112"/>
      <c r="AR4" s="112"/>
      <c r="AS4" s="112"/>
      <c r="AT4" s="237"/>
      <c r="AU4" s="238"/>
      <c r="AV4" s="1214"/>
      <c r="AW4" s="1214"/>
      <c r="AX4" s="1214"/>
      <c r="AY4" s="1214"/>
      <c r="AZ4" s="1214"/>
      <c r="BA4" s="1214"/>
      <c r="BB4" s="238"/>
      <c r="BC4" s="238"/>
      <c r="BD4" s="238"/>
      <c r="BE4" s="238"/>
      <c r="BF4" s="239"/>
      <c r="BG4" s="240"/>
      <c r="BH4" s="473"/>
      <c r="BI4" s="473"/>
      <c r="BJ4" s="473"/>
      <c r="BK4" s="473"/>
      <c r="BL4" s="473"/>
      <c r="BM4" s="473"/>
      <c r="BN4" s="473"/>
      <c r="BO4" s="473"/>
      <c r="BP4" s="473"/>
      <c r="BQ4" s="473"/>
      <c r="BR4" s="473"/>
      <c r="BS4" s="473"/>
      <c r="BT4" s="473"/>
      <c r="BU4" s="473"/>
    </row>
    <row r="5" spans="1:73" s="324" customFormat="1" ht="15.6" x14ac:dyDescent="0.3">
      <c r="A5" s="1530" t="s">
        <v>343</v>
      </c>
      <c r="B5" s="1531"/>
      <c r="C5" s="1532"/>
      <c r="D5" s="219"/>
      <c r="E5" s="220"/>
      <c r="F5" s="235"/>
      <c r="G5" s="220"/>
      <c r="H5" s="220"/>
      <c r="I5" s="241"/>
      <c r="J5" s="241"/>
      <c r="K5" s="241"/>
      <c r="L5" s="241"/>
      <c r="M5" s="241"/>
      <c r="N5" s="241"/>
      <c r="O5" s="241"/>
      <c r="P5" s="241"/>
      <c r="Q5" s="241"/>
      <c r="R5" s="241"/>
      <c r="S5" s="242"/>
      <c r="T5" s="243"/>
      <c r="U5" s="243"/>
      <c r="V5" s="243"/>
      <c r="W5" s="243"/>
      <c r="X5" s="243"/>
      <c r="Y5" s="243"/>
      <c r="Z5" s="243"/>
      <c r="AA5" s="244"/>
      <c r="AB5" s="244"/>
      <c r="AC5" s="244"/>
      <c r="AD5" s="244"/>
      <c r="AE5" s="243"/>
      <c r="AF5" s="245"/>
      <c r="AG5" s="246"/>
      <c r="AH5" s="1533"/>
      <c r="AI5" s="1533"/>
      <c r="AJ5" s="241"/>
      <c r="AK5" s="241"/>
      <c r="AL5" s="241"/>
      <c r="AM5" s="241"/>
      <c r="AN5" s="241"/>
      <c r="AO5" s="241"/>
      <c r="AP5" s="241"/>
      <c r="AQ5" s="241"/>
      <c r="AR5" s="241"/>
      <c r="AS5" s="241"/>
      <c r="AT5" s="242"/>
      <c r="AU5" s="243"/>
      <c r="AV5" s="243"/>
      <c r="AW5" s="243"/>
      <c r="AX5" s="243"/>
      <c r="AY5" s="243"/>
      <c r="AZ5" s="243"/>
      <c r="BA5" s="243"/>
      <c r="BB5" s="244"/>
      <c r="BC5" s="244"/>
      <c r="BD5" s="244"/>
      <c r="BE5" s="244"/>
      <c r="BF5" s="243"/>
      <c r="BG5" s="247"/>
      <c r="BH5" s="392"/>
      <c r="BI5" s="392"/>
      <c r="BJ5" s="392"/>
      <c r="BK5" s="392"/>
      <c r="BL5" s="392"/>
      <c r="BM5" s="392"/>
      <c r="BN5" s="392"/>
      <c r="BO5" s="392"/>
      <c r="BP5" s="392"/>
      <c r="BQ5" s="392"/>
      <c r="BR5" s="392"/>
      <c r="BS5" s="392"/>
      <c r="BT5" s="392"/>
      <c r="BU5" s="392"/>
    </row>
    <row r="6" spans="1:73" s="330" customFormat="1" ht="14.4" x14ac:dyDescent="0.3">
      <c r="A6" s="641"/>
      <c r="B6" s="256" t="s">
        <v>116</v>
      </c>
      <c r="C6" s="641"/>
      <c r="D6" s="1534" t="s">
        <v>46</v>
      </c>
      <c r="E6" s="1534"/>
      <c r="F6" s="1400"/>
      <c r="G6" s="1400" t="s">
        <v>1031</v>
      </c>
      <c r="H6" s="1400" t="s">
        <v>1032</v>
      </c>
      <c r="I6" s="1534" t="s">
        <v>1031</v>
      </c>
      <c r="J6" s="1534"/>
      <c r="K6" s="1534"/>
      <c r="L6" s="1400" t="s">
        <v>47</v>
      </c>
      <c r="M6" s="1216" t="s">
        <v>3439</v>
      </c>
      <c r="N6" s="1400" t="s">
        <v>1034</v>
      </c>
      <c r="O6" s="1534" t="s">
        <v>1035</v>
      </c>
      <c r="P6" s="1534"/>
      <c r="Q6" s="248" t="s">
        <v>1036</v>
      </c>
      <c r="R6" s="248" t="s">
        <v>1037</v>
      </c>
      <c r="S6" s="180" t="s">
        <v>477</v>
      </c>
      <c r="T6" s="180" t="s">
        <v>478</v>
      </c>
      <c r="U6" s="1217" t="s">
        <v>2896</v>
      </c>
      <c r="V6" s="1217" t="s">
        <v>2897</v>
      </c>
      <c r="W6" s="1217" t="s">
        <v>2898</v>
      </c>
      <c r="X6" s="1217" t="s">
        <v>2899</v>
      </c>
      <c r="Y6" s="1217" t="s">
        <v>2900</v>
      </c>
      <c r="Z6" s="1217" t="s">
        <v>2901</v>
      </c>
      <c r="AA6" s="180" t="s">
        <v>479</v>
      </c>
      <c r="AB6" s="180" t="s">
        <v>2902</v>
      </c>
      <c r="AC6" s="180" t="s">
        <v>2903</v>
      </c>
      <c r="AD6" s="180" t="s">
        <v>2904</v>
      </c>
      <c r="AE6" s="181" t="s">
        <v>388</v>
      </c>
      <c r="AF6" s="209" t="s">
        <v>396</v>
      </c>
      <c r="AG6" s="1138"/>
      <c r="AH6" s="1138" t="s">
        <v>1031</v>
      </c>
      <c r="AI6" s="1138" t="s">
        <v>1032</v>
      </c>
      <c r="AJ6" s="1534" t="s">
        <v>1031</v>
      </c>
      <c r="AK6" s="1534"/>
      <c r="AL6" s="248"/>
      <c r="AM6" s="1138" t="s">
        <v>47</v>
      </c>
      <c r="AN6" s="1216" t="s">
        <v>1033</v>
      </c>
      <c r="AO6" s="1138" t="s">
        <v>1034</v>
      </c>
      <c r="AP6" s="1534" t="s">
        <v>1035</v>
      </c>
      <c r="AQ6" s="1534"/>
      <c r="AR6" s="248" t="s">
        <v>1036</v>
      </c>
      <c r="AS6" s="248" t="s">
        <v>1037</v>
      </c>
      <c r="AT6" s="180" t="s">
        <v>477</v>
      </c>
      <c r="AU6" s="180" t="s">
        <v>478</v>
      </c>
      <c r="AV6" s="1217" t="s">
        <v>2896</v>
      </c>
      <c r="AW6" s="1217" t="s">
        <v>2897</v>
      </c>
      <c r="AX6" s="1217" t="s">
        <v>2898</v>
      </c>
      <c r="AY6" s="1217" t="s">
        <v>2899</v>
      </c>
      <c r="AZ6" s="1217" t="s">
        <v>2900</v>
      </c>
      <c r="BA6" s="1217" t="s">
        <v>2901</v>
      </c>
      <c r="BB6" s="180" t="s">
        <v>479</v>
      </c>
      <c r="BC6" s="180" t="s">
        <v>2902</v>
      </c>
      <c r="BD6" s="180" t="s">
        <v>2903</v>
      </c>
      <c r="BE6" s="180" t="s">
        <v>2904</v>
      </c>
      <c r="BF6" s="181" t="s">
        <v>388</v>
      </c>
      <c r="BG6" s="182" t="s">
        <v>396</v>
      </c>
    </row>
    <row r="7" spans="1:73" s="324" customFormat="1" ht="14.4" x14ac:dyDescent="0.3">
      <c r="A7" s="713"/>
      <c r="B7" s="67"/>
      <c r="C7" s="713"/>
      <c r="D7" s="1535" t="s">
        <v>71</v>
      </c>
      <c r="E7" s="1535"/>
      <c r="F7" s="1035"/>
      <c r="G7" s="1536" t="s">
        <v>178</v>
      </c>
      <c r="H7" s="1537"/>
      <c r="I7" s="1536" t="s">
        <v>179</v>
      </c>
      <c r="J7" s="1535"/>
      <c r="K7" s="1535"/>
      <c r="L7" s="1036"/>
      <c r="M7" s="1218"/>
      <c r="N7" s="1401"/>
      <c r="O7" s="1538" t="s">
        <v>97</v>
      </c>
      <c r="P7" s="1539"/>
      <c r="Q7" s="1539"/>
      <c r="R7" s="1539"/>
      <c r="S7" s="1539"/>
      <c r="T7" s="1539"/>
      <c r="U7" s="1539"/>
      <c r="V7" s="1539"/>
      <c r="W7" s="1539"/>
      <c r="X7" s="1539"/>
      <c r="Y7" s="1539"/>
      <c r="Z7" s="1539"/>
      <c r="AA7" s="1539"/>
      <c r="AB7" s="1539"/>
      <c r="AC7" s="1539"/>
      <c r="AD7" s="1539"/>
      <c r="AE7" s="1219"/>
      <c r="AF7" s="210"/>
      <c r="AG7" s="246"/>
      <c r="AH7" s="1535" t="s">
        <v>526</v>
      </c>
      <c r="AI7" s="1537"/>
      <c r="AJ7" s="1535" t="s">
        <v>179</v>
      </c>
      <c r="AK7" s="1535"/>
      <c r="AL7" s="1142"/>
      <c r="AM7" s="1036"/>
      <c r="AN7" s="1218"/>
      <c r="AO7" s="1220"/>
      <c r="AP7" s="1539" t="s">
        <v>97</v>
      </c>
      <c r="AQ7" s="1539"/>
      <c r="AR7" s="1539"/>
      <c r="AS7" s="1539"/>
      <c r="AT7" s="1539"/>
      <c r="AU7" s="1539"/>
      <c r="AV7" s="1539"/>
      <c r="AW7" s="1539"/>
      <c r="AX7" s="1539"/>
      <c r="AY7" s="1539"/>
      <c r="AZ7" s="1539"/>
      <c r="BA7" s="1539"/>
      <c r="BB7" s="1539"/>
      <c r="BC7" s="1539"/>
      <c r="BD7" s="1539"/>
      <c r="BE7" s="1539"/>
      <c r="BF7" s="1219" t="s">
        <v>597</v>
      </c>
      <c r="BG7" s="183"/>
    </row>
    <row r="8" spans="1:73" s="324" customFormat="1" ht="40.799999999999997" thickBot="1" x14ac:dyDescent="0.35">
      <c r="A8" s="1037" t="s">
        <v>154</v>
      </c>
      <c r="B8" s="812" t="s">
        <v>35</v>
      </c>
      <c r="C8" s="625" t="s">
        <v>152</v>
      </c>
      <c r="D8" s="6" t="s">
        <v>3507</v>
      </c>
      <c r="E8" s="6" t="s">
        <v>3508</v>
      </c>
      <c r="F8" s="1038" t="s">
        <v>37</v>
      </c>
      <c r="G8" s="1038" t="s">
        <v>3528</v>
      </c>
      <c r="H8" s="1038" t="s">
        <v>3529</v>
      </c>
      <c r="I8" s="1225" t="s">
        <v>3530</v>
      </c>
      <c r="J8" s="1225" t="s">
        <v>3531</v>
      </c>
      <c r="K8" s="974" t="s">
        <v>3532</v>
      </c>
      <c r="L8" s="974" t="s">
        <v>3533</v>
      </c>
      <c r="M8" s="1221" t="s">
        <v>3534</v>
      </c>
      <c r="N8" s="1221" t="s">
        <v>3535</v>
      </c>
      <c r="O8" s="974" t="s">
        <v>3536</v>
      </c>
      <c r="P8" s="974" t="s">
        <v>3537</v>
      </c>
      <c r="Q8" s="974" t="s">
        <v>3538</v>
      </c>
      <c r="R8" s="974" t="s">
        <v>3539</v>
      </c>
      <c r="S8" s="1222" t="s">
        <v>3540</v>
      </c>
      <c r="T8" s="1222" t="s">
        <v>3541</v>
      </c>
      <c r="U8" s="1223" t="s">
        <v>3542</v>
      </c>
      <c r="V8" s="1223" t="s">
        <v>3543</v>
      </c>
      <c r="W8" s="1223" t="s">
        <v>3544</v>
      </c>
      <c r="X8" s="1223" t="s">
        <v>3545</v>
      </c>
      <c r="Y8" s="1223" t="s">
        <v>3546</v>
      </c>
      <c r="Z8" s="1223" t="s">
        <v>3547</v>
      </c>
      <c r="AA8" s="1222" t="s">
        <v>3548</v>
      </c>
      <c r="AB8" s="1222" t="s">
        <v>3549</v>
      </c>
      <c r="AC8" s="1222" t="s">
        <v>3550</v>
      </c>
      <c r="AD8" s="1222" t="s">
        <v>3551</v>
      </c>
      <c r="AE8" s="1224" t="s">
        <v>3552</v>
      </c>
      <c r="AF8" s="211" t="s">
        <v>3553</v>
      </c>
      <c r="AG8" s="1038" t="s">
        <v>1708</v>
      </c>
      <c r="AH8" s="1038" t="s">
        <v>3554</v>
      </c>
      <c r="AI8" s="1038" t="s">
        <v>3555</v>
      </c>
      <c r="AJ8" s="1225" t="s">
        <v>3556</v>
      </c>
      <c r="AK8" s="1225" t="s">
        <v>3557</v>
      </c>
      <c r="AL8" s="974" t="s">
        <v>3558</v>
      </c>
      <c r="AM8" s="974" t="s">
        <v>3559</v>
      </c>
      <c r="AN8" s="974" t="s">
        <v>3560</v>
      </c>
      <c r="AO8" s="974" t="s">
        <v>1914</v>
      </c>
      <c r="AP8" s="974" t="s">
        <v>3561</v>
      </c>
      <c r="AQ8" s="974" t="s">
        <v>3562</v>
      </c>
      <c r="AR8" s="974" t="s">
        <v>3563</v>
      </c>
      <c r="AS8" s="974" t="s">
        <v>3564</v>
      </c>
      <c r="AT8" s="1222" t="s">
        <v>3565</v>
      </c>
      <c r="AU8" s="1222" t="s">
        <v>3566</v>
      </c>
      <c r="AV8" s="1223" t="s">
        <v>3567</v>
      </c>
      <c r="AW8" s="1223" t="s">
        <v>3568</v>
      </c>
      <c r="AX8" s="1223" t="s">
        <v>3569</v>
      </c>
      <c r="AY8" s="1223" t="s">
        <v>3570</v>
      </c>
      <c r="AZ8" s="1223" t="s">
        <v>3571</v>
      </c>
      <c r="BA8" s="1223" t="s">
        <v>3572</v>
      </c>
      <c r="BB8" s="1222" t="s">
        <v>3573</v>
      </c>
      <c r="BC8" s="1222" t="s">
        <v>3574</v>
      </c>
      <c r="BD8" s="1222" t="s">
        <v>3575</v>
      </c>
      <c r="BE8" s="1222" t="s">
        <v>3576</v>
      </c>
      <c r="BF8" s="1224" t="s">
        <v>3577</v>
      </c>
      <c r="BG8" s="211" t="s">
        <v>3578</v>
      </c>
    </row>
    <row r="9" spans="1:73" x14ac:dyDescent="0.25">
      <c r="A9" s="316" t="s">
        <v>2842</v>
      </c>
      <c r="B9" s="313">
        <v>35991</v>
      </c>
      <c r="C9" s="316" t="s">
        <v>2843</v>
      </c>
      <c r="D9" s="314">
        <v>0</v>
      </c>
      <c r="E9" s="314">
        <v>5</v>
      </c>
      <c r="F9" s="1226">
        <v>6.8</v>
      </c>
      <c r="G9" s="1226">
        <v>10.57</v>
      </c>
      <c r="H9" s="1226">
        <v>1.216</v>
      </c>
      <c r="I9" s="1226"/>
      <c r="J9" s="1226"/>
      <c r="K9" s="1226"/>
      <c r="L9" s="1226"/>
      <c r="M9" s="1226"/>
      <c r="N9" s="1226"/>
      <c r="O9" s="1226"/>
      <c r="P9" s="1226"/>
      <c r="Q9" s="1226"/>
    </row>
    <row r="10" spans="1:73" x14ac:dyDescent="0.25">
      <c r="A10" s="316" t="s">
        <v>2842</v>
      </c>
      <c r="B10" s="313">
        <v>35991</v>
      </c>
      <c r="C10" s="316" t="s">
        <v>2843</v>
      </c>
      <c r="D10" s="314">
        <v>5</v>
      </c>
      <c r="E10" s="314">
        <v>10</v>
      </c>
      <c r="F10" s="1226">
        <v>6.8</v>
      </c>
      <c r="G10" s="1226">
        <v>10.88</v>
      </c>
      <c r="H10" s="1226">
        <v>1.1759999999999997</v>
      </c>
      <c r="I10" s="1226"/>
      <c r="J10" s="1226"/>
      <c r="K10" s="1226"/>
      <c r="L10" s="1226"/>
      <c r="M10" s="1226"/>
      <c r="N10" s="1226"/>
      <c r="O10" s="1226"/>
      <c r="P10" s="1226"/>
      <c r="Q10" s="1226"/>
    </row>
    <row r="11" spans="1:73" x14ac:dyDescent="0.25">
      <c r="A11" s="316" t="s">
        <v>2842</v>
      </c>
      <c r="B11" s="313">
        <v>35991</v>
      </c>
      <c r="C11" s="316" t="s">
        <v>2843</v>
      </c>
      <c r="D11" s="314">
        <v>10</v>
      </c>
      <c r="E11" s="314">
        <v>30</v>
      </c>
      <c r="F11" s="1226">
        <v>6.6</v>
      </c>
      <c r="G11" s="1226">
        <v>8.1194999999999986</v>
      </c>
      <c r="H11" s="1226">
        <v>1.0715000000000001</v>
      </c>
      <c r="I11" s="1226"/>
      <c r="J11" s="1226"/>
      <c r="K11" s="1226"/>
      <c r="L11" s="1226"/>
      <c r="M11" s="1226"/>
      <c r="N11" s="1226"/>
      <c r="O11" s="1226"/>
      <c r="P11" s="1226"/>
      <c r="Q11" s="1226"/>
    </row>
    <row r="12" spans="1:73" x14ac:dyDescent="0.25">
      <c r="A12" s="316" t="s">
        <v>2842</v>
      </c>
      <c r="B12" s="313">
        <v>35991</v>
      </c>
      <c r="C12" s="316" t="s">
        <v>2843</v>
      </c>
      <c r="D12" s="314">
        <v>30</v>
      </c>
      <c r="E12" s="314">
        <v>60</v>
      </c>
      <c r="F12" s="1226">
        <v>7.9</v>
      </c>
      <c r="G12" s="1226">
        <v>4.1680000000000001</v>
      </c>
      <c r="H12" s="1226">
        <v>0.51554999999999995</v>
      </c>
      <c r="I12" s="1226"/>
      <c r="J12" s="1226"/>
      <c r="K12" s="1226"/>
      <c r="L12" s="1226"/>
      <c r="M12" s="1226"/>
      <c r="N12" s="1226"/>
      <c r="O12" s="1226"/>
      <c r="P12" s="1226"/>
      <c r="Q12" s="1226"/>
    </row>
    <row r="13" spans="1:73" x14ac:dyDescent="0.25">
      <c r="A13" s="316" t="s">
        <v>2842</v>
      </c>
      <c r="B13" s="313">
        <v>35991</v>
      </c>
      <c r="C13" s="316" t="s">
        <v>2843</v>
      </c>
      <c r="D13" s="314">
        <v>60</v>
      </c>
      <c r="E13" s="314">
        <v>90</v>
      </c>
      <c r="F13" s="1226">
        <v>8.1999999999999993</v>
      </c>
      <c r="G13" s="1226">
        <v>1.1240000000000001</v>
      </c>
      <c r="H13" s="1226">
        <v>0.13979999999999998</v>
      </c>
      <c r="I13" s="1226"/>
      <c r="J13" s="1226"/>
      <c r="K13" s="1226"/>
      <c r="L13" s="1226"/>
      <c r="M13" s="1226"/>
      <c r="N13" s="1226"/>
      <c r="O13" s="1226"/>
      <c r="P13" s="1226"/>
      <c r="Q13" s="1226"/>
    </row>
    <row r="14" spans="1:73" x14ac:dyDescent="0.25">
      <c r="A14" s="316" t="s">
        <v>2842</v>
      </c>
      <c r="B14" s="313">
        <v>35991</v>
      </c>
      <c r="C14" s="316" t="s">
        <v>2843</v>
      </c>
      <c r="D14" s="314">
        <v>90</v>
      </c>
      <c r="E14" s="314">
        <v>120</v>
      </c>
      <c r="F14" s="1226">
        <v>8.4</v>
      </c>
      <c r="G14" s="1226">
        <v>0.92104999999999992</v>
      </c>
      <c r="H14" s="1226">
        <v>0.11929999999999999</v>
      </c>
      <c r="I14" s="1226"/>
      <c r="J14" s="1226"/>
      <c r="K14" s="1226"/>
      <c r="L14" s="1226"/>
      <c r="M14" s="1226"/>
      <c r="N14" s="1226"/>
      <c r="O14" s="1226"/>
      <c r="P14" s="1226"/>
      <c r="Q14" s="1226"/>
    </row>
    <row r="15" spans="1:73" x14ac:dyDescent="0.25">
      <c r="A15" s="316" t="s">
        <v>2842</v>
      </c>
      <c r="B15" s="313">
        <v>35991</v>
      </c>
      <c r="C15" s="316" t="s">
        <v>2843</v>
      </c>
      <c r="D15" s="314">
        <v>120</v>
      </c>
      <c r="E15" s="314">
        <v>150</v>
      </c>
      <c r="F15" s="1226">
        <v>8.5</v>
      </c>
      <c r="G15" s="1226">
        <v>0.61104999999999998</v>
      </c>
      <c r="H15" s="1226">
        <v>0.12075</v>
      </c>
      <c r="I15" s="1226"/>
      <c r="J15" s="1226"/>
      <c r="K15" s="1226"/>
      <c r="L15" s="1226"/>
      <c r="M15" s="1226"/>
      <c r="N15" s="1226"/>
      <c r="O15" s="1226"/>
      <c r="P15" s="1226"/>
      <c r="Q15" s="1226"/>
    </row>
    <row r="16" spans="1:73" x14ac:dyDescent="0.25">
      <c r="A16" s="316" t="s">
        <v>2846</v>
      </c>
      <c r="B16" s="313">
        <v>35991</v>
      </c>
      <c r="C16" s="316" t="s">
        <v>2847</v>
      </c>
      <c r="D16" s="314">
        <v>0</v>
      </c>
      <c r="E16" s="314">
        <v>5</v>
      </c>
      <c r="F16" s="1226">
        <v>6.8</v>
      </c>
      <c r="G16" s="1226">
        <v>10.57</v>
      </c>
      <c r="H16" s="1226">
        <v>1.216</v>
      </c>
      <c r="I16" s="1226"/>
      <c r="J16" s="1226"/>
      <c r="K16" s="1226"/>
      <c r="L16" s="1226"/>
      <c r="M16" s="1226"/>
      <c r="N16" s="1226"/>
      <c r="O16" s="1226"/>
      <c r="P16" s="1226"/>
      <c r="Q16" s="1226"/>
    </row>
    <row r="17" spans="1:17" x14ac:dyDescent="0.25">
      <c r="A17" s="316" t="s">
        <v>2846</v>
      </c>
      <c r="B17" s="313">
        <v>35991</v>
      </c>
      <c r="C17" s="316" t="s">
        <v>2847</v>
      </c>
      <c r="D17" s="314">
        <v>5</v>
      </c>
      <c r="E17" s="314">
        <v>10</v>
      </c>
      <c r="F17" s="1226">
        <v>6.8</v>
      </c>
      <c r="G17" s="1226">
        <v>10.88</v>
      </c>
      <c r="H17" s="1226">
        <v>1.1759999999999997</v>
      </c>
      <c r="I17" s="1226"/>
      <c r="J17" s="1226"/>
      <c r="K17" s="1226"/>
      <c r="L17" s="1226"/>
      <c r="M17" s="1226"/>
      <c r="N17" s="1226"/>
      <c r="O17" s="1226"/>
      <c r="P17" s="1226"/>
      <c r="Q17" s="1226"/>
    </row>
    <row r="18" spans="1:17" x14ac:dyDescent="0.25">
      <c r="A18" s="316" t="s">
        <v>2846</v>
      </c>
      <c r="B18" s="313">
        <v>35991</v>
      </c>
      <c r="C18" s="316" t="s">
        <v>2847</v>
      </c>
      <c r="D18" s="314">
        <v>10</v>
      </c>
      <c r="E18" s="314">
        <v>30</v>
      </c>
      <c r="F18" s="1226">
        <v>6.6</v>
      </c>
      <c r="G18" s="1226">
        <v>8.1194999999999986</v>
      </c>
      <c r="H18" s="1226">
        <v>1.0715000000000001</v>
      </c>
      <c r="I18" s="1226"/>
      <c r="J18" s="1226"/>
      <c r="K18" s="1226"/>
      <c r="L18" s="1226"/>
      <c r="M18" s="1226"/>
      <c r="N18" s="1226"/>
      <c r="O18" s="1226"/>
      <c r="P18" s="1226"/>
      <c r="Q18" s="1226"/>
    </row>
    <row r="19" spans="1:17" x14ac:dyDescent="0.25">
      <c r="A19" s="316" t="s">
        <v>2846</v>
      </c>
      <c r="B19" s="313">
        <v>35991</v>
      </c>
      <c r="C19" s="316" t="s">
        <v>2847</v>
      </c>
      <c r="D19" s="314">
        <v>30</v>
      </c>
      <c r="E19" s="314">
        <v>60</v>
      </c>
      <c r="F19" s="1226">
        <v>7.9</v>
      </c>
      <c r="G19" s="1226">
        <v>4.1680000000000001</v>
      </c>
      <c r="H19" s="1226">
        <v>0.51554999999999995</v>
      </c>
      <c r="I19" s="1226"/>
      <c r="J19" s="1226"/>
      <c r="K19" s="1226"/>
      <c r="L19" s="1226"/>
      <c r="M19" s="1226"/>
      <c r="N19" s="1226"/>
      <c r="O19" s="1226"/>
      <c r="P19" s="1226"/>
      <c r="Q19" s="1226"/>
    </row>
    <row r="20" spans="1:17" x14ac:dyDescent="0.25">
      <c r="A20" s="316" t="s">
        <v>2846</v>
      </c>
      <c r="B20" s="313">
        <v>35991</v>
      </c>
      <c r="C20" s="316" t="s">
        <v>2847</v>
      </c>
      <c r="D20" s="314">
        <v>60</v>
      </c>
      <c r="E20" s="314">
        <v>90</v>
      </c>
      <c r="F20" s="1226">
        <v>8.1999999999999993</v>
      </c>
      <c r="G20" s="1226">
        <v>1.1240000000000001</v>
      </c>
      <c r="H20" s="1226">
        <v>0.13979999999999998</v>
      </c>
      <c r="I20" s="1226"/>
      <c r="J20" s="1226"/>
      <c r="K20" s="1226"/>
      <c r="L20" s="1226"/>
      <c r="M20" s="1226"/>
      <c r="N20" s="1226"/>
      <c r="O20" s="1226"/>
      <c r="P20" s="1226"/>
      <c r="Q20" s="1226"/>
    </row>
    <row r="21" spans="1:17" x14ac:dyDescent="0.25">
      <c r="A21" s="316" t="s">
        <v>2846</v>
      </c>
      <c r="B21" s="313">
        <v>35991</v>
      </c>
      <c r="C21" s="316" t="s">
        <v>2847</v>
      </c>
      <c r="D21" s="314">
        <v>90</v>
      </c>
      <c r="E21" s="314">
        <v>120</v>
      </c>
      <c r="F21" s="1226">
        <v>8.4</v>
      </c>
      <c r="G21" s="1226">
        <v>0.92104999999999992</v>
      </c>
      <c r="H21" s="1226">
        <v>0.11929999999999999</v>
      </c>
      <c r="I21" s="1226"/>
      <c r="J21" s="1226"/>
      <c r="K21" s="1226"/>
      <c r="L21" s="1226"/>
      <c r="M21" s="1226"/>
      <c r="N21" s="1226"/>
      <c r="O21" s="1226"/>
      <c r="P21" s="1226"/>
      <c r="Q21" s="1226"/>
    </row>
    <row r="22" spans="1:17" x14ac:dyDescent="0.25">
      <c r="A22" s="316" t="s">
        <v>2846</v>
      </c>
      <c r="B22" s="313">
        <v>35991</v>
      </c>
      <c r="C22" s="316" t="s">
        <v>2847</v>
      </c>
      <c r="D22" s="314">
        <v>120</v>
      </c>
      <c r="E22" s="314">
        <v>150</v>
      </c>
      <c r="F22" s="1226">
        <v>8.5</v>
      </c>
      <c r="G22" s="1226">
        <v>0.61104999999999998</v>
      </c>
      <c r="H22" s="1226">
        <v>0.12075</v>
      </c>
      <c r="I22" s="1226"/>
      <c r="J22" s="1226"/>
      <c r="K22" s="1226"/>
      <c r="L22" s="1226"/>
      <c r="M22" s="1226"/>
      <c r="N22" s="1226"/>
      <c r="O22" s="1226"/>
      <c r="P22" s="1226"/>
      <c r="Q22" s="1226"/>
    </row>
    <row r="23" spans="1:17" x14ac:dyDescent="0.25">
      <c r="A23" s="316" t="s">
        <v>2850</v>
      </c>
      <c r="B23" s="313">
        <v>35991</v>
      </c>
      <c r="C23" s="316" t="s">
        <v>2851</v>
      </c>
      <c r="D23" s="314">
        <v>0</v>
      </c>
      <c r="E23" s="314">
        <v>5</v>
      </c>
      <c r="F23" s="1226">
        <v>6.8</v>
      </c>
      <c r="G23" s="1226">
        <v>13.595000000000002</v>
      </c>
      <c r="H23" s="1226">
        <v>1.4330000000000001</v>
      </c>
      <c r="I23" s="1226"/>
      <c r="J23" s="1226"/>
      <c r="K23" s="1226"/>
      <c r="L23" s="1226"/>
      <c r="M23" s="1226"/>
      <c r="N23" s="1226"/>
      <c r="O23" s="1226"/>
      <c r="P23" s="1226"/>
      <c r="Q23" s="1226">
        <v>28</v>
      </c>
    </row>
    <row r="24" spans="1:17" x14ac:dyDescent="0.25">
      <c r="A24" s="316" t="s">
        <v>2850</v>
      </c>
      <c r="B24" s="313">
        <v>35991</v>
      </c>
      <c r="C24" s="316" t="s">
        <v>2851</v>
      </c>
      <c r="D24" s="314">
        <v>5</v>
      </c>
      <c r="E24" s="314">
        <v>10</v>
      </c>
      <c r="F24" s="1226">
        <v>6.9</v>
      </c>
      <c r="G24" s="1226">
        <v>12.509999999999998</v>
      </c>
      <c r="H24" s="1226">
        <v>1.288</v>
      </c>
      <c r="I24" s="1226"/>
      <c r="J24" s="1226"/>
      <c r="K24" s="1226"/>
      <c r="L24" s="1226"/>
      <c r="M24" s="1226"/>
      <c r="N24" s="1226"/>
      <c r="O24" s="1226"/>
      <c r="P24" s="1226"/>
      <c r="Q24" s="1226">
        <v>17</v>
      </c>
    </row>
    <row r="25" spans="1:17" x14ac:dyDescent="0.25">
      <c r="A25" s="316" t="s">
        <v>2850</v>
      </c>
      <c r="B25" s="313">
        <v>35991</v>
      </c>
      <c r="C25" s="316" t="s">
        <v>2851</v>
      </c>
      <c r="D25" s="314">
        <v>10</v>
      </c>
      <c r="E25" s="314">
        <v>30</v>
      </c>
      <c r="F25" s="1226">
        <v>7</v>
      </c>
      <c r="G25" s="1226">
        <v>9.8179999999999996</v>
      </c>
      <c r="H25" s="1226">
        <v>1.1815</v>
      </c>
      <c r="I25" s="1226"/>
      <c r="J25" s="1226"/>
      <c r="K25" s="1226"/>
      <c r="L25" s="1226"/>
      <c r="M25" s="1226"/>
      <c r="N25" s="1226"/>
      <c r="O25" s="1226"/>
      <c r="P25" s="1226"/>
      <c r="Q25" s="1226">
        <v>4</v>
      </c>
    </row>
    <row r="26" spans="1:17" x14ac:dyDescent="0.25">
      <c r="A26" s="316" t="s">
        <v>2850</v>
      </c>
      <c r="B26" s="313">
        <v>35991</v>
      </c>
      <c r="C26" s="316" t="s">
        <v>2851</v>
      </c>
      <c r="D26" s="314">
        <v>30</v>
      </c>
      <c r="E26" s="314">
        <v>60</v>
      </c>
      <c r="F26" s="1226">
        <v>8.3000000000000007</v>
      </c>
      <c r="G26" s="1226">
        <v>2.6049999999999995</v>
      </c>
      <c r="H26" s="1226">
        <v>0.42180000000000001</v>
      </c>
      <c r="I26" s="1226"/>
      <c r="J26" s="1226"/>
      <c r="K26" s="1226"/>
      <c r="L26" s="1226"/>
      <c r="M26" s="1226"/>
      <c r="N26" s="1226"/>
      <c r="O26" s="1226"/>
      <c r="P26" s="1226"/>
      <c r="Q26" s="1226"/>
    </row>
    <row r="27" spans="1:17" x14ac:dyDescent="0.25">
      <c r="A27" s="316" t="s">
        <v>2850</v>
      </c>
      <c r="B27" s="313">
        <v>35991</v>
      </c>
      <c r="C27" s="316" t="s">
        <v>2851</v>
      </c>
      <c r="D27" s="314">
        <v>60</v>
      </c>
      <c r="E27" s="314">
        <v>90</v>
      </c>
      <c r="F27" s="1226">
        <v>8.6</v>
      </c>
      <c r="G27" s="1226">
        <v>2.3864999999999998</v>
      </c>
      <c r="H27" s="1226">
        <v>0.40805000000000002</v>
      </c>
      <c r="I27" s="1226"/>
      <c r="J27" s="1226"/>
      <c r="K27" s="1226"/>
      <c r="L27" s="1226"/>
      <c r="M27" s="1226"/>
      <c r="N27" s="1226"/>
      <c r="O27" s="1226"/>
      <c r="P27" s="1226"/>
      <c r="Q27" s="1226"/>
    </row>
    <row r="28" spans="1:17" x14ac:dyDescent="0.25">
      <c r="A28" s="316" t="s">
        <v>2850</v>
      </c>
      <c r="B28" s="313">
        <v>35991</v>
      </c>
      <c r="C28" s="316" t="s">
        <v>2851</v>
      </c>
      <c r="D28" s="314">
        <v>90</v>
      </c>
      <c r="E28" s="314">
        <v>120</v>
      </c>
      <c r="F28" s="1226">
        <v>8.9</v>
      </c>
      <c r="G28" s="1226">
        <v>1.7020000000000002</v>
      </c>
      <c r="H28" s="1226">
        <v>0.37695000000000001</v>
      </c>
      <c r="I28" s="1226"/>
      <c r="J28" s="1226"/>
      <c r="K28" s="1226"/>
      <c r="L28" s="1226"/>
      <c r="M28" s="1226"/>
      <c r="N28" s="1226"/>
      <c r="O28" s="1226"/>
      <c r="P28" s="1226"/>
      <c r="Q28" s="1226"/>
    </row>
    <row r="29" spans="1:17" x14ac:dyDescent="0.25">
      <c r="A29" s="316" t="s">
        <v>2850</v>
      </c>
      <c r="B29" s="313">
        <v>35991</v>
      </c>
      <c r="C29" s="316" t="s">
        <v>2851</v>
      </c>
      <c r="D29" s="314">
        <v>120</v>
      </c>
      <c r="E29" s="314">
        <v>150</v>
      </c>
      <c r="F29" s="1226">
        <v>8.8000000000000007</v>
      </c>
      <c r="G29" s="1226">
        <v>1.5960000000000001</v>
      </c>
      <c r="H29" s="1226">
        <v>0.33340000000000003</v>
      </c>
      <c r="I29" s="1226"/>
      <c r="J29" s="1226"/>
      <c r="K29" s="1226"/>
      <c r="L29" s="1226"/>
      <c r="M29" s="1226"/>
      <c r="N29" s="1226"/>
      <c r="O29" s="1226"/>
      <c r="P29" s="1226"/>
      <c r="Q29" s="1226"/>
    </row>
  </sheetData>
  <mergeCells count="14">
    <mergeCell ref="AP6:AQ6"/>
    <mergeCell ref="D7:E7"/>
    <mergeCell ref="G7:H7"/>
    <mergeCell ref="I7:K7"/>
    <mergeCell ref="O7:AD7"/>
    <mergeCell ref="AH7:AI7"/>
    <mergeCell ref="AJ7:AK7"/>
    <mergeCell ref="AP7:BE7"/>
    <mergeCell ref="AJ6:AK6"/>
    <mergeCell ref="A5:C5"/>
    <mergeCell ref="AH5:AI5"/>
    <mergeCell ref="D6:E6"/>
    <mergeCell ref="I6:K6"/>
    <mergeCell ref="O6:P6"/>
  </mergeCells>
  <conditionalFormatting sqref="A8:C8 U8:Z8">
    <cfRule type="expression" dxfId="79" priority="15">
      <formula>IF(INDEX(VAD_nMeasSoilChem,COLUMN(A8),5)&gt;0,TRUE(),FALSE())</formula>
    </cfRule>
  </conditionalFormatting>
  <conditionalFormatting sqref="F8:K8">
    <cfRule type="expression" dxfId="78" priority="14">
      <formula>IF(INDEX(Vad_MeasSoilChem,COLUMN(F8),5)&gt;0,TRUE(),FALSE())</formula>
    </cfRule>
  </conditionalFormatting>
  <conditionalFormatting sqref="L8:N8">
    <cfRule type="expression" dxfId="77" priority="13">
      <formula>IF(INDEX(Vad_MeasSoilChem,COLUMN(L8),5)&gt;0,TRUE(),FALSE())</formula>
    </cfRule>
  </conditionalFormatting>
  <conditionalFormatting sqref="O8:T8">
    <cfRule type="expression" dxfId="76" priority="12">
      <formula>IF(INDEX(Vad_MeasSoilChem,COLUMN(O8),5)&gt;0,TRUE(),FALSE())</formula>
    </cfRule>
  </conditionalFormatting>
  <conditionalFormatting sqref="AA8:AF8">
    <cfRule type="expression" dxfId="75" priority="11">
      <formula>IF(INDEX(Vad_MeasSoilChem,COLUMN(AA8),5)&gt;0,TRUE(),FALSE())</formula>
    </cfRule>
  </conditionalFormatting>
  <conditionalFormatting sqref="AV8:BA8">
    <cfRule type="expression" dxfId="74" priority="10">
      <formula>IF(INDEX(VAD_nMeasSoilChem,COLUMN(AV8),5)&gt;0,TRUE(),FALSE())</formula>
    </cfRule>
  </conditionalFormatting>
  <conditionalFormatting sqref="AG8:AO8">
    <cfRule type="expression" dxfId="73" priority="4">
      <formula>IF(INDEX(Vad_MeasSoilChem,COLUMN(AG8),5)&gt;0,TRUE(),FALSE())</formula>
    </cfRule>
  </conditionalFormatting>
  <conditionalFormatting sqref="AP8:AU8">
    <cfRule type="expression" dxfId="72" priority="3">
      <formula>IF(INDEX(Vad_MeasSoilChem,COLUMN(AP8),5)&gt;0,TRUE(),FALSE())</formula>
    </cfRule>
  </conditionalFormatting>
  <conditionalFormatting sqref="BB8:BG8">
    <cfRule type="expression" dxfId="71" priority="2">
      <formula>IF(INDEX(Vad_MeasSoilChem,COLUMN(BB8),5)&gt;0,TRUE(),FALSE())</formula>
    </cfRule>
  </conditionalFormatting>
  <conditionalFormatting sqref="D8:E8">
    <cfRule type="expression" dxfId="70" priority="1">
      <formula>IF(INDEX(Vad_MeasSoilBiol,COLUMN(D8),5)&gt;0,TRUE(),FALSE())</formula>
    </cfRule>
  </conditionalFormatting>
  <dataValidations count="33">
    <dataValidation type="list" allowBlank="1" showInputMessage="1" showErrorMessage="1" sqref="A9:A1035">
      <formula1>Exp_UnitID</formula1>
    </dataValidation>
    <dataValidation type="list" allowBlank="1" showInputMessage="1" showErrorMessage="1" sqref="C9:C1035">
      <formula1>TreatmentID</formula1>
    </dataValidation>
    <dataValidation allowBlank="1" showInputMessage="1" showErrorMessage="1" prompt="Enter the date the soil sampling occurred." sqref="B8"/>
    <dataValidation type="list" allowBlank="1" showInputMessage="1" showErrorMessage="1" sqref="A1036:A65071 C1036:C65071">
      <formula1>#REF!</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Unit and Treatments tabs. For each row, this must be filled in if column A is blank." sqref="C8"/>
    <dataValidation allowBlank="1" showInputMessage="1" showErrorMessage="1" prompt="If a method other than dry combustion is used please enter above instead." sqref="G7"/>
    <dataValidation allowBlank="1" showInputMessage="1" showErrorMessage="1" prompt="Enter soil pH._x000a_(using calcium chloride method)" sqref="F8 AG8"/>
    <dataValidation allowBlank="1" showInputMessage="1" showErrorMessage="1" prompt="Enter soil electrical conductivity." sqref="AN7 M7"/>
    <dataValidation allowBlank="1" showInputMessage="1" showErrorMessage="1" prompt="Enter the Standard Deviation of this measurement if you entered a Mean on the left." sqref="AP7:BG7 AH7:AL7"/>
    <dataValidation allowBlank="1" showInputMessage="1" showErrorMessage="1" prompt="To convert kg N/ha to mg N/kg soil (a.k.a. ppm):_x000a__x000a_mg N/kg soil  =   (kg N/ha * 10) / (soil BD * sample depth cm)" sqref="AP6:AQ6 O6:P6"/>
    <dataValidation allowBlank="1" showInputMessage="1" showErrorMessage="1" prompt="Enter mineral associated carbon, in units specified above." sqref="K8 AL8"/>
    <dataValidation allowBlank="1" showInputMessage="1" showErrorMessage="1" prompt="Enter total soil nitrogen, in units specified above." sqref="H8 AI8"/>
    <dataValidation allowBlank="1" showInputMessage="1" showErrorMessage="1" prompt="Enter total soil carbon, in units specified above.  If your data is a %, multiply by 10. " sqref="G8 AH8"/>
    <dataValidation allowBlank="1" showInputMessage="1" showErrorMessage="1" prompt="Enter soil inorganic carbon, in units specified above." sqref="I8 AJ8"/>
    <dataValidation allowBlank="1" showInputMessage="1" showErrorMessage="1" prompt="Enter soil organic carbon, in units specified above." sqref="J8 AK8"/>
    <dataValidation allowBlank="1" showInputMessage="1" showErrorMessage="1" prompt="Enter soil electrical conductivity, in units specified above." sqref="M8 AN8"/>
    <dataValidation allowBlank="1" showInputMessage="1" showErrorMessage="1" prompt="Enter CEC, in units specified above." sqref="L8 AM8"/>
    <dataValidation allowBlank="1" showInputMessage="1" showErrorMessage="1" prompt="Enter soluble organic C, in units specified above. This is required if there is a drainage in the system." sqref="N8 AO8"/>
    <dataValidation allowBlank="1" showInputMessage="1" showErrorMessage="1" prompt="Enter extractable Mg, in units specified above. " sqref="T8 AU8"/>
    <dataValidation allowBlank="1" showInputMessage="1" showErrorMessage="1" prompt="Enter extractable Ca, in units specified above.  " sqref="S8 AT8"/>
    <dataValidation allowBlank="1" showInputMessage="1" showErrorMessage="1" prompt="Enter soil ammonium, in units specified above." sqref="O8 AP8"/>
    <dataValidation allowBlank="1" showInputMessage="1" showErrorMessage="1" prompt="Enter soil nitrate, in units specified above." sqref="P8 AQ8"/>
    <dataValidation allowBlank="1" showInputMessage="1" showErrorMessage="1" prompt="Enter soil phosphorus, in units specified above." sqref="Q8 AR8"/>
    <dataValidation allowBlank="1" showInputMessage="1" showErrorMessage="1" prompt="Enter soil potassium, in units specified above.  Also, input  method used in row 1 at the top of this column." sqref="R8 AS8"/>
    <dataValidation allowBlank="1" showInputMessage="1" showErrorMessage="1" prompt="Enter nitrites, in units specified above.  " sqref="AF8 BG8"/>
    <dataValidation allowBlank="1" showInputMessage="1" showErrorMessage="1" prompt="Enter potentially mineralizable nitrogen, in units specified above.  " sqref="AE8 BF8"/>
    <dataValidation allowBlank="1" showInputMessage="1" showErrorMessage="1" prompt="Enter extractable Zn, in units specified above.  " sqref="AD8 BE8"/>
    <dataValidation allowBlank="1" showInputMessage="1" showErrorMessage="1" prompt="Enter extractable Mn, in units specified above.  " sqref="AC8 BD8"/>
    <dataValidation allowBlank="1" showInputMessage="1" showErrorMessage="1" prompt="Enter extractable Cu, in units specified above.  " sqref="AA8 BB8"/>
    <dataValidation allowBlank="1" showInputMessage="1" showErrorMessage="1" prompt="Enter extractable Fe, in units specified above. " sqref="AB8 B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S18" sqref="S18"/>
    </sheetView>
  </sheetViews>
  <sheetFormatPr defaultColWidth="9.109375" defaultRowHeight="13.2" x14ac:dyDescent="0.25"/>
  <cols>
    <col min="1" max="1" width="16.6640625" style="316" customWidth="1"/>
    <col min="2" max="2" width="16.6640625" style="313" customWidth="1"/>
    <col min="3" max="3" width="16.6640625" style="316" customWidth="1"/>
    <col min="4" max="5" width="11.6640625" style="314" customWidth="1"/>
    <col min="6" max="9" width="12.6640625" style="314" customWidth="1"/>
    <col min="10" max="10" width="14.88671875" style="314" customWidth="1"/>
    <col min="11" max="11" width="12.6640625" style="314" customWidth="1"/>
    <col min="12" max="14" width="12" style="876" customWidth="1"/>
    <col min="15" max="18" width="10.6640625" style="314" customWidth="1"/>
    <col min="19" max="19" width="13.33203125" style="314" customWidth="1"/>
    <col min="20" max="21" width="12.6640625" style="314" customWidth="1"/>
    <col min="22" max="22" width="10.88671875" style="314" customWidth="1"/>
    <col min="23" max="24" width="13.5546875" style="314" customWidth="1"/>
    <col min="25" max="25" width="10" style="314" customWidth="1"/>
    <col min="26" max="27" width="10.6640625" style="314" customWidth="1"/>
    <col min="28" max="28" width="10.88671875" style="314" customWidth="1"/>
    <col min="29" max="16384" width="9.109375" style="314"/>
  </cols>
  <sheetData>
    <row r="1" spans="1:28" s="339" customFormat="1" ht="17.399999999999999" x14ac:dyDescent="0.3">
      <c r="A1" s="711" t="s">
        <v>551</v>
      </c>
      <c r="B1" s="268"/>
      <c r="C1" s="711"/>
      <c r="D1" s="104"/>
      <c r="E1" s="104"/>
      <c r="F1" s="104"/>
      <c r="G1" s="104"/>
      <c r="H1" s="104"/>
      <c r="I1" s="104"/>
      <c r="J1" s="104"/>
      <c r="K1" s="104"/>
      <c r="L1" s="875"/>
      <c r="M1" s="875"/>
      <c r="N1" s="875"/>
      <c r="O1" s="104"/>
      <c r="P1" s="104"/>
      <c r="Q1" s="104"/>
      <c r="R1" s="212"/>
      <c r="S1" s="93"/>
      <c r="T1" s="104"/>
      <c r="U1" s="104"/>
      <c r="V1" s="104"/>
      <c r="W1" s="104"/>
      <c r="X1" s="104"/>
      <c r="Y1" s="104"/>
      <c r="Z1" s="104"/>
      <c r="AA1" s="184"/>
      <c r="AB1" s="185"/>
    </row>
    <row r="2" spans="1:28" s="339" customFormat="1" ht="15" customHeight="1" x14ac:dyDescent="0.3">
      <c r="A2" s="889" t="s">
        <v>617</v>
      </c>
      <c r="B2" s="265"/>
      <c r="C2" s="712"/>
      <c r="D2" s="109"/>
      <c r="E2" s="109"/>
      <c r="F2" s="1540"/>
      <c r="G2" s="1540"/>
      <c r="H2" s="1540"/>
      <c r="I2" s="1540"/>
      <c r="J2" s="1540"/>
      <c r="K2" s="1541"/>
      <c r="M2" s="914"/>
      <c r="N2" s="915"/>
      <c r="O2" s="109"/>
      <c r="P2" s="109"/>
      <c r="Q2" s="81"/>
      <c r="R2" s="206"/>
      <c r="S2" s="891" t="s">
        <v>538</v>
      </c>
      <c r="T2" s="891" t="s">
        <v>538</v>
      </c>
      <c r="U2" s="891" t="s">
        <v>538</v>
      </c>
      <c r="V2" s="891" t="s">
        <v>538</v>
      </c>
      <c r="W2" s="891" t="s">
        <v>538</v>
      </c>
      <c r="X2" s="891"/>
      <c r="Y2" s="891" t="s">
        <v>538</v>
      </c>
      <c r="Z2" s="891" t="s">
        <v>538</v>
      </c>
      <c r="AA2" s="909" t="s">
        <v>538</v>
      </c>
      <c r="AB2" s="911" t="s">
        <v>538</v>
      </c>
    </row>
    <row r="3" spans="1:28" s="339" customFormat="1" ht="15" customHeight="1" x14ac:dyDescent="0.3">
      <c r="A3" s="712"/>
      <c r="B3" s="266"/>
      <c r="C3" s="712"/>
      <c r="D3" s="109"/>
      <c r="E3" s="109"/>
      <c r="F3" s="109"/>
      <c r="G3" s="109"/>
      <c r="H3" s="109"/>
      <c r="I3" s="109"/>
      <c r="J3" s="109"/>
      <c r="K3" s="109"/>
      <c r="L3" s="1546" t="s">
        <v>1553</v>
      </c>
      <c r="M3" s="1547"/>
      <c r="N3" s="1548"/>
      <c r="O3" s="109"/>
      <c r="P3" s="109"/>
      <c r="Q3" s="474"/>
      <c r="R3" s="475"/>
      <c r="S3" s="109"/>
      <c r="T3" s="109"/>
      <c r="U3" s="109"/>
      <c r="V3" s="109"/>
      <c r="W3" s="109"/>
      <c r="X3" s="109"/>
      <c r="Y3" s="109"/>
      <c r="Z3" s="109"/>
      <c r="AA3" s="474"/>
      <c r="AB3" s="476"/>
    </row>
    <row r="4" spans="1:28" s="339" customFormat="1" ht="14.4" x14ac:dyDescent="0.3">
      <c r="A4" s="712"/>
      <c r="B4" s="267"/>
      <c r="C4" s="712"/>
      <c r="D4" s="111"/>
      <c r="E4" s="111"/>
      <c r="F4" s="109"/>
      <c r="G4" s="109"/>
      <c r="H4" s="109"/>
      <c r="I4" s="109"/>
      <c r="J4" s="109"/>
      <c r="K4" s="109"/>
      <c r="L4" s="1546"/>
      <c r="M4" s="1547"/>
      <c r="N4" s="1548"/>
      <c r="O4" s="109"/>
      <c r="P4" s="109"/>
      <c r="Q4" s="82"/>
      <c r="R4" s="207"/>
      <c r="S4" s="109"/>
      <c r="T4" s="109"/>
      <c r="U4" s="109"/>
      <c r="V4" s="109"/>
      <c r="W4" s="109"/>
      <c r="X4" s="109"/>
      <c r="Y4" s="109"/>
      <c r="Z4" s="109"/>
      <c r="AA4" s="82"/>
      <c r="AB4" s="186"/>
    </row>
    <row r="5" spans="1:28" s="339" customFormat="1" ht="15.6" x14ac:dyDescent="0.3">
      <c r="A5" s="715" t="s">
        <v>343</v>
      </c>
      <c r="B5" s="269"/>
      <c r="C5" s="716"/>
      <c r="D5" s="109"/>
      <c r="E5" s="109"/>
      <c r="F5" s="109"/>
      <c r="G5" s="109"/>
      <c r="H5" s="910" t="s">
        <v>480</v>
      </c>
      <c r="I5" s="910" t="s">
        <v>481</v>
      </c>
      <c r="J5" s="109"/>
      <c r="K5" s="109"/>
      <c r="L5" s="1549"/>
      <c r="M5" s="1550"/>
      <c r="N5" s="1551"/>
      <c r="O5" s="109"/>
      <c r="P5" s="109"/>
      <c r="Q5" s="82"/>
      <c r="R5" s="207"/>
      <c r="S5" s="109"/>
      <c r="T5" s="109"/>
      <c r="U5" s="109"/>
      <c r="V5" s="109"/>
      <c r="W5" s="109"/>
      <c r="X5" s="109"/>
      <c r="Y5" s="109"/>
      <c r="Z5" s="109"/>
      <c r="AA5" s="82"/>
      <c r="AB5" s="186"/>
    </row>
    <row r="6" spans="1:28" s="339" customFormat="1" ht="29.4" x14ac:dyDescent="0.3">
      <c r="A6" s="641"/>
      <c r="B6" s="256" t="s">
        <v>116</v>
      </c>
      <c r="C6" s="641"/>
      <c r="D6" s="1528" t="s">
        <v>46</v>
      </c>
      <c r="E6" s="1528"/>
      <c r="F6" s="1542" t="s">
        <v>1551</v>
      </c>
      <c r="G6" s="1542"/>
      <c r="H6" s="1542"/>
      <c r="I6" s="1542"/>
      <c r="J6" s="916" t="s">
        <v>1550</v>
      </c>
      <c r="K6" s="916" t="s">
        <v>388</v>
      </c>
      <c r="L6" s="1543" t="s">
        <v>482</v>
      </c>
      <c r="M6" s="1544"/>
      <c r="N6" s="1545"/>
      <c r="O6" s="1534" t="s">
        <v>1031</v>
      </c>
      <c r="P6" s="1534"/>
      <c r="Q6" s="917" t="s">
        <v>1034</v>
      </c>
      <c r="R6" s="836" t="s">
        <v>1035</v>
      </c>
      <c r="S6" s="1542" t="s">
        <v>1551</v>
      </c>
      <c r="T6" s="1542"/>
      <c r="U6" s="1542"/>
      <c r="V6" s="1542"/>
      <c r="W6" s="916" t="s">
        <v>1550</v>
      </c>
      <c r="X6" s="916" t="s">
        <v>388</v>
      </c>
      <c r="Y6" s="1534" t="s">
        <v>1031</v>
      </c>
      <c r="Z6" s="1534"/>
      <c r="AA6" s="917" t="s">
        <v>1034</v>
      </c>
      <c r="AB6" s="918" t="s">
        <v>1035</v>
      </c>
    </row>
    <row r="7" spans="1:28" s="339" customFormat="1" ht="14.4" x14ac:dyDescent="0.3">
      <c r="A7" s="713"/>
      <c r="B7" s="67"/>
      <c r="C7" s="713"/>
      <c r="D7" s="1529" t="s">
        <v>71</v>
      </c>
      <c r="E7" s="1529"/>
      <c r="F7" s="81"/>
      <c r="G7" s="81"/>
      <c r="H7" s="81"/>
      <c r="I7" s="81"/>
      <c r="J7" s="107"/>
      <c r="K7" s="107"/>
      <c r="L7" s="1552" t="s">
        <v>483</v>
      </c>
      <c r="M7" s="1553"/>
      <c r="N7" s="1554"/>
      <c r="O7" s="305"/>
      <c r="P7" s="305"/>
      <c r="Q7" s="1557" t="s">
        <v>73</v>
      </c>
      <c r="R7" s="1558"/>
      <c r="S7" s="81"/>
      <c r="T7" s="81"/>
      <c r="U7" s="81"/>
      <c r="V7" s="81"/>
      <c r="W7" s="107"/>
      <c r="X7" s="107"/>
      <c r="Y7" s="305"/>
      <c r="Z7" s="305"/>
      <c r="AA7" s="1555" t="s">
        <v>73</v>
      </c>
      <c r="AB7" s="1556"/>
    </row>
    <row r="8" spans="1:28" s="339" customFormat="1" ht="54" thickBot="1" x14ac:dyDescent="0.35">
      <c r="A8" s="18" t="s">
        <v>1637</v>
      </c>
      <c r="B8" s="20" t="s">
        <v>35</v>
      </c>
      <c r="C8" s="7" t="s">
        <v>1598</v>
      </c>
      <c r="D8" s="6" t="s">
        <v>3507</v>
      </c>
      <c r="E8" s="6" t="s">
        <v>3508</v>
      </c>
      <c r="F8" s="949" t="s">
        <v>3579</v>
      </c>
      <c r="G8" s="103" t="s">
        <v>3580</v>
      </c>
      <c r="H8" s="103" t="s">
        <v>3581</v>
      </c>
      <c r="I8" s="103" t="s">
        <v>3582</v>
      </c>
      <c r="J8" s="103" t="s">
        <v>3598</v>
      </c>
      <c r="K8" s="103" t="s">
        <v>3583</v>
      </c>
      <c r="L8" s="717" t="s">
        <v>484</v>
      </c>
      <c r="M8" s="718" t="s">
        <v>798</v>
      </c>
      <c r="N8" s="719" t="s">
        <v>485</v>
      </c>
      <c r="O8" s="6" t="s">
        <v>3584</v>
      </c>
      <c r="P8" s="39" t="s">
        <v>3585</v>
      </c>
      <c r="Q8" s="6" t="s">
        <v>3586</v>
      </c>
      <c r="R8" s="469" t="s">
        <v>3587</v>
      </c>
      <c r="S8" s="949" t="s">
        <v>3588</v>
      </c>
      <c r="T8" s="103" t="s">
        <v>3589</v>
      </c>
      <c r="U8" s="103" t="s">
        <v>3590</v>
      </c>
      <c r="V8" s="103" t="s">
        <v>3591</v>
      </c>
      <c r="W8" s="103" t="s">
        <v>3597</v>
      </c>
      <c r="X8" s="103" t="s">
        <v>3592</v>
      </c>
      <c r="Y8" s="6" t="s">
        <v>3593</v>
      </c>
      <c r="Z8" s="6" t="s">
        <v>3594</v>
      </c>
      <c r="AA8" s="6" t="s">
        <v>3595</v>
      </c>
      <c r="AB8" s="469" t="s">
        <v>3596</v>
      </c>
    </row>
    <row r="30" spans="11:11" x14ac:dyDescent="0.25">
      <c r="K30" s="874"/>
    </row>
  </sheetData>
  <mergeCells count="12">
    <mergeCell ref="O6:P6"/>
    <mergeCell ref="D7:E7"/>
    <mergeCell ref="L7:N7"/>
    <mergeCell ref="AA7:AB7"/>
    <mergeCell ref="S6:V6"/>
    <mergeCell ref="Y6:Z6"/>
    <mergeCell ref="Q7:R7"/>
    <mergeCell ref="F2:K2"/>
    <mergeCell ref="D6:E6"/>
    <mergeCell ref="F6:I6"/>
    <mergeCell ref="L6:N6"/>
    <mergeCell ref="L3:N5"/>
  </mergeCells>
  <conditionalFormatting sqref="A8:V8 X8:AB8">
    <cfRule type="expression" dxfId="69" priority="2">
      <formula>IF(INDEX(Vad_MeasSoilBiol,COLUMN(A8),5)&gt;0,TRUE(),FALSE())</formula>
    </cfRule>
  </conditionalFormatting>
  <conditionalFormatting sqref="W8">
    <cfRule type="expression" dxfId="68" priority="1">
      <formula>IF(INDEX(Vad_MeasSoilBiol,COLUMN(W8),5)&gt;0,TRUE(),FALSE())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I58"/>
  <sheetViews>
    <sheetView workbookViewId="0">
      <pane xSplit="5" ySplit="8" topLeftCell="F40" activePane="bottomRight" state="frozen"/>
      <selection pane="topRight" activeCell="F1" sqref="F1"/>
      <selection pane="bottomLeft" activeCell="A9" sqref="A9"/>
      <selection pane="bottomRight" activeCell="D8" sqref="D8:E8"/>
    </sheetView>
  </sheetViews>
  <sheetFormatPr defaultRowHeight="14.4" x14ac:dyDescent="0.3"/>
  <sheetData>
    <row r="1" spans="1:35" s="108" customFormat="1" ht="17.399999999999999" x14ac:dyDescent="0.3">
      <c r="A1" s="705" t="s">
        <v>2795</v>
      </c>
      <c r="B1" s="705"/>
      <c r="C1" s="705"/>
      <c r="D1" s="705"/>
      <c r="E1" s="705"/>
      <c r="F1" s="705"/>
      <c r="G1" s="705"/>
      <c r="H1" s="705"/>
      <c r="I1" s="705"/>
      <c r="J1" s="705"/>
      <c r="K1" s="705"/>
      <c r="L1" s="705"/>
      <c r="M1" s="705"/>
      <c r="N1" s="705"/>
      <c r="O1" s="705"/>
      <c r="P1" s="705"/>
      <c r="Q1" s="705"/>
      <c r="R1" s="705"/>
      <c r="S1" s="705"/>
      <c r="T1" s="705"/>
      <c r="U1" s="705"/>
      <c r="V1" s="705"/>
      <c r="W1" s="705"/>
      <c r="X1" s="705"/>
      <c r="Y1" s="705"/>
      <c r="Z1" s="705"/>
      <c r="AA1" s="705"/>
      <c r="AB1" s="705"/>
      <c r="AC1" s="705"/>
      <c r="AD1" s="705"/>
      <c r="AE1" s="705"/>
      <c r="AF1" s="705"/>
      <c r="AG1" s="705"/>
      <c r="AH1" s="705"/>
      <c r="AI1" s="705"/>
    </row>
    <row r="2" spans="1:35" s="108" customFormat="1" x14ac:dyDescent="0.3">
      <c r="A2" s="889" t="s">
        <v>617</v>
      </c>
      <c r="B2" s="67"/>
      <c r="C2" s="73"/>
      <c r="D2" s="63"/>
      <c r="E2" s="63"/>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row>
    <row r="3" spans="1:35" s="108" customFormat="1" x14ac:dyDescent="0.3">
      <c r="A3" s="283"/>
      <c r="B3" s="67"/>
      <c r="C3" s="73"/>
      <c r="D3" s="63"/>
      <c r="E3" s="1019"/>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row>
    <row r="4" spans="1:35" s="108" customFormat="1" x14ac:dyDescent="0.3">
      <c r="A4" s="283"/>
      <c r="B4" s="67"/>
      <c r="C4" s="73"/>
      <c r="D4" s="63"/>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row>
    <row r="5" spans="1:35" s="108" customFormat="1" ht="15.6" x14ac:dyDescent="0.3">
      <c r="A5" s="1122" t="s">
        <v>343</v>
      </c>
      <c r="B5" s="1123"/>
      <c r="C5" s="1124"/>
      <c r="D5" s="63"/>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row>
    <row r="6" spans="1:35" s="108" customFormat="1" x14ac:dyDescent="0.3">
      <c r="A6" s="285"/>
      <c r="B6" s="256" t="s">
        <v>116</v>
      </c>
      <c r="C6" s="25"/>
      <c r="D6" s="1528"/>
      <c r="E6" s="1528"/>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c r="AI6" s="30"/>
    </row>
    <row r="7" spans="1:35" s="1128" customFormat="1" x14ac:dyDescent="0.3">
      <c r="A7" s="1125"/>
      <c r="B7" s="1126"/>
      <c r="C7" s="1127"/>
      <c r="D7" s="1559"/>
      <c r="E7" s="1559"/>
      <c r="F7" s="1151"/>
      <c r="G7" s="1151"/>
      <c r="H7" s="1151"/>
      <c r="I7" s="1151"/>
      <c r="J7" s="1151"/>
      <c r="K7" s="1151"/>
      <c r="L7" s="1151"/>
      <c r="M7" s="1151"/>
      <c r="N7" s="1151"/>
      <c r="O7" s="1151"/>
      <c r="P7" s="1151"/>
      <c r="Q7" s="1151"/>
      <c r="R7" s="1151"/>
      <c r="S7" s="1151"/>
      <c r="T7" s="1151"/>
      <c r="U7" s="1151" t="s">
        <v>2796</v>
      </c>
      <c r="V7" s="1151" t="s">
        <v>2796</v>
      </c>
      <c r="W7" s="1151" t="s">
        <v>2796</v>
      </c>
      <c r="X7" s="1151"/>
      <c r="Y7" s="1151"/>
      <c r="Z7" s="1151"/>
      <c r="AA7" s="1151" t="s">
        <v>2797</v>
      </c>
      <c r="AB7" s="1151" t="s">
        <v>2797</v>
      </c>
      <c r="AC7" s="1151" t="s">
        <v>2798</v>
      </c>
      <c r="AD7" s="1151" t="s">
        <v>2797</v>
      </c>
      <c r="AE7" s="1151" t="s">
        <v>2799</v>
      </c>
      <c r="AF7" s="1151" t="s">
        <v>2799</v>
      </c>
      <c r="AG7" s="1151" t="s">
        <v>2799</v>
      </c>
      <c r="AH7" s="1151" t="s">
        <v>2799</v>
      </c>
      <c r="AI7" s="1151" t="s">
        <v>2799</v>
      </c>
    </row>
    <row r="8" spans="1:35" s="108" customFormat="1" ht="27.6" thickBot="1" x14ac:dyDescent="0.35">
      <c r="A8" s="1149" t="s">
        <v>154</v>
      </c>
      <c r="B8" s="1150" t="s">
        <v>35</v>
      </c>
      <c r="C8" s="165" t="s">
        <v>152</v>
      </c>
      <c r="D8" s="6" t="s">
        <v>3507</v>
      </c>
      <c r="E8" s="6" t="s">
        <v>3508</v>
      </c>
      <c r="F8" s="1152" t="s">
        <v>2800</v>
      </c>
      <c r="G8" s="1152" t="s">
        <v>2801</v>
      </c>
      <c r="H8" s="1152" t="s">
        <v>2802</v>
      </c>
      <c r="I8" s="1152" t="s">
        <v>2803</v>
      </c>
      <c r="J8" s="1152" t="s">
        <v>2804</v>
      </c>
      <c r="K8" s="1152" t="s">
        <v>2805</v>
      </c>
      <c r="L8" s="1152" t="s">
        <v>2806</v>
      </c>
      <c r="M8" s="1152" t="s">
        <v>2807</v>
      </c>
      <c r="N8" s="1152" t="s">
        <v>2808</v>
      </c>
      <c r="O8" s="1152" t="s">
        <v>2809</v>
      </c>
      <c r="P8" s="1152" t="s">
        <v>2810</v>
      </c>
      <c r="Q8" s="1152" t="s">
        <v>2808</v>
      </c>
      <c r="R8" s="1152" t="s">
        <v>2808</v>
      </c>
      <c r="S8" s="1152" t="s">
        <v>2808</v>
      </c>
      <c r="T8" s="1152" t="s">
        <v>2808</v>
      </c>
      <c r="U8" s="1152" t="s">
        <v>2811</v>
      </c>
      <c r="V8" s="1152" t="s">
        <v>2812</v>
      </c>
      <c r="W8" s="1152" t="s">
        <v>2813</v>
      </c>
      <c r="X8" s="1152" t="s">
        <v>2814</v>
      </c>
      <c r="Y8" s="1152" t="s">
        <v>2815</v>
      </c>
      <c r="Z8" s="1152" t="s">
        <v>2816</v>
      </c>
      <c r="AA8" s="1152" t="s">
        <v>2817</v>
      </c>
      <c r="AB8" s="1152" t="s">
        <v>2818</v>
      </c>
      <c r="AC8" s="1152" t="s">
        <v>2819</v>
      </c>
      <c r="AD8" s="1152" t="s">
        <v>2820</v>
      </c>
      <c r="AE8" s="1152" t="s">
        <v>2821</v>
      </c>
      <c r="AF8" s="1152" t="s">
        <v>2822</v>
      </c>
      <c r="AG8" s="1152" t="s">
        <v>2823</v>
      </c>
      <c r="AH8" s="1152" t="s">
        <v>2824</v>
      </c>
      <c r="AI8" s="1152" t="s">
        <v>2825</v>
      </c>
    </row>
    <row r="9" spans="1:35" s="108" customFormat="1" x14ac:dyDescent="0.3">
      <c r="A9" s="316"/>
    </row>
    <row r="10" spans="1:35" x14ac:dyDescent="0.3">
      <c r="A10" s="316"/>
    </row>
    <row r="11" spans="1:35" x14ac:dyDescent="0.3">
      <c r="A11" s="316"/>
    </row>
    <row r="12" spans="1:35" x14ac:dyDescent="0.3">
      <c r="A12" s="316"/>
    </row>
    <row r="13" spans="1:35" x14ac:dyDescent="0.3">
      <c r="A13" s="316"/>
    </row>
    <row r="14" spans="1:35" x14ac:dyDescent="0.3">
      <c r="A14" s="316"/>
    </row>
    <row r="15" spans="1:35" x14ac:dyDescent="0.3">
      <c r="A15" s="316"/>
    </row>
    <row r="16" spans="1:35" x14ac:dyDescent="0.3">
      <c r="A16" s="316"/>
    </row>
    <row r="17" spans="1:1" x14ac:dyDescent="0.3">
      <c r="A17" s="316"/>
    </row>
    <row r="18" spans="1:1" x14ac:dyDescent="0.3">
      <c r="A18" s="316"/>
    </row>
    <row r="19" spans="1:1" x14ac:dyDescent="0.3">
      <c r="A19" s="316"/>
    </row>
    <row r="20" spans="1:1" x14ac:dyDescent="0.3">
      <c r="A20" s="316"/>
    </row>
    <row r="21" spans="1:1" x14ac:dyDescent="0.3">
      <c r="A21" s="316"/>
    </row>
    <row r="22" spans="1:1" x14ac:dyDescent="0.3">
      <c r="A22" s="316"/>
    </row>
    <row r="23" spans="1:1" x14ac:dyDescent="0.3">
      <c r="A23" s="316"/>
    </row>
    <row r="24" spans="1:1" x14ac:dyDescent="0.3">
      <c r="A24" s="316"/>
    </row>
    <row r="25" spans="1:1" x14ac:dyDescent="0.3">
      <c r="A25" s="316"/>
    </row>
    <row r="26" spans="1:1" x14ac:dyDescent="0.3">
      <c r="A26" s="316"/>
    </row>
    <row r="27" spans="1:1" x14ac:dyDescent="0.3">
      <c r="A27" s="316"/>
    </row>
    <row r="28" spans="1:1" x14ac:dyDescent="0.3">
      <c r="A28" s="316"/>
    </row>
    <row r="29" spans="1:1" x14ac:dyDescent="0.3">
      <c r="A29" s="316"/>
    </row>
    <row r="30" spans="1:1" x14ac:dyDescent="0.3">
      <c r="A30" s="316"/>
    </row>
    <row r="31" spans="1:1" x14ac:dyDescent="0.3">
      <c r="A31" s="316"/>
    </row>
    <row r="32" spans="1:1" x14ac:dyDescent="0.3">
      <c r="A32" s="316"/>
    </row>
    <row r="33" spans="1:1" x14ac:dyDescent="0.3">
      <c r="A33" s="316"/>
    </row>
    <row r="34" spans="1:1" x14ac:dyDescent="0.3">
      <c r="A34" s="316"/>
    </row>
    <row r="35" spans="1:1" x14ac:dyDescent="0.3">
      <c r="A35" s="316"/>
    </row>
    <row r="36" spans="1:1" x14ac:dyDescent="0.3">
      <c r="A36" s="316"/>
    </row>
    <row r="37" spans="1:1" x14ac:dyDescent="0.3">
      <c r="A37" s="316"/>
    </row>
    <row r="38" spans="1:1" x14ac:dyDescent="0.3">
      <c r="A38" s="316"/>
    </row>
    <row r="39" spans="1:1" x14ac:dyDescent="0.3">
      <c r="A39" s="316"/>
    </row>
    <row r="40" spans="1:1" x14ac:dyDescent="0.3">
      <c r="A40" s="316"/>
    </row>
    <row r="41" spans="1:1" x14ac:dyDescent="0.3">
      <c r="A41" s="316"/>
    </row>
    <row r="42" spans="1:1" x14ac:dyDescent="0.3">
      <c r="A42" s="316"/>
    </row>
    <row r="43" spans="1:1" x14ac:dyDescent="0.3">
      <c r="A43" s="316"/>
    </row>
    <row r="44" spans="1:1" x14ac:dyDescent="0.3">
      <c r="A44" s="316"/>
    </row>
    <row r="45" spans="1:1" x14ac:dyDescent="0.3">
      <c r="A45" s="316"/>
    </row>
    <row r="46" spans="1:1" x14ac:dyDescent="0.3">
      <c r="A46" s="316"/>
    </row>
    <row r="47" spans="1:1" x14ac:dyDescent="0.3">
      <c r="A47" s="316"/>
    </row>
    <row r="48" spans="1:1" x14ac:dyDescent="0.3">
      <c r="A48" s="316"/>
    </row>
    <row r="49" spans="1:1" x14ac:dyDescent="0.3">
      <c r="A49" s="316"/>
    </row>
    <row r="50" spans="1:1" x14ac:dyDescent="0.3">
      <c r="A50" s="316"/>
    </row>
    <row r="51" spans="1:1" x14ac:dyDescent="0.3">
      <c r="A51" s="316"/>
    </row>
    <row r="52" spans="1:1" x14ac:dyDescent="0.3">
      <c r="A52" s="316"/>
    </row>
    <row r="53" spans="1:1" x14ac:dyDescent="0.3">
      <c r="A53" s="316"/>
    </row>
    <row r="54" spans="1:1" x14ac:dyDescent="0.3">
      <c r="A54" s="316"/>
    </row>
    <row r="55" spans="1:1" x14ac:dyDescent="0.3">
      <c r="A55" s="316"/>
    </row>
    <row r="56" spans="1:1" x14ac:dyDescent="0.3">
      <c r="A56" s="316"/>
    </row>
    <row r="57" spans="1:1" x14ac:dyDescent="0.3">
      <c r="A57" s="316"/>
    </row>
    <row r="58" spans="1:1" x14ac:dyDescent="0.3">
      <c r="A58" s="316"/>
    </row>
  </sheetData>
  <mergeCells count="2">
    <mergeCell ref="D6:E6"/>
    <mergeCell ref="D7:E7"/>
  </mergeCells>
  <conditionalFormatting sqref="A8:C8 F8:AI8">
    <cfRule type="expression" dxfId="67" priority="2">
      <formula>IF(INDEX(VAD_aMeasAgARSample,COLUMN(A8),5)&gt;0,TRUE(),FALSE())</formula>
    </cfRule>
  </conditionalFormatting>
  <conditionalFormatting sqref="D8:E8">
    <cfRule type="expression" dxfId="66" priority="1">
      <formula>IF(INDEX(Vad_MeasSoilBiol,COLUMN(D8),5)&gt;0,TRUE(),FALSE())</formula>
    </cfRule>
  </conditionalFormatting>
  <dataValidations count="7">
    <dataValidation allowBlank="1" showErrorMessage="1" prompt="Enter unique experimental identifier from drop down list based on Exp UnitID column from ExperUnits sheet._x000a_" sqref="A1 A3:A7"/>
    <dataValidation allowBlank="1" showInputMessage="1" showErrorMessage="1" prompt="Enter the date the soil sampling occurred,in format specified above." sqref="B8"/>
    <dataValidation type="whole" allowBlank="1" showInputMessage="1" showErrorMessage="1" sqref="E1:E2 E4 D1:D4">
      <formula1>0</formula1>
      <formula2>1000</formula2>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K8"/>
  <sheetViews>
    <sheetView workbookViewId="0">
      <pane xSplit="7" ySplit="8" topLeftCell="H9" activePane="bottomRight" state="frozen"/>
      <selection pane="topRight" activeCell="H1" sqref="H1"/>
      <selection pane="bottomLeft" activeCell="A9" sqref="A9"/>
      <selection pane="bottomRight" activeCell="H9" sqref="H9"/>
    </sheetView>
  </sheetViews>
  <sheetFormatPr defaultRowHeight="14.4" x14ac:dyDescent="0.3"/>
  <cols>
    <col min="1" max="3" width="15.77734375" customWidth="1"/>
    <col min="9" max="9" width="12.5546875" customWidth="1"/>
  </cols>
  <sheetData>
    <row r="1" spans="1:11" ht="17.399999999999999" x14ac:dyDescent="0.3">
      <c r="A1" s="705" t="s">
        <v>2826</v>
      </c>
      <c r="B1" s="83"/>
      <c r="C1" s="708"/>
      <c r="D1" s="708"/>
      <c r="E1" s="708"/>
      <c r="F1" s="84"/>
      <c r="G1" s="84"/>
      <c r="H1" s="84"/>
      <c r="I1" s="84"/>
      <c r="J1" s="84"/>
      <c r="K1" s="1451"/>
    </row>
    <row r="2" spans="1:11" x14ac:dyDescent="0.3">
      <c r="A2" s="283"/>
      <c r="B2" s="67"/>
      <c r="C2" s="73"/>
      <c r="D2" s="73"/>
      <c r="E2" s="73"/>
      <c r="F2" s="63"/>
      <c r="G2" s="63"/>
      <c r="H2" s="73"/>
      <c r="I2" s="73"/>
      <c r="J2" s="73"/>
      <c r="K2" s="1331"/>
    </row>
    <row r="3" spans="1:11" x14ac:dyDescent="0.3">
      <c r="A3" s="283"/>
      <c r="B3" s="67"/>
      <c r="C3" s="73"/>
      <c r="D3" s="73"/>
      <c r="E3" s="73"/>
      <c r="F3" s="63"/>
      <c r="G3" s="63"/>
      <c r="H3" s="73"/>
      <c r="I3" s="73" t="s">
        <v>2827</v>
      </c>
      <c r="J3" s="73"/>
      <c r="K3" s="1331"/>
    </row>
    <row r="4" spans="1:11" x14ac:dyDescent="0.3">
      <c r="A4" s="283"/>
      <c r="B4" s="67"/>
      <c r="C4" s="73"/>
      <c r="D4" s="73"/>
      <c r="E4" s="73"/>
      <c r="F4" s="63"/>
      <c r="G4" s="63"/>
      <c r="H4" s="73"/>
      <c r="I4" s="73" t="s">
        <v>2828</v>
      </c>
      <c r="J4" s="73"/>
      <c r="K4" s="1331"/>
    </row>
    <row r="5" spans="1:11" ht="15.6" x14ac:dyDescent="0.3">
      <c r="A5" s="1122" t="s">
        <v>343</v>
      </c>
      <c r="B5" s="1123"/>
      <c r="C5" s="1124"/>
      <c r="D5" s="1129"/>
      <c r="E5" s="1129"/>
      <c r="F5" s="1449" t="s">
        <v>46</v>
      </c>
      <c r="G5" s="1449"/>
      <c r="H5" s="1130" t="s">
        <v>2829</v>
      </c>
      <c r="I5" s="1452"/>
      <c r="J5" s="1131"/>
      <c r="K5" s="1453"/>
    </row>
    <row r="6" spans="1:11" x14ac:dyDescent="0.3">
      <c r="A6" s="285"/>
      <c r="B6" s="256" t="s">
        <v>116</v>
      </c>
      <c r="C6" s="25"/>
      <c r="D6" s="25"/>
      <c r="E6" s="25"/>
      <c r="F6" s="1560" t="s">
        <v>71</v>
      </c>
      <c r="G6" s="1560"/>
      <c r="H6" s="73"/>
      <c r="I6" s="73" t="s">
        <v>3440</v>
      </c>
      <c r="J6" s="73" t="s">
        <v>3441</v>
      </c>
      <c r="K6" s="1331"/>
    </row>
    <row r="7" spans="1:11" x14ac:dyDescent="0.3">
      <c r="A7" s="286"/>
      <c r="B7" s="67"/>
      <c r="C7" s="26"/>
      <c r="D7" s="798" t="str">
        <f>HYPERLINK("#DropDownLists!AG6","Add to this list")</f>
        <v>Add to this list</v>
      </c>
      <c r="E7" s="26"/>
      <c r="F7" s="1560"/>
      <c r="G7" s="1560"/>
      <c r="H7" s="798" t="str">
        <f>HYPERLINK("#DropDownLists!AH6","Add to this list")</f>
        <v>Add to this list</v>
      </c>
      <c r="I7" s="1454"/>
      <c r="J7" s="1455"/>
      <c r="K7" s="798" t="str">
        <f>HYPERLINK("#DropDownLists!AI6","Add to this list")</f>
        <v>Add to this list</v>
      </c>
    </row>
    <row r="8" spans="1:11" ht="40.799999999999997" thickBot="1" x14ac:dyDescent="0.35">
      <c r="A8" s="1037" t="s">
        <v>3474</v>
      </c>
      <c r="B8" s="812" t="s">
        <v>35</v>
      </c>
      <c r="C8" s="625" t="s">
        <v>152</v>
      </c>
      <c r="D8" s="625" t="s">
        <v>2830</v>
      </c>
      <c r="E8" s="1456" t="s">
        <v>2831</v>
      </c>
      <c r="F8" s="6" t="s">
        <v>3507</v>
      </c>
      <c r="G8" s="6" t="s">
        <v>3508</v>
      </c>
      <c r="H8" s="625" t="s">
        <v>2832</v>
      </c>
      <c r="I8" s="647" t="s">
        <v>2833</v>
      </c>
      <c r="J8" s="625" t="s">
        <v>2773</v>
      </c>
      <c r="K8" s="1457" t="s">
        <v>200</v>
      </c>
    </row>
  </sheetData>
  <mergeCells count="2">
    <mergeCell ref="F6:G6"/>
    <mergeCell ref="F7:G7"/>
  </mergeCells>
  <conditionalFormatting sqref="F8:G8">
    <cfRule type="expression" dxfId="65" priority="1">
      <formula>IF(INDEX(Vad_MeasSoilBiol,COLUMN(F8),5)&gt;0,TRUE(),FALSE())</formula>
    </cfRule>
  </conditionalFormatting>
  <dataValidations count="9">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whole" allowBlank="1" showInputMessage="1" showErrorMessage="1" sqref="F1:G4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allowBlank="1" showInputMessage="1" showErrorMessage="1" prompt="Enter the upper soil depth of the sample, in units specified above." sqref="F8"/>
    <dataValidation allowBlank="1" showInputMessage="1" showErrorMessage="1" prompt="Enter the lower soil depth of the sample, in units specified above." sqref="G8"/>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T1784"/>
  <sheetViews>
    <sheetView workbookViewId="0">
      <pane xSplit="5" ySplit="8" topLeftCell="F9" activePane="bottomRight" state="frozen"/>
      <selection pane="topRight" activeCell="F1" sqref="F1"/>
      <selection pane="bottomLeft" activeCell="A9" sqref="A9"/>
      <selection pane="bottomRight" activeCell="G19" sqref="G19"/>
    </sheetView>
  </sheetViews>
  <sheetFormatPr defaultColWidth="9.109375" defaultRowHeight="13.2" x14ac:dyDescent="0.25"/>
  <cols>
    <col min="1" max="1" width="20" style="316" customWidth="1"/>
    <col min="2" max="2" width="17.44140625" style="313" customWidth="1"/>
    <col min="3" max="3" width="19.6640625" style="316" customWidth="1"/>
    <col min="4" max="6" width="10.6640625" style="314" customWidth="1"/>
    <col min="7" max="7" width="12.33203125" style="314" customWidth="1"/>
    <col min="8" max="8" width="11.33203125" style="314" customWidth="1"/>
    <col min="9" max="11" width="15.109375" style="314" customWidth="1"/>
    <col min="12" max="12" width="14.77734375" style="314" customWidth="1"/>
    <col min="13" max="13" width="14.6640625" style="314" customWidth="1"/>
    <col min="14" max="15" width="15.77734375" style="314" customWidth="1"/>
    <col min="16" max="16" width="13.33203125" style="314" customWidth="1"/>
    <col min="17" max="17" width="15.6640625" style="314" customWidth="1"/>
    <col min="18" max="19" width="17.77734375" style="314" customWidth="1"/>
    <col min="20" max="27" width="15.77734375" style="314" customWidth="1"/>
    <col min="28" max="29" width="18.77734375" style="314" customWidth="1"/>
    <col min="30" max="33" width="15.77734375" style="314" customWidth="1"/>
    <col min="34" max="16384" width="9.109375" style="314"/>
  </cols>
  <sheetData>
    <row r="1" spans="1:46" s="472" customFormat="1" ht="18" x14ac:dyDescent="0.35">
      <c r="A1" s="1024" t="s">
        <v>2376</v>
      </c>
      <c r="B1" s="1025"/>
      <c r="C1" s="1026"/>
      <c r="D1" s="1027"/>
      <c r="E1" s="1027"/>
      <c r="F1" s="184"/>
      <c r="G1" s="1027"/>
      <c r="H1" s="1027"/>
      <c r="I1" s="1027"/>
      <c r="J1" s="1027"/>
      <c r="K1" s="1027"/>
      <c r="L1" s="1027"/>
      <c r="M1" s="1027"/>
      <c r="N1" s="1027"/>
      <c r="O1" s="1027"/>
      <c r="P1" s="1027"/>
      <c r="Q1" s="1027"/>
      <c r="R1" s="1027"/>
      <c r="S1" s="1027"/>
      <c r="T1" s="1028"/>
      <c r="U1" s="1028"/>
      <c r="V1" s="1027"/>
      <c r="W1" s="1027"/>
      <c r="X1" s="1027"/>
      <c r="Y1" s="1027"/>
      <c r="Z1" s="1027"/>
      <c r="AA1" s="1027"/>
      <c r="AB1" s="1027"/>
      <c r="AC1" s="1027"/>
      <c r="AD1" s="1027"/>
      <c r="AE1" s="1027"/>
      <c r="AF1" s="1027"/>
      <c r="AG1" s="227"/>
      <c r="AH1" s="471"/>
      <c r="AI1" s="471"/>
      <c r="AJ1" s="471"/>
      <c r="AK1" s="471"/>
      <c r="AL1" s="471"/>
      <c r="AM1" s="471"/>
      <c r="AN1" s="471"/>
      <c r="AO1" s="471"/>
      <c r="AP1" s="471"/>
      <c r="AQ1" s="471"/>
      <c r="AR1" s="471"/>
      <c r="AS1" s="471"/>
      <c r="AT1" s="471"/>
    </row>
    <row r="2" spans="1:46" s="324" customFormat="1" ht="14.4" x14ac:dyDescent="0.3">
      <c r="A2" s="897" t="s">
        <v>617</v>
      </c>
      <c r="B2" s="265"/>
      <c r="C2" s="712"/>
      <c r="E2" s="109"/>
      <c r="F2" s="1029"/>
      <c r="G2" s="1030"/>
      <c r="H2" s="1029"/>
      <c r="I2" s="1029"/>
      <c r="J2" s="1029"/>
      <c r="K2" s="1029"/>
      <c r="L2" s="1029"/>
      <c r="M2" s="1029"/>
      <c r="N2" s="1029"/>
      <c r="O2" s="1031"/>
      <c r="P2" s="1031"/>
      <c r="Q2" s="1031"/>
      <c r="R2" s="1031"/>
      <c r="S2" s="1032"/>
      <c r="T2" s="891" t="s">
        <v>538</v>
      </c>
      <c r="U2" s="891" t="s">
        <v>538</v>
      </c>
      <c r="V2" s="891" t="s">
        <v>538</v>
      </c>
      <c r="W2" s="891" t="s">
        <v>538</v>
      </c>
      <c r="X2" s="891" t="s">
        <v>538</v>
      </c>
      <c r="Y2" s="891" t="s">
        <v>538</v>
      </c>
      <c r="Z2" s="891" t="s">
        <v>538</v>
      </c>
      <c r="AA2" s="891" t="s">
        <v>538</v>
      </c>
      <c r="AB2" s="891" t="s">
        <v>538</v>
      </c>
      <c r="AC2" s="891" t="s">
        <v>538</v>
      </c>
      <c r="AD2" s="891" t="s">
        <v>538</v>
      </c>
      <c r="AE2" s="891" t="s">
        <v>538</v>
      </c>
      <c r="AF2" s="891" t="s">
        <v>538</v>
      </c>
      <c r="AG2" s="891" t="s">
        <v>538</v>
      </c>
      <c r="AH2" s="392"/>
      <c r="AI2" s="392"/>
      <c r="AJ2" s="392"/>
      <c r="AK2" s="392"/>
      <c r="AL2" s="392"/>
      <c r="AM2" s="392"/>
      <c r="AN2" s="392"/>
      <c r="AO2" s="392"/>
      <c r="AP2" s="392"/>
      <c r="AQ2" s="392"/>
      <c r="AR2" s="392"/>
      <c r="AS2" s="392"/>
      <c r="AT2" s="392"/>
    </row>
    <row r="3" spans="1:46" s="324" customFormat="1" ht="14.4" x14ac:dyDescent="0.3">
      <c r="A3" s="712"/>
      <c r="B3" s="266"/>
      <c r="C3" s="712"/>
      <c r="D3" s="109"/>
      <c r="E3" s="109"/>
      <c r="F3" s="111"/>
      <c r="G3" s="111"/>
      <c r="H3" s="111"/>
      <c r="I3" s="111"/>
      <c r="J3" s="111"/>
      <c r="K3" s="111"/>
      <c r="L3" s="111"/>
      <c r="M3" s="111"/>
      <c r="N3" s="111"/>
      <c r="O3" s="453"/>
      <c r="P3" s="453"/>
      <c r="Q3" s="453"/>
      <c r="R3" s="453"/>
      <c r="S3" s="1033"/>
      <c r="T3" s="109"/>
      <c r="U3" s="109"/>
      <c r="V3" s="109"/>
      <c r="W3" s="109"/>
      <c r="X3" s="109"/>
      <c r="Y3" s="109"/>
      <c r="Z3" s="109"/>
      <c r="AA3" s="109"/>
      <c r="AB3" s="109"/>
      <c r="AC3" s="80"/>
      <c r="AD3" s="80"/>
      <c r="AE3" s="80"/>
      <c r="AF3" s="80"/>
      <c r="AG3" s="233"/>
      <c r="AH3" s="392"/>
      <c r="AI3" s="392"/>
      <c r="AJ3" s="392"/>
      <c r="AK3" s="392"/>
      <c r="AL3" s="392"/>
      <c r="AM3" s="392"/>
      <c r="AN3" s="392"/>
      <c r="AO3" s="392"/>
      <c r="AP3" s="392"/>
      <c r="AQ3" s="392"/>
      <c r="AR3" s="392"/>
      <c r="AS3" s="392"/>
      <c r="AT3" s="392"/>
    </row>
    <row r="4" spans="1:46" s="459" customFormat="1" ht="15.6" x14ac:dyDescent="0.3">
      <c r="A4" s="712"/>
      <c r="B4" s="267"/>
      <c r="C4" s="712"/>
      <c r="D4" s="111"/>
      <c r="E4" s="111"/>
      <c r="F4" s="1564" t="s">
        <v>1548</v>
      </c>
      <c r="G4" s="1564"/>
      <c r="H4" s="1564"/>
      <c r="I4" s="1564"/>
      <c r="J4" s="1564"/>
      <c r="K4" s="1564"/>
      <c r="L4" s="1564"/>
      <c r="M4" s="1564"/>
      <c r="N4" s="1564"/>
      <c r="O4" s="1564"/>
      <c r="P4" s="1564"/>
      <c r="Q4" s="1564"/>
      <c r="R4" s="1564"/>
      <c r="S4" s="1565"/>
      <c r="T4" s="111"/>
      <c r="U4" s="111"/>
      <c r="V4" s="111"/>
      <c r="W4" s="112"/>
      <c r="X4" s="112"/>
      <c r="Y4" s="112"/>
      <c r="Z4" s="112"/>
      <c r="AA4" s="112"/>
      <c r="AB4" s="112"/>
      <c r="AC4" s="112"/>
      <c r="AD4" s="112"/>
      <c r="AE4" s="112"/>
      <c r="AF4" s="112"/>
      <c r="AG4" s="237"/>
      <c r="AH4" s="473"/>
      <c r="AI4" s="473"/>
      <c r="AJ4" s="473"/>
      <c r="AK4" s="473"/>
      <c r="AL4" s="473"/>
      <c r="AM4" s="473"/>
      <c r="AN4" s="473"/>
      <c r="AO4" s="473"/>
      <c r="AP4" s="473"/>
      <c r="AQ4" s="473"/>
      <c r="AR4" s="473"/>
      <c r="AS4" s="473"/>
      <c r="AT4" s="473"/>
    </row>
    <row r="5" spans="1:46" s="324" customFormat="1" ht="15" customHeight="1" x14ac:dyDescent="0.3">
      <c r="A5" s="1530" t="s">
        <v>343</v>
      </c>
      <c r="B5" s="1531"/>
      <c r="C5" s="1532"/>
      <c r="D5" s="219"/>
      <c r="E5" s="220"/>
      <c r="F5" s="235"/>
      <c r="G5" s="220"/>
      <c r="H5" s="220"/>
      <c r="I5" s="241"/>
      <c r="J5" s="241"/>
      <c r="K5" s="241"/>
      <c r="L5" s="241"/>
      <c r="M5" s="241"/>
      <c r="N5" s="241"/>
      <c r="O5" s="241"/>
      <c r="P5" s="241"/>
      <c r="Q5" s="241"/>
      <c r="R5" s="241"/>
      <c r="S5" s="1034"/>
      <c r="T5" s="246"/>
      <c r="U5" s="1533"/>
      <c r="V5" s="1533"/>
      <c r="W5" s="241"/>
      <c r="X5" s="241"/>
      <c r="Y5" s="241"/>
      <c r="Z5" s="241"/>
      <c r="AA5" s="241"/>
      <c r="AB5" s="241"/>
      <c r="AC5" s="241"/>
      <c r="AD5" s="241"/>
      <c r="AE5" s="241"/>
      <c r="AF5" s="241"/>
      <c r="AG5" s="242"/>
      <c r="AH5" s="392"/>
      <c r="AI5" s="392"/>
      <c r="AJ5" s="392"/>
      <c r="AK5" s="392"/>
      <c r="AL5" s="392"/>
      <c r="AM5" s="392"/>
      <c r="AN5" s="392"/>
      <c r="AO5" s="392"/>
      <c r="AP5" s="392"/>
      <c r="AQ5" s="392"/>
      <c r="AR5" s="392"/>
      <c r="AS5" s="392"/>
      <c r="AT5" s="392"/>
    </row>
    <row r="6" spans="1:46" s="330" customFormat="1" x14ac:dyDescent="0.25">
      <c r="A6" s="641"/>
      <c r="B6" s="256" t="s">
        <v>116</v>
      </c>
      <c r="C6" s="641"/>
      <c r="D6" s="1534" t="s">
        <v>46</v>
      </c>
      <c r="E6" s="1534"/>
      <c r="F6" s="1023" t="s">
        <v>2377</v>
      </c>
      <c r="G6" s="1023" t="s">
        <v>1031</v>
      </c>
      <c r="H6" s="1023" t="s">
        <v>1032</v>
      </c>
      <c r="I6" s="1469" t="s">
        <v>2378</v>
      </c>
      <c r="J6" s="1471"/>
      <c r="K6" s="1470"/>
      <c r="L6" s="1469" t="s">
        <v>2379</v>
      </c>
      <c r="M6" s="1470"/>
      <c r="N6" s="1469" t="s">
        <v>2379</v>
      </c>
      <c r="O6" s="1470"/>
      <c r="P6" s="1023" t="s">
        <v>2379</v>
      </c>
      <c r="Q6" s="1023" t="s">
        <v>2379</v>
      </c>
      <c r="R6" s="1467" t="s">
        <v>2379</v>
      </c>
      <c r="S6" s="1468"/>
      <c r="T6" s="1023" t="s">
        <v>2379</v>
      </c>
      <c r="U6" s="1023" t="s">
        <v>1031</v>
      </c>
      <c r="V6" s="1023" t="s">
        <v>1032</v>
      </c>
      <c r="W6" s="1561" t="s">
        <v>2378</v>
      </c>
      <c r="X6" s="1534"/>
      <c r="Y6" s="1562"/>
      <c r="Z6" s="1561" t="s">
        <v>2379</v>
      </c>
      <c r="AA6" s="1562"/>
      <c r="AB6" s="1561" t="s">
        <v>2379</v>
      </c>
      <c r="AC6" s="1562"/>
      <c r="AD6" s="1023" t="s">
        <v>2379</v>
      </c>
      <c r="AE6" s="1023" t="s">
        <v>2379</v>
      </c>
      <c r="AF6" s="1561" t="s">
        <v>2379</v>
      </c>
      <c r="AG6" s="1562"/>
    </row>
    <row r="7" spans="1:46" s="324" customFormat="1" ht="14.25" customHeight="1" x14ac:dyDescent="0.3">
      <c r="A7" s="713"/>
      <c r="B7" s="67"/>
      <c r="C7" s="713"/>
      <c r="D7" s="1472" t="s">
        <v>71</v>
      </c>
      <c r="E7" s="1472"/>
      <c r="F7" s="1458"/>
      <c r="G7" s="1036"/>
      <c r="H7" s="1460"/>
      <c r="I7" s="1459"/>
      <c r="J7" s="1036"/>
      <c r="K7" s="1460"/>
      <c r="L7" s="1459"/>
      <c r="M7" s="1460"/>
      <c r="N7" s="1459"/>
      <c r="O7" s="1460"/>
      <c r="P7" s="1036"/>
      <c r="Q7" s="1036"/>
      <c r="R7" s="1459"/>
      <c r="S7" s="1460"/>
      <c r="T7" s="1458"/>
      <c r="U7" s="1539"/>
      <c r="V7" s="1563"/>
      <c r="W7" s="1538"/>
      <c r="X7" s="1539"/>
      <c r="Y7" s="1563"/>
      <c r="Z7" s="1459"/>
      <c r="AA7" s="1460"/>
      <c r="AB7" s="1459"/>
      <c r="AC7" s="1460"/>
      <c r="AD7" s="1036"/>
      <c r="AE7" s="1036"/>
      <c r="AF7" s="1459"/>
      <c r="AG7" s="1460"/>
    </row>
    <row r="8" spans="1:46" s="324" customFormat="1" ht="39" customHeight="1" thickBot="1" x14ac:dyDescent="0.35">
      <c r="A8" s="1037" t="s">
        <v>3474</v>
      </c>
      <c r="B8" s="812" t="s">
        <v>35</v>
      </c>
      <c r="C8" s="625" t="s">
        <v>152</v>
      </c>
      <c r="D8" s="6" t="s">
        <v>3507</v>
      </c>
      <c r="E8" s="6" t="s">
        <v>3508</v>
      </c>
      <c r="F8" s="974" t="s">
        <v>3599</v>
      </c>
      <c r="G8" s="974" t="s">
        <v>3600</v>
      </c>
      <c r="H8" s="974" t="s">
        <v>3601</v>
      </c>
      <c r="I8" s="1040" t="s">
        <v>3602</v>
      </c>
      <c r="J8" s="974" t="s">
        <v>3603</v>
      </c>
      <c r="K8" s="1039" t="s">
        <v>3604</v>
      </c>
      <c r="L8" s="1040" t="s">
        <v>3605</v>
      </c>
      <c r="M8" s="1039" t="s">
        <v>3606</v>
      </c>
      <c r="N8" s="1040" t="s">
        <v>3607</v>
      </c>
      <c r="O8" s="1039" t="s">
        <v>3608</v>
      </c>
      <c r="P8" s="974" t="s">
        <v>3609</v>
      </c>
      <c r="Q8" s="974" t="s">
        <v>3610</v>
      </c>
      <c r="R8" s="1040" t="s">
        <v>3611</v>
      </c>
      <c r="S8" s="211" t="s">
        <v>3612</v>
      </c>
      <c r="T8" s="974" t="s">
        <v>3613</v>
      </c>
      <c r="U8" s="974" t="s">
        <v>3614</v>
      </c>
      <c r="V8" s="974" t="s">
        <v>3615</v>
      </c>
      <c r="W8" s="1040" t="s">
        <v>3616</v>
      </c>
      <c r="X8" s="974" t="s">
        <v>3617</v>
      </c>
      <c r="Y8" s="1039" t="s">
        <v>3618</v>
      </c>
      <c r="Z8" s="1040" t="s">
        <v>3619</v>
      </c>
      <c r="AA8" s="1039" t="s">
        <v>3620</v>
      </c>
      <c r="AB8" s="1040" t="s">
        <v>3621</v>
      </c>
      <c r="AC8" s="1039" t="s">
        <v>3622</v>
      </c>
      <c r="AD8" s="974" t="s">
        <v>3623</v>
      </c>
      <c r="AE8" s="974" t="s">
        <v>3624</v>
      </c>
      <c r="AF8" s="1040" t="s">
        <v>3625</v>
      </c>
      <c r="AG8" s="211" t="s">
        <v>3626</v>
      </c>
    </row>
    <row r="9" spans="1:46" x14ac:dyDescent="0.25">
      <c r="A9" s="316" t="s">
        <v>2380</v>
      </c>
      <c r="B9" s="313">
        <v>38644</v>
      </c>
      <c r="C9" s="316" t="s">
        <v>2381</v>
      </c>
      <c r="D9" s="314">
        <v>0</v>
      </c>
      <c r="E9" s="314">
        <v>5</v>
      </c>
    </row>
    <row r="10" spans="1:46" x14ac:dyDescent="0.25">
      <c r="A10" s="316" t="s">
        <v>2380</v>
      </c>
      <c r="B10" s="313">
        <v>38644</v>
      </c>
      <c r="C10" s="316" t="s">
        <v>2381</v>
      </c>
      <c r="D10" s="314">
        <v>5</v>
      </c>
      <c r="E10" s="314">
        <v>10</v>
      </c>
    </row>
    <row r="11" spans="1:46" x14ac:dyDescent="0.25">
      <c r="A11" s="316" t="s">
        <v>2380</v>
      </c>
      <c r="B11" s="313">
        <v>38644</v>
      </c>
      <c r="C11" s="316" t="s">
        <v>2381</v>
      </c>
      <c r="D11" s="314">
        <v>10</v>
      </c>
      <c r="E11" s="314">
        <v>20</v>
      </c>
    </row>
    <row r="12" spans="1:46" x14ac:dyDescent="0.25">
      <c r="A12" s="316" t="s">
        <v>2380</v>
      </c>
      <c r="B12" s="313">
        <v>38644</v>
      </c>
      <c r="C12" s="316" t="s">
        <v>2381</v>
      </c>
      <c r="D12" s="314">
        <v>20</v>
      </c>
      <c r="E12" s="314">
        <v>30</v>
      </c>
    </row>
    <row r="13" spans="1:46" x14ac:dyDescent="0.25">
      <c r="A13" s="316" t="s">
        <v>2380</v>
      </c>
      <c r="B13" s="313">
        <v>38644</v>
      </c>
      <c r="C13" s="316" t="s">
        <v>2381</v>
      </c>
      <c r="D13" s="314">
        <v>30</v>
      </c>
      <c r="E13" s="314">
        <v>60</v>
      </c>
    </row>
    <row r="14" spans="1:46" x14ac:dyDescent="0.25">
      <c r="A14" s="316" t="s">
        <v>2380</v>
      </c>
      <c r="B14" s="313">
        <v>38644</v>
      </c>
      <c r="C14" s="316" t="s">
        <v>2381</v>
      </c>
      <c r="D14" s="314">
        <v>60</v>
      </c>
      <c r="E14" s="314">
        <v>100</v>
      </c>
    </row>
    <row r="15" spans="1:46" x14ac:dyDescent="0.25">
      <c r="A15" s="316" t="s">
        <v>2382</v>
      </c>
      <c r="B15" s="313">
        <v>38644</v>
      </c>
      <c r="C15" s="316" t="s">
        <v>2383</v>
      </c>
      <c r="D15" s="314">
        <v>0</v>
      </c>
      <c r="E15" s="314">
        <v>5</v>
      </c>
    </row>
    <row r="16" spans="1:46" x14ac:dyDescent="0.25">
      <c r="A16" s="316" t="s">
        <v>2382</v>
      </c>
      <c r="B16" s="313">
        <v>38644</v>
      </c>
      <c r="C16" s="316" t="s">
        <v>2383</v>
      </c>
      <c r="D16" s="314">
        <v>5</v>
      </c>
      <c r="E16" s="314">
        <v>10</v>
      </c>
    </row>
    <row r="17" spans="1:5" x14ac:dyDescent="0.25">
      <c r="A17" s="316" t="s">
        <v>2382</v>
      </c>
      <c r="B17" s="313">
        <v>38644</v>
      </c>
      <c r="C17" s="316" t="s">
        <v>2383</v>
      </c>
      <c r="D17" s="314">
        <v>10</v>
      </c>
      <c r="E17" s="314">
        <v>20</v>
      </c>
    </row>
    <row r="18" spans="1:5" x14ac:dyDescent="0.25">
      <c r="A18" s="316" t="s">
        <v>2382</v>
      </c>
      <c r="B18" s="313">
        <v>38644</v>
      </c>
      <c r="C18" s="316" t="s">
        <v>2383</v>
      </c>
      <c r="D18" s="314">
        <v>20</v>
      </c>
      <c r="E18" s="314">
        <v>30</v>
      </c>
    </row>
    <row r="19" spans="1:5" x14ac:dyDescent="0.25">
      <c r="A19" s="316" t="s">
        <v>2382</v>
      </c>
      <c r="B19" s="313">
        <v>38644</v>
      </c>
      <c r="C19" s="316" t="s">
        <v>2383</v>
      </c>
      <c r="D19" s="314">
        <v>30</v>
      </c>
      <c r="E19" s="314">
        <v>60</v>
      </c>
    </row>
    <row r="20" spans="1:5" x14ac:dyDescent="0.25">
      <c r="A20" s="316" t="s">
        <v>2382</v>
      </c>
      <c r="B20" s="313">
        <v>38644</v>
      </c>
      <c r="C20" s="316" t="s">
        <v>2383</v>
      </c>
      <c r="D20" s="314">
        <v>60</v>
      </c>
      <c r="E20" s="314">
        <v>100</v>
      </c>
    </row>
    <row r="21" spans="1:5" x14ac:dyDescent="0.25">
      <c r="A21" s="316" t="s">
        <v>2384</v>
      </c>
      <c r="B21" s="313">
        <v>38644</v>
      </c>
      <c r="C21" s="316" t="s">
        <v>2385</v>
      </c>
      <c r="D21" s="314">
        <v>0</v>
      </c>
      <c r="E21" s="314">
        <v>5</v>
      </c>
    </row>
    <row r="22" spans="1:5" x14ac:dyDescent="0.25">
      <c r="A22" s="316" t="s">
        <v>2384</v>
      </c>
      <c r="B22" s="313">
        <v>38644</v>
      </c>
      <c r="C22" s="316" t="s">
        <v>2385</v>
      </c>
      <c r="D22" s="314">
        <v>5</v>
      </c>
      <c r="E22" s="314">
        <v>10</v>
      </c>
    </row>
    <row r="23" spans="1:5" x14ac:dyDescent="0.25">
      <c r="A23" s="316" t="s">
        <v>2384</v>
      </c>
      <c r="B23" s="313">
        <v>38644</v>
      </c>
      <c r="C23" s="316" t="s">
        <v>2385</v>
      </c>
      <c r="D23" s="314">
        <v>10</v>
      </c>
      <c r="E23" s="314">
        <v>20</v>
      </c>
    </row>
    <row r="24" spans="1:5" x14ac:dyDescent="0.25">
      <c r="A24" s="316" t="s">
        <v>2384</v>
      </c>
      <c r="B24" s="313">
        <v>38644</v>
      </c>
      <c r="C24" s="316" t="s">
        <v>2385</v>
      </c>
      <c r="D24" s="314">
        <v>20</v>
      </c>
      <c r="E24" s="314">
        <v>30</v>
      </c>
    </row>
    <row r="25" spans="1:5" x14ac:dyDescent="0.25">
      <c r="A25" s="316" t="s">
        <v>2384</v>
      </c>
      <c r="B25" s="313">
        <v>38644</v>
      </c>
      <c r="C25" s="316" t="s">
        <v>2385</v>
      </c>
      <c r="D25" s="314">
        <v>30</v>
      </c>
      <c r="E25" s="314">
        <v>60</v>
      </c>
    </row>
    <row r="26" spans="1:5" x14ac:dyDescent="0.25">
      <c r="A26" s="316" t="s">
        <v>2384</v>
      </c>
      <c r="B26" s="313">
        <v>38644</v>
      </c>
      <c r="C26" s="316" t="s">
        <v>2385</v>
      </c>
      <c r="D26" s="314">
        <v>60</v>
      </c>
      <c r="E26" s="314">
        <v>100</v>
      </c>
    </row>
    <row r="27" spans="1:5" x14ac:dyDescent="0.25">
      <c r="A27" s="316" t="s">
        <v>2386</v>
      </c>
      <c r="B27" s="313">
        <v>38644</v>
      </c>
      <c r="C27" s="316" t="s">
        <v>2387</v>
      </c>
      <c r="D27" s="314">
        <v>0</v>
      </c>
      <c r="E27" s="314">
        <v>5</v>
      </c>
    </row>
    <row r="28" spans="1:5" x14ac:dyDescent="0.25">
      <c r="A28" s="316" t="s">
        <v>2386</v>
      </c>
      <c r="B28" s="313">
        <v>38644</v>
      </c>
      <c r="C28" s="316" t="s">
        <v>2387</v>
      </c>
      <c r="D28" s="314">
        <v>5</v>
      </c>
      <c r="E28" s="314">
        <v>10</v>
      </c>
    </row>
    <row r="29" spans="1:5" x14ac:dyDescent="0.25">
      <c r="A29" s="316" t="s">
        <v>2386</v>
      </c>
      <c r="B29" s="313">
        <v>38644</v>
      </c>
      <c r="C29" s="316" t="s">
        <v>2387</v>
      </c>
      <c r="D29" s="314">
        <v>10</v>
      </c>
      <c r="E29" s="314">
        <v>20</v>
      </c>
    </row>
    <row r="30" spans="1:5" x14ac:dyDescent="0.25">
      <c r="A30" s="316" t="s">
        <v>2386</v>
      </c>
      <c r="B30" s="313">
        <v>38644</v>
      </c>
      <c r="C30" s="316" t="s">
        <v>2387</v>
      </c>
      <c r="D30" s="314">
        <v>20</v>
      </c>
      <c r="E30" s="314">
        <v>30</v>
      </c>
    </row>
    <row r="31" spans="1:5" x14ac:dyDescent="0.25">
      <c r="A31" s="316" t="s">
        <v>2386</v>
      </c>
      <c r="B31" s="313">
        <v>38644</v>
      </c>
      <c r="C31" s="316" t="s">
        <v>2387</v>
      </c>
      <c r="D31" s="314">
        <v>30</v>
      </c>
      <c r="E31" s="314">
        <v>60</v>
      </c>
    </row>
    <row r="32" spans="1:5" x14ac:dyDescent="0.25">
      <c r="A32" s="316" t="s">
        <v>2386</v>
      </c>
      <c r="B32" s="313">
        <v>38644</v>
      </c>
      <c r="C32" s="316" t="s">
        <v>2387</v>
      </c>
      <c r="D32" s="314">
        <v>60</v>
      </c>
      <c r="E32" s="314">
        <v>100</v>
      </c>
    </row>
    <row r="33" spans="1:5" x14ac:dyDescent="0.25">
      <c r="A33" s="316" t="s">
        <v>2388</v>
      </c>
      <c r="B33" s="313">
        <v>38644</v>
      </c>
      <c r="C33" s="316" t="s">
        <v>2389</v>
      </c>
      <c r="D33" s="314">
        <v>0</v>
      </c>
      <c r="E33" s="314">
        <v>5</v>
      </c>
    </row>
    <row r="34" spans="1:5" x14ac:dyDescent="0.25">
      <c r="A34" s="316" t="s">
        <v>2388</v>
      </c>
      <c r="B34" s="313">
        <v>38644</v>
      </c>
      <c r="C34" s="316" t="s">
        <v>2389</v>
      </c>
      <c r="D34" s="314">
        <v>5</v>
      </c>
      <c r="E34" s="314">
        <v>10</v>
      </c>
    </row>
    <row r="35" spans="1:5" x14ac:dyDescent="0.25">
      <c r="A35" s="316" t="s">
        <v>2388</v>
      </c>
      <c r="B35" s="313">
        <v>38644</v>
      </c>
      <c r="C35" s="316" t="s">
        <v>2389</v>
      </c>
      <c r="D35" s="314">
        <v>10</v>
      </c>
      <c r="E35" s="314">
        <v>20</v>
      </c>
    </row>
    <row r="36" spans="1:5" x14ac:dyDescent="0.25">
      <c r="A36" s="316" t="s">
        <v>2388</v>
      </c>
      <c r="B36" s="313">
        <v>38644</v>
      </c>
      <c r="C36" s="316" t="s">
        <v>2389</v>
      </c>
      <c r="D36" s="314">
        <v>20</v>
      </c>
      <c r="E36" s="314">
        <v>30</v>
      </c>
    </row>
    <row r="37" spans="1:5" x14ac:dyDescent="0.25">
      <c r="A37" s="316" t="s">
        <v>2388</v>
      </c>
      <c r="B37" s="313">
        <v>38644</v>
      </c>
      <c r="C37" s="316" t="s">
        <v>2389</v>
      </c>
      <c r="D37" s="314">
        <v>30</v>
      </c>
      <c r="E37" s="314">
        <v>60</v>
      </c>
    </row>
    <row r="38" spans="1:5" x14ac:dyDescent="0.25">
      <c r="A38" s="316" t="s">
        <v>2388</v>
      </c>
      <c r="B38" s="313">
        <v>38644</v>
      </c>
      <c r="C38" s="316" t="s">
        <v>2389</v>
      </c>
      <c r="D38" s="314">
        <v>60</v>
      </c>
      <c r="E38" s="314">
        <v>100</v>
      </c>
    </row>
    <row r="39" spans="1:5" x14ac:dyDescent="0.25">
      <c r="A39" s="316" t="s">
        <v>2390</v>
      </c>
      <c r="B39" s="313">
        <v>38644</v>
      </c>
      <c r="C39" s="316" t="s">
        <v>2391</v>
      </c>
      <c r="D39" s="314">
        <v>0</v>
      </c>
      <c r="E39" s="314">
        <v>5</v>
      </c>
    </row>
    <row r="40" spans="1:5" x14ac:dyDescent="0.25">
      <c r="A40" s="316" t="s">
        <v>2390</v>
      </c>
      <c r="B40" s="313">
        <v>38644</v>
      </c>
      <c r="C40" s="316" t="s">
        <v>2391</v>
      </c>
      <c r="D40" s="314">
        <v>5</v>
      </c>
      <c r="E40" s="314">
        <v>10</v>
      </c>
    </row>
    <row r="41" spans="1:5" x14ac:dyDescent="0.25">
      <c r="A41" s="316" t="s">
        <v>2390</v>
      </c>
      <c r="B41" s="313">
        <v>38644</v>
      </c>
      <c r="C41" s="316" t="s">
        <v>2391</v>
      </c>
      <c r="D41" s="314">
        <v>10</v>
      </c>
      <c r="E41" s="314">
        <v>20</v>
      </c>
    </row>
    <row r="42" spans="1:5" x14ac:dyDescent="0.25">
      <c r="A42" s="316" t="s">
        <v>2390</v>
      </c>
      <c r="B42" s="313">
        <v>38644</v>
      </c>
      <c r="C42" s="316" t="s">
        <v>2391</v>
      </c>
      <c r="D42" s="314">
        <v>20</v>
      </c>
      <c r="E42" s="314">
        <v>30</v>
      </c>
    </row>
    <row r="43" spans="1:5" x14ac:dyDescent="0.25">
      <c r="A43" s="316" t="s">
        <v>2390</v>
      </c>
      <c r="B43" s="313">
        <v>38644</v>
      </c>
      <c r="C43" s="316" t="s">
        <v>2391</v>
      </c>
      <c r="D43" s="314">
        <v>30</v>
      </c>
      <c r="E43" s="314">
        <v>60</v>
      </c>
    </row>
    <row r="44" spans="1:5" x14ac:dyDescent="0.25">
      <c r="A44" s="316" t="s">
        <v>2390</v>
      </c>
      <c r="B44" s="313">
        <v>38644</v>
      </c>
      <c r="C44" s="316" t="s">
        <v>2391</v>
      </c>
      <c r="D44" s="314">
        <v>60</v>
      </c>
      <c r="E44" s="314">
        <v>100</v>
      </c>
    </row>
    <row r="45" spans="1:5" x14ac:dyDescent="0.25">
      <c r="A45" s="316" t="s">
        <v>2392</v>
      </c>
      <c r="B45" s="313">
        <v>38644</v>
      </c>
      <c r="C45" s="316" t="s">
        <v>2393</v>
      </c>
      <c r="D45" s="314">
        <v>0</v>
      </c>
      <c r="E45" s="314">
        <v>5</v>
      </c>
    </row>
    <row r="46" spans="1:5" x14ac:dyDescent="0.25">
      <c r="A46" s="316" t="s">
        <v>2392</v>
      </c>
      <c r="B46" s="313">
        <v>38644</v>
      </c>
      <c r="C46" s="316" t="s">
        <v>2393</v>
      </c>
      <c r="D46" s="314">
        <v>5</v>
      </c>
      <c r="E46" s="314">
        <v>10</v>
      </c>
    </row>
    <row r="47" spans="1:5" x14ac:dyDescent="0.25">
      <c r="A47" s="316" t="s">
        <v>2392</v>
      </c>
      <c r="B47" s="313">
        <v>38644</v>
      </c>
      <c r="C47" s="316" t="s">
        <v>2393</v>
      </c>
      <c r="D47" s="314">
        <v>10</v>
      </c>
      <c r="E47" s="314">
        <v>20</v>
      </c>
    </row>
    <row r="48" spans="1:5" x14ac:dyDescent="0.25">
      <c r="A48" s="316" t="s">
        <v>2392</v>
      </c>
      <c r="B48" s="313">
        <v>38644</v>
      </c>
      <c r="C48" s="316" t="s">
        <v>2393</v>
      </c>
      <c r="D48" s="314">
        <v>20</v>
      </c>
      <c r="E48" s="314">
        <v>30</v>
      </c>
    </row>
    <row r="49" spans="1:5" x14ac:dyDescent="0.25">
      <c r="A49" s="316" t="s">
        <v>2392</v>
      </c>
      <c r="B49" s="313">
        <v>38644</v>
      </c>
      <c r="C49" s="316" t="s">
        <v>2393</v>
      </c>
      <c r="D49" s="314">
        <v>30</v>
      </c>
      <c r="E49" s="314">
        <v>60</v>
      </c>
    </row>
    <row r="50" spans="1:5" x14ac:dyDescent="0.25">
      <c r="A50" s="316" t="s">
        <v>2392</v>
      </c>
      <c r="B50" s="313">
        <v>38644</v>
      </c>
      <c r="C50" s="316" t="s">
        <v>2393</v>
      </c>
      <c r="D50" s="314">
        <v>60</v>
      </c>
      <c r="E50" s="314">
        <v>100</v>
      </c>
    </row>
    <row r="51" spans="1:5" x14ac:dyDescent="0.25">
      <c r="A51" s="316" t="s">
        <v>2394</v>
      </c>
      <c r="B51" s="313">
        <v>38644</v>
      </c>
      <c r="C51" s="316" t="s">
        <v>2395</v>
      </c>
      <c r="D51" s="314">
        <v>0</v>
      </c>
      <c r="E51" s="314">
        <v>5</v>
      </c>
    </row>
    <row r="52" spans="1:5" x14ac:dyDescent="0.25">
      <c r="A52" s="316" t="s">
        <v>2394</v>
      </c>
      <c r="B52" s="313">
        <v>38644</v>
      </c>
      <c r="C52" s="316" t="s">
        <v>2395</v>
      </c>
      <c r="D52" s="314">
        <v>5</v>
      </c>
      <c r="E52" s="314">
        <v>10</v>
      </c>
    </row>
    <row r="53" spans="1:5" x14ac:dyDescent="0.25">
      <c r="A53" s="316" t="s">
        <v>2394</v>
      </c>
      <c r="B53" s="313">
        <v>38644</v>
      </c>
      <c r="C53" s="316" t="s">
        <v>2395</v>
      </c>
      <c r="D53" s="314">
        <v>10</v>
      </c>
      <c r="E53" s="314">
        <v>20</v>
      </c>
    </row>
    <row r="54" spans="1:5" x14ac:dyDescent="0.25">
      <c r="A54" s="316" t="s">
        <v>2394</v>
      </c>
      <c r="B54" s="313">
        <v>38644</v>
      </c>
      <c r="C54" s="316" t="s">
        <v>2395</v>
      </c>
      <c r="D54" s="314">
        <v>20</v>
      </c>
      <c r="E54" s="314">
        <v>30</v>
      </c>
    </row>
    <row r="55" spans="1:5" x14ac:dyDescent="0.25">
      <c r="A55" s="316" t="s">
        <v>2394</v>
      </c>
      <c r="B55" s="313">
        <v>38644</v>
      </c>
      <c r="C55" s="316" t="s">
        <v>2395</v>
      </c>
      <c r="D55" s="314">
        <v>30</v>
      </c>
      <c r="E55" s="314">
        <v>60</v>
      </c>
    </row>
    <row r="56" spans="1:5" x14ac:dyDescent="0.25">
      <c r="A56" s="316" t="s">
        <v>2394</v>
      </c>
      <c r="B56" s="313">
        <v>38644</v>
      </c>
      <c r="C56" s="316" t="s">
        <v>2395</v>
      </c>
      <c r="D56" s="314">
        <v>60</v>
      </c>
      <c r="E56" s="314">
        <v>100</v>
      </c>
    </row>
    <row r="57" spans="1:5" x14ac:dyDescent="0.25">
      <c r="A57" s="316" t="s">
        <v>2396</v>
      </c>
      <c r="B57" s="313">
        <v>38644</v>
      </c>
      <c r="C57" s="316" t="s">
        <v>2397</v>
      </c>
      <c r="D57" s="314">
        <v>0</v>
      </c>
      <c r="E57" s="314">
        <v>5</v>
      </c>
    </row>
    <row r="58" spans="1:5" x14ac:dyDescent="0.25">
      <c r="A58" s="316" t="s">
        <v>2396</v>
      </c>
      <c r="B58" s="313">
        <v>38644</v>
      </c>
      <c r="C58" s="316" t="s">
        <v>2397</v>
      </c>
      <c r="D58" s="314">
        <v>5</v>
      </c>
      <c r="E58" s="314">
        <v>10</v>
      </c>
    </row>
    <row r="59" spans="1:5" x14ac:dyDescent="0.25">
      <c r="A59" s="316" t="s">
        <v>2396</v>
      </c>
      <c r="B59" s="313">
        <v>38644</v>
      </c>
      <c r="C59" s="316" t="s">
        <v>2397</v>
      </c>
      <c r="D59" s="314">
        <v>10</v>
      </c>
      <c r="E59" s="314">
        <v>20</v>
      </c>
    </row>
    <row r="60" spans="1:5" x14ac:dyDescent="0.25">
      <c r="A60" s="316" t="s">
        <v>2396</v>
      </c>
      <c r="B60" s="313">
        <v>38644</v>
      </c>
      <c r="C60" s="316" t="s">
        <v>2397</v>
      </c>
      <c r="D60" s="314">
        <v>20</v>
      </c>
      <c r="E60" s="314">
        <v>30</v>
      </c>
    </row>
    <row r="61" spans="1:5" x14ac:dyDescent="0.25">
      <c r="A61" s="316" t="s">
        <v>2396</v>
      </c>
      <c r="B61" s="313">
        <v>38644</v>
      </c>
      <c r="C61" s="316" t="s">
        <v>2397</v>
      </c>
      <c r="D61" s="314">
        <v>30</v>
      </c>
      <c r="E61" s="314">
        <v>60</v>
      </c>
    </row>
    <row r="62" spans="1:5" x14ac:dyDescent="0.25">
      <c r="A62" s="316" t="s">
        <v>2396</v>
      </c>
      <c r="B62" s="313">
        <v>38644</v>
      </c>
      <c r="C62" s="316" t="s">
        <v>2397</v>
      </c>
      <c r="D62" s="314">
        <v>60</v>
      </c>
      <c r="E62" s="314">
        <v>100</v>
      </c>
    </row>
    <row r="63" spans="1:5" x14ac:dyDescent="0.25">
      <c r="A63" s="316" t="s">
        <v>2398</v>
      </c>
      <c r="B63" s="313">
        <v>38644</v>
      </c>
      <c r="C63" s="316" t="s">
        <v>2399</v>
      </c>
      <c r="D63" s="314">
        <v>0</v>
      </c>
      <c r="E63" s="314">
        <v>5</v>
      </c>
    </row>
    <row r="64" spans="1:5" x14ac:dyDescent="0.25">
      <c r="A64" s="316" t="s">
        <v>2398</v>
      </c>
      <c r="B64" s="313">
        <v>38644</v>
      </c>
      <c r="C64" s="316" t="s">
        <v>2399</v>
      </c>
      <c r="D64" s="314">
        <v>5</v>
      </c>
      <c r="E64" s="314">
        <v>10</v>
      </c>
    </row>
    <row r="65" spans="1:5" x14ac:dyDescent="0.25">
      <c r="A65" s="316" t="s">
        <v>2398</v>
      </c>
      <c r="B65" s="313">
        <v>38644</v>
      </c>
      <c r="C65" s="316" t="s">
        <v>2399</v>
      </c>
      <c r="D65" s="314">
        <v>10</v>
      </c>
      <c r="E65" s="314">
        <v>20</v>
      </c>
    </row>
    <row r="66" spans="1:5" x14ac:dyDescent="0.25">
      <c r="A66" s="316" t="s">
        <v>2398</v>
      </c>
      <c r="B66" s="313">
        <v>38644</v>
      </c>
      <c r="C66" s="316" t="s">
        <v>2399</v>
      </c>
      <c r="D66" s="314">
        <v>20</v>
      </c>
      <c r="E66" s="314">
        <v>30</v>
      </c>
    </row>
    <row r="67" spans="1:5" x14ac:dyDescent="0.25">
      <c r="A67" s="316" t="s">
        <v>2398</v>
      </c>
      <c r="B67" s="313">
        <v>38644</v>
      </c>
      <c r="C67" s="316" t="s">
        <v>2399</v>
      </c>
      <c r="D67" s="314">
        <v>30</v>
      </c>
      <c r="E67" s="314">
        <v>60</v>
      </c>
    </row>
    <row r="68" spans="1:5" x14ac:dyDescent="0.25">
      <c r="A68" s="316" t="s">
        <v>2398</v>
      </c>
      <c r="B68" s="313">
        <v>38644</v>
      </c>
      <c r="C68" s="316" t="s">
        <v>2399</v>
      </c>
      <c r="D68" s="314">
        <v>60</v>
      </c>
      <c r="E68" s="314">
        <v>100</v>
      </c>
    </row>
    <row r="69" spans="1:5" x14ac:dyDescent="0.25">
      <c r="A69" s="316" t="s">
        <v>2400</v>
      </c>
      <c r="B69" s="313">
        <v>38644</v>
      </c>
      <c r="C69" s="316" t="s">
        <v>2401</v>
      </c>
      <c r="D69" s="314">
        <v>0</v>
      </c>
      <c r="E69" s="314">
        <v>5</v>
      </c>
    </row>
    <row r="70" spans="1:5" x14ac:dyDescent="0.25">
      <c r="A70" s="316" t="s">
        <v>2400</v>
      </c>
      <c r="B70" s="313">
        <v>38644</v>
      </c>
      <c r="C70" s="316" t="s">
        <v>2401</v>
      </c>
      <c r="D70" s="314">
        <v>5</v>
      </c>
      <c r="E70" s="314">
        <v>10</v>
      </c>
    </row>
    <row r="71" spans="1:5" x14ac:dyDescent="0.25">
      <c r="A71" s="316" t="s">
        <v>2400</v>
      </c>
      <c r="B71" s="313">
        <v>38644</v>
      </c>
      <c r="C71" s="316" t="s">
        <v>2401</v>
      </c>
      <c r="D71" s="314">
        <v>10</v>
      </c>
      <c r="E71" s="314">
        <v>20</v>
      </c>
    </row>
    <row r="72" spans="1:5" x14ac:dyDescent="0.25">
      <c r="A72" s="316" t="s">
        <v>2400</v>
      </c>
      <c r="B72" s="313">
        <v>38644</v>
      </c>
      <c r="C72" s="316" t="s">
        <v>2401</v>
      </c>
      <c r="D72" s="314">
        <v>20</v>
      </c>
      <c r="E72" s="314">
        <v>30</v>
      </c>
    </row>
    <row r="73" spans="1:5" x14ac:dyDescent="0.25">
      <c r="A73" s="316" t="s">
        <v>2400</v>
      </c>
      <c r="B73" s="313">
        <v>38644</v>
      </c>
      <c r="C73" s="316" t="s">
        <v>2401</v>
      </c>
      <c r="D73" s="314">
        <v>30</v>
      </c>
      <c r="E73" s="314">
        <v>60</v>
      </c>
    </row>
    <row r="74" spans="1:5" x14ac:dyDescent="0.25">
      <c r="A74" s="316" t="s">
        <v>2400</v>
      </c>
      <c r="B74" s="313">
        <v>38644</v>
      </c>
      <c r="C74" s="316" t="s">
        <v>2401</v>
      </c>
      <c r="D74" s="314">
        <v>60</v>
      </c>
      <c r="E74" s="314">
        <v>100</v>
      </c>
    </row>
    <row r="75" spans="1:5" x14ac:dyDescent="0.25">
      <c r="A75" s="316" t="s">
        <v>2402</v>
      </c>
      <c r="B75" s="313">
        <v>38644</v>
      </c>
      <c r="C75" s="316" t="s">
        <v>2403</v>
      </c>
      <c r="D75" s="314">
        <v>0</v>
      </c>
      <c r="E75" s="314">
        <v>5</v>
      </c>
    </row>
    <row r="76" spans="1:5" x14ac:dyDescent="0.25">
      <c r="A76" s="316" t="s">
        <v>2402</v>
      </c>
      <c r="B76" s="313">
        <v>38644</v>
      </c>
      <c r="C76" s="316" t="s">
        <v>2403</v>
      </c>
      <c r="D76" s="314">
        <v>5</v>
      </c>
      <c r="E76" s="314">
        <v>10</v>
      </c>
    </row>
    <row r="77" spans="1:5" x14ac:dyDescent="0.25">
      <c r="A77" s="316" t="s">
        <v>2402</v>
      </c>
      <c r="B77" s="313">
        <v>38644</v>
      </c>
      <c r="C77" s="316" t="s">
        <v>2403</v>
      </c>
      <c r="D77" s="314">
        <v>10</v>
      </c>
      <c r="E77" s="314">
        <v>20</v>
      </c>
    </row>
    <row r="78" spans="1:5" x14ac:dyDescent="0.25">
      <c r="A78" s="316" t="s">
        <v>2402</v>
      </c>
      <c r="B78" s="313">
        <v>38644</v>
      </c>
      <c r="C78" s="316" t="s">
        <v>2403</v>
      </c>
      <c r="D78" s="314">
        <v>20</v>
      </c>
      <c r="E78" s="314">
        <v>30</v>
      </c>
    </row>
    <row r="79" spans="1:5" x14ac:dyDescent="0.25">
      <c r="A79" s="316" t="s">
        <v>2402</v>
      </c>
      <c r="B79" s="313">
        <v>38644</v>
      </c>
      <c r="C79" s="316" t="s">
        <v>2403</v>
      </c>
      <c r="D79" s="314">
        <v>30</v>
      </c>
      <c r="E79" s="314">
        <v>60</v>
      </c>
    </row>
    <row r="80" spans="1:5" x14ac:dyDescent="0.25">
      <c r="A80" s="316" t="s">
        <v>2402</v>
      </c>
      <c r="B80" s="313">
        <v>38644</v>
      </c>
      <c r="C80" s="316" t="s">
        <v>2403</v>
      </c>
      <c r="D80" s="314">
        <v>60</v>
      </c>
      <c r="E80" s="314">
        <v>100</v>
      </c>
    </row>
    <row r="81" spans="1:5" x14ac:dyDescent="0.25">
      <c r="A81" s="316" t="s">
        <v>2404</v>
      </c>
      <c r="B81" s="313">
        <v>38644</v>
      </c>
      <c r="C81" s="316" t="s">
        <v>2405</v>
      </c>
      <c r="D81" s="314">
        <v>0</v>
      </c>
      <c r="E81" s="314">
        <v>5</v>
      </c>
    </row>
    <row r="82" spans="1:5" x14ac:dyDescent="0.25">
      <c r="A82" s="316" t="s">
        <v>2404</v>
      </c>
      <c r="B82" s="313">
        <v>38644</v>
      </c>
      <c r="C82" s="316" t="s">
        <v>2405</v>
      </c>
      <c r="D82" s="314">
        <v>5</v>
      </c>
      <c r="E82" s="314">
        <v>10</v>
      </c>
    </row>
    <row r="83" spans="1:5" x14ac:dyDescent="0.25">
      <c r="A83" s="316" t="s">
        <v>2404</v>
      </c>
      <c r="B83" s="313">
        <v>38644</v>
      </c>
      <c r="C83" s="316" t="s">
        <v>2405</v>
      </c>
      <c r="D83" s="314">
        <v>10</v>
      </c>
      <c r="E83" s="314">
        <v>20</v>
      </c>
    </row>
    <row r="84" spans="1:5" x14ac:dyDescent="0.25">
      <c r="A84" s="316" t="s">
        <v>2404</v>
      </c>
      <c r="B84" s="313">
        <v>38644</v>
      </c>
      <c r="C84" s="316" t="s">
        <v>2405</v>
      </c>
      <c r="D84" s="314">
        <v>20</v>
      </c>
      <c r="E84" s="314">
        <v>30</v>
      </c>
    </row>
    <row r="85" spans="1:5" x14ac:dyDescent="0.25">
      <c r="A85" s="316" t="s">
        <v>2404</v>
      </c>
      <c r="B85" s="313">
        <v>38644</v>
      </c>
      <c r="C85" s="316" t="s">
        <v>2405</v>
      </c>
      <c r="D85" s="314">
        <v>30</v>
      </c>
      <c r="E85" s="314">
        <v>60</v>
      </c>
    </row>
    <row r="86" spans="1:5" x14ac:dyDescent="0.25">
      <c r="A86" s="316" t="s">
        <v>2404</v>
      </c>
      <c r="B86" s="313">
        <v>38644</v>
      </c>
      <c r="C86" s="316" t="s">
        <v>2405</v>
      </c>
      <c r="D86" s="314">
        <v>60</v>
      </c>
      <c r="E86" s="314">
        <v>100</v>
      </c>
    </row>
    <row r="87" spans="1:5" x14ac:dyDescent="0.25">
      <c r="A87" s="316" t="s">
        <v>2406</v>
      </c>
      <c r="B87" s="313">
        <v>38644</v>
      </c>
      <c r="C87" s="316" t="s">
        <v>2407</v>
      </c>
      <c r="D87" s="314">
        <v>0</v>
      </c>
      <c r="E87" s="314">
        <v>5</v>
      </c>
    </row>
    <row r="88" spans="1:5" x14ac:dyDescent="0.25">
      <c r="A88" s="316" t="s">
        <v>2406</v>
      </c>
      <c r="B88" s="313">
        <v>38644</v>
      </c>
      <c r="C88" s="316" t="s">
        <v>2407</v>
      </c>
      <c r="D88" s="314">
        <v>5</v>
      </c>
      <c r="E88" s="314">
        <v>10</v>
      </c>
    </row>
    <row r="89" spans="1:5" x14ac:dyDescent="0.25">
      <c r="A89" s="316" t="s">
        <v>2406</v>
      </c>
      <c r="B89" s="313">
        <v>38644</v>
      </c>
      <c r="C89" s="316" t="s">
        <v>2407</v>
      </c>
      <c r="D89" s="314">
        <v>10</v>
      </c>
      <c r="E89" s="314">
        <v>20</v>
      </c>
    </row>
    <row r="90" spans="1:5" x14ac:dyDescent="0.25">
      <c r="A90" s="316" t="s">
        <v>2406</v>
      </c>
      <c r="B90" s="313">
        <v>38644</v>
      </c>
      <c r="C90" s="316" t="s">
        <v>2407</v>
      </c>
      <c r="D90" s="314">
        <v>20</v>
      </c>
      <c r="E90" s="314">
        <v>30</v>
      </c>
    </row>
    <row r="91" spans="1:5" x14ac:dyDescent="0.25">
      <c r="A91" s="316" t="s">
        <v>2406</v>
      </c>
      <c r="B91" s="313">
        <v>38644</v>
      </c>
      <c r="C91" s="316" t="s">
        <v>2407</v>
      </c>
      <c r="D91" s="314">
        <v>30</v>
      </c>
      <c r="E91" s="314">
        <v>60</v>
      </c>
    </row>
    <row r="92" spans="1:5" x14ac:dyDescent="0.25">
      <c r="A92" s="316" t="s">
        <v>2406</v>
      </c>
      <c r="B92" s="313">
        <v>38644</v>
      </c>
      <c r="C92" s="316" t="s">
        <v>2407</v>
      </c>
      <c r="D92" s="314">
        <v>60</v>
      </c>
      <c r="E92" s="314">
        <v>100</v>
      </c>
    </row>
    <row r="93" spans="1:5" x14ac:dyDescent="0.25">
      <c r="A93" s="316" t="s">
        <v>2408</v>
      </c>
      <c r="B93" s="313">
        <v>38644</v>
      </c>
      <c r="C93" s="316" t="s">
        <v>2409</v>
      </c>
      <c r="D93" s="314">
        <v>0</v>
      </c>
      <c r="E93" s="314">
        <v>5</v>
      </c>
    </row>
    <row r="94" spans="1:5" x14ac:dyDescent="0.25">
      <c r="A94" s="316" t="s">
        <v>2408</v>
      </c>
      <c r="B94" s="313">
        <v>38644</v>
      </c>
      <c r="C94" s="316" t="s">
        <v>2409</v>
      </c>
      <c r="D94" s="314">
        <v>5</v>
      </c>
      <c r="E94" s="314">
        <v>10</v>
      </c>
    </row>
    <row r="95" spans="1:5" x14ac:dyDescent="0.25">
      <c r="A95" s="316" t="s">
        <v>2408</v>
      </c>
      <c r="B95" s="313">
        <v>38644</v>
      </c>
      <c r="C95" s="316" t="s">
        <v>2409</v>
      </c>
      <c r="D95" s="314">
        <v>10</v>
      </c>
      <c r="E95" s="314">
        <v>20</v>
      </c>
    </row>
    <row r="96" spans="1:5" x14ac:dyDescent="0.25">
      <c r="A96" s="316" t="s">
        <v>2408</v>
      </c>
      <c r="B96" s="313">
        <v>38644</v>
      </c>
      <c r="C96" s="316" t="s">
        <v>2409</v>
      </c>
      <c r="D96" s="314">
        <v>20</v>
      </c>
      <c r="E96" s="314">
        <v>30</v>
      </c>
    </row>
    <row r="97" spans="1:5" x14ac:dyDescent="0.25">
      <c r="A97" s="316" t="s">
        <v>2408</v>
      </c>
      <c r="B97" s="313">
        <v>38644</v>
      </c>
      <c r="C97" s="316" t="s">
        <v>2409</v>
      </c>
      <c r="D97" s="314">
        <v>30</v>
      </c>
      <c r="E97" s="314">
        <v>60</v>
      </c>
    </row>
    <row r="98" spans="1:5" x14ac:dyDescent="0.25">
      <c r="A98" s="316" t="s">
        <v>2408</v>
      </c>
      <c r="B98" s="313">
        <v>38644</v>
      </c>
      <c r="C98" s="316" t="s">
        <v>2409</v>
      </c>
      <c r="D98" s="314">
        <v>60</v>
      </c>
      <c r="E98" s="314">
        <v>100</v>
      </c>
    </row>
    <row r="99" spans="1:5" x14ac:dyDescent="0.25">
      <c r="A99" s="316" t="s">
        <v>2410</v>
      </c>
      <c r="B99" s="313">
        <v>38644</v>
      </c>
      <c r="C99" s="316" t="s">
        <v>2411</v>
      </c>
      <c r="D99" s="314">
        <v>0</v>
      </c>
      <c r="E99" s="314">
        <v>5</v>
      </c>
    </row>
    <row r="100" spans="1:5" x14ac:dyDescent="0.25">
      <c r="A100" s="316" t="s">
        <v>2410</v>
      </c>
      <c r="B100" s="313">
        <v>38644</v>
      </c>
      <c r="C100" s="316" t="s">
        <v>2411</v>
      </c>
      <c r="D100" s="314">
        <v>5</v>
      </c>
      <c r="E100" s="314">
        <v>10</v>
      </c>
    </row>
    <row r="101" spans="1:5" x14ac:dyDescent="0.25">
      <c r="A101" s="316" t="s">
        <v>2410</v>
      </c>
      <c r="B101" s="313">
        <v>38644</v>
      </c>
      <c r="C101" s="316" t="s">
        <v>2411</v>
      </c>
      <c r="D101" s="314">
        <v>10</v>
      </c>
      <c r="E101" s="314">
        <v>20</v>
      </c>
    </row>
    <row r="102" spans="1:5" x14ac:dyDescent="0.25">
      <c r="A102" s="316" t="s">
        <v>2410</v>
      </c>
      <c r="B102" s="313">
        <v>38644</v>
      </c>
      <c r="C102" s="316" t="s">
        <v>2411</v>
      </c>
      <c r="D102" s="314">
        <v>20</v>
      </c>
      <c r="E102" s="314">
        <v>30</v>
      </c>
    </row>
    <row r="103" spans="1:5" x14ac:dyDescent="0.25">
      <c r="A103" s="316" t="s">
        <v>2410</v>
      </c>
      <c r="B103" s="313">
        <v>38644</v>
      </c>
      <c r="C103" s="316" t="s">
        <v>2411</v>
      </c>
      <c r="D103" s="314">
        <v>30</v>
      </c>
      <c r="E103" s="314">
        <v>60</v>
      </c>
    </row>
    <row r="104" spans="1:5" x14ac:dyDescent="0.25">
      <c r="A104" s="316" t="s">
        <v>2410</v>
      </c>
      <c r="B104" s="313">
        <v>38644</v>
      </c>
      <c r="C104" s="316" t="s">
        <v>2411</v>
      </c>
      <c r="D104" s="314">
        <v>60</v>
      </c>
      <c r="E104" s="314">
        <v>100</v>
      </c>
    </row>
    <row r="105" spans="1:5" x14ac:dyDescent="0.25">
      <c r="A105" s="316" t="s">
        <v>2412</v>
      </c>
      <c r="B105" s="313">
        <v>38644</v>
      </c>
      <c r="C105" s="316" t="s">
        <v>2381</v>
      </c>
      <c r="D105" s="314">
        <v>0</v>
      </c>
      <c r="E105" s="314">
        <v>5</v>
      </c>
    </row>
    <row r="106" spans="1:5" x14ac:dyDescent="0.25">
      <c r="A106" s="316" t="s">
        <v>2412</v>
      </c>
      <c r="B106" s="313">
        <v>38644</v>
      </c>
      <c r="C106" s="316" t="s">
        <v>2381</v>
      </c>
      <c r="D106" s="314">
        <v>5</v>
      </c>
      <c r="E106" s="314">
        <v>10</v>
      </c>
    </row>
    <row r="107" spans="1:5" x14ac:dyDescent="0.25">
      <c r="A107" s="316" t="s">
        <v>2412</v>
      </c>
      <c r="B107" s="313">
        <v>38644</v>
      </c>
      <c r="C107" s="316" t="s">
        <v>2381</v>
      </c>
      <c r="D107" s="314">
        <v>10</v>
      </c>
      <c r="E107" s="314">
        <v>20</v>
      </c>
    </row>
    <row r="108" spans="1:5" x14ac:dyDescent="0.25">
      <c r="A108" s="316" t="s">
        <v>2412</v>
      </c>
      <c r="B108" s="313">
        <v>38644</v>
      </c>
      <c r="C108" s="316" t="s">
        <v>2381</v>
      </c>
      <c r="D108" s="314">
        <v>20</v>
      </c>
      <c r="E108" s="314">
        <v>30</v>
      </c>
    </row>
    <row r="109" spans="1:5" x14ac:dyDescent="0.25">
      <c r="A109" s="316" t="s">
        <v>2412</v>
      </c>
      <c r="B109" s="313">
        <v>38644</v>
      </c>
      <c r="C109" s="316" t="s">
        <v>2381</v>
      </c>
      <c r="D109" s="314">
        <v>30</v>
      </c>
      <c r="E109" s="314">
        <v>60</v>
      </c>
    </row>
    <row r="110" spans="1:5" x14ac:dyDescent="0.25">
      <c r="A110" s="316" t="s">
        <v>2412</v>
      </c>
      <c r="B110" s="313">
        <v>38644</v>
      </c>
      <c r="C110" s="316" t="s">
        <v>2381</v>
      </c>
      <c r="D110" s="314">
        <v>60</v>
      </c>
      <c r="E110" s="314">
        <v>100</v>
      </c>
    </row>
    <row r="111" spans="1:5" x14ac:dyDescent="0.25">
      <c r="A111" s="316" t="s">
        <v>2413</v>
      </c>
      <c r="B111" s="313">
        <v>38644</v>
      </c>
      <c r="C111" s="316" t="s">
        <v>2389</v>
      </c>
      <c r="D111" s="314">
        <v>0</v>
      </c>
      <c r="E111" s="314">
        <v>5</v>
      </c>
    </row>
    <row r="112" spans="1:5" x14ac:dyDescent="0.25">
      <c r="A112" s="316" t="s">
        <v>2413</v>
      </c>
      <c r="B112" s="313">
        <v>38644</v>
      </c>
      <c r="C112" s="316" t="s">
        <v>2389</v>
      </c>
      <c r="D112" s="314">
        <v>5</v>
      </c>
      <c r="E112" s="314">
        <v>10</v>
      </c>
    </row>
    <row r="113" spans="1:5" x14ac:dyDescent="0.25">
      <c r="A113" s="316" t="s">
        <v>2413</v>
      </c>
      <c r="B113" s="313">
        <v>38644</v>
      </c>
      <c r="C113" s="316" t="s">
        <v>2389</v>
      </c>
      <c r="D113" s="314">
        <v>10</v>
      </c>
      <c r="E113" s="314">
        <v>20</v>
      </c>
    </row>
    <row r="114" spans="1:5" x14ac:dyDescent="0.25">
      <c r="A114" s="316" t="s">
        <v>2413</v>
      </c>
      <c r="B114" s="313">
        <v>38644</v>
      </c>
      <c r="C114" s="316" t="s">
        <v>2389</v>
      </c>
      <c r="D114" s="314">
        <v>20</v>
      </c>
      <c r="E114" s="314">
        <v>30</v>
      </c>
    </row>
    <row r="115" spans="1:5" x14ac:dyDescent="0.25">
      <c r="A115" s="316" t="s">
        <v>2413</v>
      </c>
      <c r="B115" s="313">
        <v>38644</v>
      </c>
      <c r="C115" s="316" t="s">
        <v>2389</v>
      </c>
      <c r="D115" s="314">
        <v>30</v>
      </c>
      <c r="E115" s="314">
        <v>60</v>
      </c>
    </row>
    <row r="116" spans="1:5" x14ac:dyDescent="0.25">
      <c r="A116" s="316" t="s">
        <v>2413</v>
      </c>
      <c r="B116" s="313">
        <v>38644</v>
      </c>
      <c r="C116" s="316" t="s">
        <v>2389</v>
      </c>
      <c r="D116" s="314">
        <v>60</v>
      </c>
      <c r="E116" s="314">
        <v>100</v>
      </c>
    </row>
    <row r="117" spans="1:5" x14ac:dyDescent="0.25">
      <c r="A117" s="316" t="s">
        <v>2414</v>
      </c>
      <c r="B117" s="313">
        <v>38644</v>
      </c>
      <c r="C117" s="316" t="s">
        <v>2387</v>
      </c>
      <c r="D117" s="314">
        <v>0</v>
      </c>
      <c r="E117" s="314">
        <v>5</v>
      </c>
    </row>
    <row r="118" spans="1:5" x14ac:dyDescent="0.25">
      <c r="A118" s="316" t="s">
        <v>2414</v>
      </c>
      <c r="B118" s="313">
        <v>38644</v>
      </c>
      <c r="C118" s="316" t="s">
        <v>2387</v>
      </c>
      <c r="D118" s="314">
        <v>5</v>
      </c>
      <c r="E118" s="314">
        <v>10</v>
      </c>
    </row>
    <row r="119" spans="1:5" x14ac:dyDescent="0.25">
      <c r="A119" s="316" t="s">
        <v>2414</v>
      </c>
      <c r="B119" s="313">
        <v>38644</v>
      </c>
      <c r="C119" s="316" t="s">
        <v>2387</v>
      </c>
      <c r="D119" s="314">
        <v>10</v>
      </c>
      <c r="E119" s="314">
        <v>20</v>
      </c>
    </row>
    <row r="120" spans="1:5" x14ac:dyDescent="0.25">
      <c r="A120" s="316" t="s">
        <v>2414</v>
      </c>
      <c r="B120" s="313">
        <v>38644</v>
      </c>
      <c r="C120" s="316" t="s">
        <v>2387</v>
      </c>
      <c r="D120" s="314">
        <v>20</v>
      </c>
      <c r="E120" s="314">
        <v>30</v>
      </c>
    </row>
    <row r="121" spans="1:5" x14ac:dyDescent="0.25">
      <c r="A121" s="316" t="s">
        <v>2414</v>
      </c>
      <c r="B121" s="313">
        <v>38644</v>
      </c>
      <c r="C121" s="316" t="s">
        <v>2387</v>
      </c>
      <c r="D121" s="314">
        <v>30</v>
      </c>
      <c r="E121" s="314">
        <v>60</v>
      </c>
    </row>
    <row r="122" spans="1:5" x14ac:dyDescent="0.25">
      <c r="A122" s="316" t="s">
        <v>2414</v>
      </c>
      <c r="B122" s="313">
        <v>38644</v>
      </c>
      <c r="C122" s="316" t="s">
        <v>2387</v>
      </c>
      <c r="D122" s="314">
        <v>60</v>
      </c>
      <c r="E122" s="314">
        <v>100</v>
      </c>
    </row>
    <row r="123" spans="1:5" x14ac:dyDescent="0.25">
      <c r="A123" s="316" t="s">
        <v>2415</v>
      </c>
      <c r="B123" s="313">
        <v>38644</v>
      </c>
      <c r="C123" s="316" t="s">
        <v>2391</v>
      </c>
      <c r="D123" s="314">
        <v>0</v>
      </c>
      <c r="E123" s="314">
        <v>5</v>
      </c>
    </row>
    <row r="124" spans="1:5" x14ac:dyDescent="0.25">
      <c r="A124" s="316" t="s">
        <v>2415</v>
      </c>
      <c r="B124" s="313">
        <v>38644</v>
      </c>
      <c r="C124" s="316" t="s">
        <v>2391</v>
      </c>
      <c r="D124" s="314">
        <v>5</v>
      </c>
      <c r="E124" s="314">
        <v>10</v>
      </c>
    </row>
    <row r="125" spans="1:5" x14ac:dyDescent="0.25">
      <c r="A125" s="316" t="s">
        <v>2415</v>
      </c>
      <c r="B125" s="313">
        <v>38644</v>
      </c>
      <c r="C125" s="316" t="s">
        <v>2391</v>
      </c>
      <c r="D125" s="314">
        <v>10</v>
      </c>
      <c r="E125" s="314">
        <v>20</v>
      </c>
    </row>
    <row r="126" spans="1:5" x14ac:dyDescent="0.25">
      <c r="A126" s="316" t="s">
        <v>2415</v>
      </c>
      <c r="B126" s="313">
        <v>38644</v>
      </c>
      <c r="C126" s="316" t="s">
        <v>2391</v>
      </c>
      <c r="D126" s="314">
        <v>20</v>
      </c>
      <c r="E126" s="314">
        <v>30</v>
      </c>
    </row>
    <row r="127" spans="1:5" x14ac:dyDescent="0.25">
      <c r="A127" s="316" t="s">
        <v>2415</v>
      </c>
      <c r="B127" s="313">
        <v>38644</v>
      </c>
      <c r="C127" s="316" t="s">
        <v>2391</v>
      </c>
      <c r="D127" s="314">
        <v>30</v>
      </c>
      <c r="E127" s="314">
        <v>60</v>
      </c>
    </row>
    <row r="128" spans="1:5" x14ac:dyDescent="0.25">
      <c r="A128" s="316" t="s">
        <v>2415</v>
      </c>
      <c r="B128" s="313">
        <v>38644</v>
      </c>
      <c r="C128" s="316" t="s">
        <v>2391</v>
      </c>
      <c r="D128" s="314">
        <v>60</v>
      </c>
      <c r="E128" s="314">
        <v>100</v>
      </c>
    </row>
    <row r="129" spans="1:5" x14ac:dyDescent="0.25">
      <c r="A129" s="316" t="s">
        <v>2416</v>
      </c>
      <c r="B129" s="313">
        <v>38644</v>
      </c>
      <c r="C129" s="316" t="s">
        <v>2393</v>
      </c>
      <c r="D129" s="314">
        <v>0</v>
      </c>
      <c r="E129" s="314">
        <v>5</v>
      </c>
    </row>
    <row r="130" spans="1:5" x14ac:dyDescent="0.25">
      <c r="A130" s="316" t="s">
        <v>2416</v>
      </c>
      <c r="B130" s="313">
        <v>38644</v>
      </c>
      <c r="C130" s="316" t="s">
        <v>2393</v>
      </c>
      <c r="D130" s="314">
        <v>5</v>
      </c>
      <c r="E130" s="314">
        <v>10</v>
      </c>
    </row>
    <row r="131" spans="1:5" x14ac:dyDescent="0.25">
      <c r="A131" s="316" t="s">
        <v>2416</v>
      </c>
      <c r="B131" s="313">
        <v>38644</v>
      </c>
      <c r="C131" s="316" t="s">
        <v>2393</v>
      </c>
      <c r="D131" s="314">
        <v>10</v>
      </c>
      <c r="E131" s="314">
        <v>20</v>
      </c>
    </row>
    <row r="132" spans="1:5" x14ac:dyDescent="0.25">
      <c r="A132" s="316" t="s">
        <v>2416</v>
      </c>
      <c r="B132" s="313">
        <v>38644</v>
      </c>
      <c r="C132" s="316" t="s">
        <v>2393</v>
      </c>
      <c r="D132" s="314">
        <v>20</v>
      </c>
      <c r="E132" s="314">
        <v>30</v>
      </c>
    </row>
    <row r="133" spans="1:5" x14ac:dyDescent="0.25">
      <c r="A133" s="316" t="s">
        <v>2416</v>
      </c>
      <c r="B133" s="313">
        <v>38644</v>
      </c>
      <c r="C133" s="316" t="s">
        <v>2393</v>
      </c>
      <c r="D133" s="314">
        <v>30</v>
      </c>
      <c r="E133" s="314">
        <v>60</v>
      </c>
    </row>
    <row r="134" spans="1:5" x14ac:dyDescent="0.25">
      <c r="A134" s="316" t="s">
        <v>2416</v>
      </c>
      <c r="B134" s="313">
        <v>38644</v>
      </c>
      <c r="C134" s="316" t="s">
        <v>2393</v>
      </c>
      <c r="D134" s="314">
        <v>60</v>
      </c>
      <c r="E134" s="314">
        <v>100</v>
      </c>
    </row>
    <row r="135" spans="1:5" x14ac:dyDescent="0.25">
      <c r="A135" s="316" t="s">
        <v>2417</v>
      </c>
      <c r="B135" s="313">
        <v>38644</v>
      </c>
      <c r="C135" s="316" t="s">
        <v>2395</v>
      </c>
      <c r="D135" s="314">
        <v>0</v>
      </c>
      <c r="E135" s="314">
        <v>5</v>
      </c>
    </row>
    <row r="136" spans="1:5" x14ac:dyDescent="0.25">
      <c r="A136" s="316" t="s">
        <v>2417</v>
      </c>
      <c r="B136" s="313">
        <v>38644</v>
      </c>
      <c r="C136" s="316" t="s">
        <v>2395</v>
      </c>
      <c r="D136" s="314">
        <v>5</v>
      </c>
      <c r="E136" s="314">
        <v>10</v>
      </c>
    </row>
    <row r="137" spans="1:5" x14ac:dyDescent="0.25">
      <c r="A137" s="316" t="s">
        <v>2417</v>
      </c>
      <c r="B137" s="313">
        <v>38644</v>
      </c>
      <c r="C137" s="316" t="s">
        <v>2395</v>
      </c>
      <c r="D137" s="314">
        <v>10</v>
      </c>
      <c r="E137" s="314">
        <v>20</v>
      </c>
    </row>
    <row r="138" spans="1:5" x14ac:dyDescent="0.25">
      <c r="A138" s="316" t="s">
        <v>2417</v>
      </c>
      <c r="B138" s="313">
        <v>38644</v>
      </c>
      <c r="C138" s="316" t="s">
        <v>2395</v>
      </c>
      <c r="D138" s="314">
        <v>20</v>
      </c>
      <c r="E138" s="314">
        <v>30</v>
      </c>
    </row>
    <row r="139" spans="1:5" x14ac:dyDescent="0.25">
      <c r="A139" s="316" t="s">
        <v>2417</v>
      </c>
      <c r="B139" s="313">
        <v>38644</v>
      </c>
      <c r="C139" s="316" t="s">
        <v>2395</v>
      </c>
      <c r="D139" s="314">
        <v>30</v>
      </c>
      <c r="E139" s="314">
        <v>60</v>
      </c>
    </row>
    <row r="140" spans="1:5" x14ac:dyDescent="0.25">
      <c r="A140" s="316" t="s">
        <v>2417</v>
      </c>
      <c r="B140" s="313">
        <v>38644</v>
      </c>
      <c r="C140" s="316" t="s">
        <v>2395</v>
      </c>
      <c r="D140" s="314">
        <v>60</v>
      </c>
      <c r="E140" s="314">
        <v>100</v>
      </c>
    </row>
    <row r="141" spans="1:5" x14ac:dyDescent="0.25">
      <c r="A141" s="316" t="s">
        <v>2418</v>
      </c>
      <c r="B141" s="313">
        <v>38644</v>
      </c>
      <c r="C141" s="316" t="s">
        <v>2385</v>
      </c>
      <c r="D141" s="314">
        <v>0</v>
      </c>
      <c r="E141" s="314">
        <v>5</v>
      </c>
    </row>
    <row r="142" spans="1:5" x14ac:dyDescent="0.25">
      <c r="A142" s="316" t="s">
        <v>2418</v>
      </c>
      <c r="B142" s="313">
        <v>38644</v>
      </c>
      <c r="C142" s="316" t="s">
        <v>2385</v>
      </c>
      <c r="D142" s="314">
        <v>5</v>
      </c>
      <c r="E142" s="314">
        <v>10</v>
      </c>
    </row>
    <row r="143" spans="1:5" x14ac:dyDescent="0.25">
      <c r="A143" s="316" t="s">
        <v>2418</v>
      </c>
      <c r="B143" s="313">
        <v>38644</v>
      </c>
      <c r="C143" s="316" t="s">
        <v>2385</v>
      </c>
      <c r="D143" s="314">
        <v>10</v>
      </c>
      <c r="E143" s="314">
        <v>20</v>
      </c>
    </row>
    <row r="144" spans="1:5" x14ac:dyDescent="0.25">
      <c r="A144" s="316" t="s">
        <v>2418</v>
      </c>
      <c r="B144" s="313">
        <v>38644</v>
      </c>
      <c r="C144" s="316" t="s">
        <v>2385</v>
      </c>
      <c r="D144" s="314">
        <v>20</v>
      </c>
      <c r="E144" s="314">
        <v>30</v>
      </c>
    </row>
    <row r="145" spans="1:5" x14ac:dyDescent="0.25">
      <c r="A145" s="316" t="s">
        <v>2418</v>
      </c>
      <c r="B145" s="313">
        <v>38644</v>
      </c>
      <c r="C145" s="316" t="s">
        <v>2385</v>
      </c>
      <c r="D145" s="314">
        <v>30</v>
      </c>
      <c r="E145" s="314">
        <v>60</v>
      </c>
    </row>
    <row r="146" spans="1:5" x14ac:dyDescent="0.25">
      <c r="A146" s="316" t="s">
        <v>2418</v>
      </c>
      <c r="B146" s="313">
        <v>38644</v>
      </c>
      <c r="C146" s="316" t="s">
        <v>2385</v>
      </c>
      <c r="D146" s="314">
        <v>60</v>
      </c>
      <c r="E146" s="314">
        <v>100</v>
      </c>
    </row>
    <row r="147" spans="1:5" x14ac:dyDescent="0.25">
      <c r="A147" s="316" t="s">
        <v>2419</v>
      </c>
      <c r="B147" s="313">
        <v>38644</v>
      </c>
      <c r="C147" s="316" t="s">
        <v>2383</v>
      </c>
      <c r="D147" s="314">
        <v>0</v>
      </c>
      <c r="E147" s="314">
        <v>5</v>
      </c>
    </row>
    <row r="148" spans="1:5" x14ac:dyDescent="0.25">
      <c r="A148" s="316" t="s">
        <v>2419</v>
      </c>
      <c r="B148" s="313">
        <v>38644</v>
      </c>
      <c r="C148" s="316" t="s">
        <v>2383</v>
      </c>
      <c r="D148" s="314">
        <v>5</v>
      </c>
      <c r="E148" s="314">
        <v>10</v>
      </c>
    </row>
    <row r="149" spans="1:5" x14ac:dyDescent="0.25">
      <c r="A149" s="316" t="s">
        <v>2419</v>
      </c>
      <c r="B149" s="313">
        <v>38644</v>
      </c>
      <c r="C149" s="316" t="s">
        <v>2383</v>
      </c>
      <c r="D149" s="314">
        <v>10</v>
      </c>
      <c r="E149" s="314">
        <v>20</v>
      </c>
    </row>
    <row r="150" spans="1:5" x14ac:dyDescent="0.25">
      <c r="A150" s="316" t="s">
        <v>2419</v>
      </c>
      <c r="B150" s="313">
        <v>38644</v>
      </c>
      <c r="C150" s="316" t="s">
        <v>2383</v>
      </c>
      <c r="D150" s="314">
        <v>20</v>
      </c>
      <c r="E150" s="314">
        <v>30</v>
      </c>
    </row>
    <row r="151" spans="1:5" x14ac:dyDescent="0.25">
      <c r="A151" s="316" t="s">
        <v>2419</v>
      </c>
      <c r="B151" s="313">
        <v>38644</v>
      </c>
      <c r="C151" s="316" t="s">
        <v>2383</v>
      </c>
      <c r="D151" s="314">
        <v>30</v>
      </c>
      <c r="E151" s="314">
        <v>60</v>
      </c>
    </row>
    <row r="152" spans="1:5" x14ac:dyDescent="0.25">
      <c r="A152" s="316" t="s">
        <v>2419</v>
      </c>
      <c r="B152" s="313">
        <v>38644</v>
      </c>
      <c r="C152" s="316" t="s">
        <v>2383</v>
      </c>
      <c r="D152" s="314">
        <v>60</v>
      </c>
      <c r="E152" s="314">
        <v>100</v>
      </c>
    </row>
    <row r="153" spans="1:5" x14ac:dyDescent="0.25">
      <c r="A153" s="316" t="s">
        <v>2420</v>
      </c>
      <c r="B153" s="313">
        <v>38644</v>
      </c>
      <c r="C153" s="316" t="s">
        <v>2411</v>
      </c>
      <c r="D153" s="314">
        <v>0</v>
      </c>
      <c r="E153" s="314">
        <v>5</v>
      </c>
    </row>
    <row r="154" spans="1:5" x14ac:dyDescent="0.25">
      <c r="A154" s="316" t="s">
        <v>2420</v>
      </c>
      <c r="B154" s="313">
        <v>38644</v>
      </c>
      <c r="C154" s="316" t="s">
        <v>2411</v>
      </c>
      <c r="D154" s="314">
        <v>5</v>
      </c>
      <c r="E154" s="314">
        <v>10</v>
      </c>
    </row>
    <row r="155" spans="1:5" x14ac:dyDescent="0.25">
      <c r="A155" s="316" t="s">
        <v>2420</v>
      </c>
      <c r="B155" s="313">
        <v>38644</v>
      </c>
      <c r="C155" s="316" t="s">
        <v>2411</v>
      </c>
      <c r="D155" s="314">
        <v>10</v>
      </c>
      <c r="E155" s="314">
        <v>20</v>
      </c>
    </row>
    <row r="156" spans="1:5" x14ac:dyDescent="0.25">
      <c r="A156" s="316" t="s">
        <v>2420</v>
      </c>
      <c r="B156" s="313">
        <v>38644</v>
      </c>
      <c r="C156" s="316" t="s">
        <v>2411</v>
      </c>
      <c r="D156" s="314">
        <v>20</v>
      </c>
      <c r="E156" s="314">
        <v>30</v>
      </c>
    </row>
    <row r="157" spans="1:5" x14ac:dyDescent="0.25">
      <c r="A157" s="316" t="s">
        <v>2420</v>
      </c>
      <c r="B157" s="313">
        <v>38644</v>
      </c>
      <c r="C157" s="316" t="s">
        <v>2411</v>
      </c>
      <c r="D157" s="314">
        <v>30</v>
      </c>
      <c r="E157" s="314">
        <v>60</v>
      </c>
    </row>
    <row r="158" spans="1:5" x14ac:dyDescent="0.25">
      <c r="A158" s="316" t="s">
        <v>2420</v>
      </c>
      <c r="B158" s="313">
        <v>38644</v>
      </c>
      <c r="C158" s="316" t="s">
        <v>2411</v>
      </c>
      <c r="D158" s="314">
        <v>60</v>
      </c>
      <c r="E158" s="314">
        <v>100</v>
      </c>
    </row>
    <row r="159" spans="1:5" x14ac:dyDescent="0.25">
      <c r="A159" s="316" t="s">
        <v>2421</v>
      </c>
      <c r="B159" s="313">
        <v>38644</v>
      </c>
      <c r="C159" s="316" t="s">
        <v>2407</v>
      </c>
      <c r="D159" s="314">
        <v>0</v>
      </c>
      <c r="E159" s="314">
        <v>5</v>
      </c>
    </row>
    <row r="160" spans="1:5" x14ac:dyDescent="0.25">
      <c r="A160" s="316" t="s">
        <v>2421</v>
      </c>
      <c r="B160" s="313">
        <v>38644</v>
      </c>
      <c r="C160" s="316" t="s">
        <v>2407</v>
      </c>
      <c r="D160" s="314">
        <v>5</v>
      </c>
      <c r="E160" s="314">
        <v>10</v>
      </c>
    </row>
    <row r="161" spans="1:5" x14ac:dyDescent="0.25">
      <c r="A161" s="316" t="s">
        <v>2421</v>
      </c>
      <c r="B161" s="313">
        <v>38644</v>
      </c>
      <c r="C161" s="316" t="s">
        <v>2407</v>
      </c>
      <c r="D161" s="314">
        <v>10</v>
      </c>
      <c r="E161" s="314">
        <v>20</v>
      </c>
    </row>
    <row r="162" spans="1:5" x14ac:dyDescent="0.25">
      <c r="A162" s="316" t="s">
        <v>2421</v>
      </c>
      <c r="B162" s="313">
        <v>38644</v>
      </c>
      <c r="C162" s="316" t="s">
        <v>2407</v>
      </c>
      <c r="D162" s="314">
        <v>20</v>
      </c>
      <c r="E162" s="314">
        <v>30</v>
      </c>
    </row>
    <row r="163" spans="1:5" x14ac:dyDescent="0.25">
      <c r="A163" s="316" t="s">
        <v>2421</v>
      </c>
      <c r="B163" s="313">
        <v>38644</v>
      </c>
      <c r="C163" s="316" t="s">
        <v>2407</v>
      </c>
      <c r="D163" s="314">
        <v>30</v>
      </c>
      <c r="E163" s="314">
        <v>60</v>
      </c>
    </row>
    <row r="164" spans="1:5" x14ac:dyDescent="0.25">
      <c r="A164" s="316" t="s">
        <v>2421</v>
      </c>
      <c r="B164" s="313">
        <v>38644</v>
      </c>
      <c r="C164" s="316" t="s">
        <v>2407</v>
      </c>
      <c r="D164" s="314">
        <v>60</v>
      </c>
      <c r="E164" s="314">
        <v>100</v>
      </c>
    </row>
    <row r="165" spans="1:5" x14ac:dyDescent="0.25">
      <c r="A165" s="316" t="s">
        <v>2422</v>
      </c>
      <c r="B165" s="313">
        <v>38644</v>
      </c>
      <c r="C165" s="316" t="s">
        <v>2409</v>
      </c>
      <c r="D165" s="314">
        <v>0</v>
      </c>
      <c r="E165" s="314">
        <v>5</v>
      </c>
    </row>
    <row r="166" spans="1:5" x14ac:dyDescent="0.25">
      <c r="A166" s="316" t="s">
        <v>2422</v>
      </c>
      <c r="B166" s="313">
        <v>38644</v>
      </c>
      <c r="C166" s="316" t="s">
        <v>2409</v>
      </c>
      <c r="D166" s="314">
        <v>5</v>
      </c>
      <c r="E166" s="314">
        <v>10</v>
      </c>
    </row>
    <row r="167" spans="1:5" x14ac:dyDescent="0.25">
      <c r="A167" s="316" t="s">
        <v>2422</v>
      </c>
      <c r="B167" s="313">
        <v>38644</v>
      </c>
      <c r="C167" s="316" t="s">
        <v>2409</v>
      </c>
      <c r="D167" s="314">
        <v>10</v>
      </c>
      <c r="E167" s="314">
        <v>20</v>
      </c>
    </row>
    <row r="168" spans="1:5" x14ac:dyDescent="0.25">
      <c r="A168" s="316" t="s">
        <v>2422</v>
      </c>
      <c r="B168" s="313">
        <v>38644</v>
      </c>
      <c r="C168" s="316" t="s">
        <v>2409</v>
      </c>
      <c r="D168" s="314">
        <v>20</v>
      </c>
      <c r="E168" s="314">
        <v>30</v>
      </c>
    </row>
    <row r="169" spans="1:5" x14ac:dyDescent="0.25">
      <c r="A169" s="316" t="s">
        <v>2422</v>
      </c>
      <c r="B169" s="313">
        <v>38644</v>
      </c>
      <c r="C169" s="316" t="s">
        <v>2409</v>
      </c>
      <c r="D169" s="314">
        <v>30</v>
      </c>
      <c r="E169" s="314">
        <v>60</v>
      </c>
    </row>
    <row r="170" spans="1:5" x14ac:dyDescent="0.25">
      <c r="A170" s="316" t="s">
        <v>2422</v>
      </c>
      <c r="B170" s="313">
        <v>38644</v>
      </c>
      <c r="C170" s="316" t="s">
        <v>2409</v>
      </c>
      <c r="D170" s="314">
        <v>60</v>
      </c>
      <c r="E170" s="314">
        <v>100</v>
      </c>
    </row>
    <row r="171" spans="1:5" x14ac:dyDescent="0.25">
      <c r="A171" s="316" t="s">
        <v>2423</v>
      </c>
      <c r="B171" s="313">
        <v>38644</v>
      </c>
      <c r="C171" s="316" t="s">
        <v>2405</v>
      </c>
      <c r="D171" s="314">
        <v>0</v>
      </c>
      <c r="E171" s="314">
        <v>5</v>
      </c>
    </row>
    <row r="172" spans="1:5" x14ac:dyDescent="0.25">
      <c r="A172" s="316" t="s">
        <v>2423</v>
      </c>
      <c r="B172" s="313">
        <v>38644</v>
      </c>
      <c r="C172" s="316" t="s">
        <v>2405</v>
      </c>
      <c r="D172" s="314">
        <v>5</v>
      </c>
      <c r="E172" s="314">
        <v>10</v>
      </c>
    </row>
    <row r="173" spans="1:5" x14ac:dyDescent="0.25">
      <c r="A173" s="316" t="s">
        <v>2423</v>
      </c>
      <c r="B173" s="313">
        <v>38644</v>
      </c>
      <c r="C173" s="316" t="s">
        <v>2405</v>
      </c>
      <c r="D173" s="314">
        <v>10</v>
      </c>
      <c r="E173" s="314">
        <v>20</v>
      </c>
    </row>
    <row r="174" spans="1:5" x14ac:dyDescent="0.25">
      <c r="A174" s="316" t="s">
        <v>2423</v>
      </c>
      <c r="B174" s="313">
        <v>38644</v>
      </c>
      <c r="C174" s="316" t="s">
        <v>2405</v>
      </c>
      <c r="D174" s="314">
        <v>20</v>
      </c>
      <c r="E174" s="314">
        <v>30</v>
      </c>
    </row>
    <row r="175" spans="1:5" x14ac:dyDescent="0.25">
      <c r="A175" s="316" t="s">
        <v>2423</v>
      </c>
      <c r="B175" s="313">
        <v>38644</v>
      </c>
      <c r="C175" s="316" t="s">
        <v>2405</v>
      </c>
      <c r="D175" s="314">
        <v>30</v>
      </c>
      <c r="E175" s="314">
        <v>60</v>
      </c>
    </row>
    <row r="176" spans="1:5" x14ac:dyDescent="0.25">
      <c r="A176" s="316" t="s">
        <v>2423</v>
      </c>
      <c r="B176" s="313">
        <v>38644</v>
      </c>
      <c r="C176" s="316" t="s">
        <v>2405</v>
      </c>
      <c r="D176" s="314">
        <v>60</v>
      </c>
      <c r="E176" s="314">
        <v>100</v>
      </c>
    </row>
    <row r="177" spans="1:5" x14ac:dyDescent="0.25">
      <c r="A177" s="316" t="s">
        <v>2424</v>
      </c>
      <c r="B177" s="313">
        <v>38644</v>
      </c>
      <c r="C177" s="316" t="s">
        <v>2403</v>
      </c>
      <c r="D177" s="314">
        <v>0</v>
      </c>
      <c r="E177" s="314">
        <v>5</v>
      </c>
    </row>
    <row r="178" spans="1:5" x14ac:dyDescent="0.25">
      <c r="A178" s="316" t="s">
        <v>2424</v>
      </c>
      <c r="B178" s="313">
        <v>38644</v>
      </c>
      <c r="C178" s="316" t="s">
        <v>2403</v>
      </c>
      <c r="D178" s="314">
        <v>5</v>
      </c>
      <c r="E178" s="314">
        <v>10</v>
      </c>
    </row>
    <row r="179" spans="1:5" x14ac:dyDescent="0.25">
      <c r="A179" s="316" t="s">
        <v>2424</v>
      </c>
      <c r="B179" s="313">
        <v>38644</v>
      </c>
      <c r="C179" s="316" t="s">
        <v>2403</v>
      </c>
      <c r="D179" s="314">
        <v>10</v>
      </c>
      <c r="E179" s="314">
        <v>20</v>
      </c>
    </row>
    <row r="180" spans="1:5" x14ac:dyDescent="0.25">
      <c r="A180" s="316" t="s">
        <v>2424</v>
      </c>
      <c r="B180" s="313">
        <v>38644</v>
      </c>
      <c r="C180" s="316" t="s">
        <v>2403</v>
      </c>
      <c r="D180" s="314">
        <v>20</v>
      </c>
      <c r="E180" s="314">
        <v>30</v>
      </c>
    </row>
    <row r="181" spans="1:5" x14ac:dyDescent="0.25">
      <c r="A181" s="316" t="s">
        <v>2424</v>
      </c>
      <c r="B181" s="313">
        <v>38644</v>
      </c>
      <c r="C181" s="316" t="s">
        <v>2403</v>
      </c>
      <c r="D181" s="314">
        <v>30</v>
      </c>
      <c r="E181" s="314">
        <v>60</v>
      </c>
    </row>
    <row r="182" spans="1:5" x14ac:dyDescent="0.25">
      <c r="A182" s="316" t="s">
        <v>2424</v>
      </c>
      <c r="B182" s="313">
        <v>38644</v>
      </c>
      <c r="C182" s="316" t="s">
        <v>2403</v>
      </c>
      <c r="D182" s="314">
        <v>60</v>
      </c>
      <c r="E182" s="314">
        <v>100</v>
      </c>
    </row>
    <row r="183" spans="1:5" x14ac:dyDescent="0.25">
      <c r="A183" s="316" t="s">
        <v>2425</v>
      </c>
      <c r="B183" s="313">
        <v>38644</v>
      </c>
      <c r="C183" s="316" t="s">
        <v>2399</v>
      </c>
      <c r="D183" s="314">
        <v>0</v>
      </c>
      <c r="E183" s="314">
        <v>5</v>
      </c>
    </row>
    <row r="184" spans="1:5" x14ac:dyDescent="0.25">
      <c r="A184" s="316" t="s">
        <v>2425</v>
      </c>
      <c r="B184" s="313">
        <v>38644</v>
      </c>
      <c r="C184" s="316" t="s">
        <v>2399</v>
      </c>
      <c r="D184" s="314">
        <v>5</v>
      </c>
      <c r="E184" s="314">
        <v>10</v>
      </c>
    </row>
    <row r="185" spans="1:5" x14ac:dyDescent="0.25">
      <c r="A185" s="316" t="s">
        <v>2425</v>
      </c>
      <c r="B185" s="313">
        <v>38644</v>
      </c>
      <c r="C185" s="316" t="s">
        <v>2399</v>
      </c>
      <c r="D185" s="314">
        <v>10</v>
      </c>
      <c r="E185" s="314">
        <v>20</v>
      </c>
    </row>
    <row r="186" spans="1:5" x14ac:dyDescent="0.25">
      <c r="A186" s="316" t="s">
        <v>2425</v>
      </c>
      <c r="B186" s="313">
        <v>38644</v>
      </c>
      <c r="C186" s="316" t="s">
        <v>2399</v>
      </c>
      <c r="D186" s="314">
        <v>20</v>
      </c>
      <c r="E186" s="314">
        <v>30</v>
      </c>
    </row>
    <row r="187" spans="1:5" x14ac:dyDescent="0.25">
      <c r="A187" s="316" t="s">
        <v>2425</v>
      </c>
      <c r="B187" s="313">
        <v>38644</v>
      </c>
      <c r="C187" s="316" t="s">
        <v>2399</v>
      </c>
      <c r="D187" s="314">
        <v>30</v>
      </c>
      <c r="E187" s="314">
        <v>60</v>
      </c>
    </row>
    <row r="188" spans="1:5" x14ac:dyDescent="0.25">
      <c r="A188" s="316" t="s">
        <v>2425</v>
      </c>
      <c r="B188" s="313">
        <v>38644</v>
      </c>
      <c r="C188" s="316" t="s">
        <v>2399</v>
      </c>
      <c r="D188" s="314">
        <v>60</v>
      </c>
      <c r="E188" s="314">
        <v>100</v>
      </c>
    </row>
    <row r="189" spans="1:5" x14ac:dyDescent="0.25">
      <c r="A189" s="316" t="s">
        <v>2426</v>
      </c>
      <c r="B189" s="313">
        <v>38644</v>
      </c>
      <c r="C189" s="316" t="s">
        <v>2397</v>
      </c>
      <c r="D189" s="314">
        <v>0</v>
      </c>
      <c r="E189" s="314">
        <v>5</v>
      </c>
    </row>
    <row r="190" spans="1:5" x14ac:dyDescent="0.25">
      <c r="A190" s="316" t="s">
        <v>2426</v>
      </c>
      <c r="B190" s="313">
        <v>38644</v>
      </c>
      <c r="C190" s="316" t="s">
        <v>2397</v>
      </c>
      <c r="D190" s="314">
        <v>5</v>
      </c>
      <c r="E190" s="314">
        <v>10</v>
      </c>
    </row>
    <row r="191" spans="1:5" x14ac:dyDescent="0.25">
      <c r="A191" s="316" t="s">
        <v>2426</v>
      </c>
      <c r="B191" s="313">
        <v>38644</v>
      </c>
      <c r="C191" s="316" t="s">
        <v>2397</v>
      </c>
      <c r="D191" s="314">
        <v>10</v>
      </c>
      <c r="E191" s="314">
        <v>20</v>
      </c>
    </row>
    <row r="192" spans="1:5" x14ac:dyDescent="0.25">
      <c r="A192" s="316" t="s">
        <v>2426</v>
      </c>
      <c r="B192" s="313">
        <v>38644</v>
      </c>
      <c r="C192" s="316" t="s">
        <v>2397</v>
      </c>
      <c r="D192" s="314">
        <v>20</v>
      </c>
      <c r="E192" s="314">
        <v>30</v>
      </c>
    </row>
    <row r="193" spans="1:5" x14ac:dyDescent="0.25">
      <c r="A193" s="316" t="s">
        <v>2426</v>
      </c>
      <c r="B193" s="313">
        <v>38644</v>
      </c>
      <c r="C193" s="316" t="s">
        <v>2397</v>
      </c>
      <c r="D193" s="314">
        <v>30</v>
      </c>
      <c r="E193" s="314">
        <v>60</v>
      </c>
    </row>
    <row r="194" spans="1:5" x14ac:dyDescent="0.25">
      <c r="A194" s="316" t="s">
        <v>2426</v>
      </c>
      <c r="B194" s="313">
        <v>38644</v>
      </c>
      <c r="C194" s="316" t="s">
        <v>2397</v>
      </c>
      <c r="D194" s="314">
        <v>60</v>
      </c>
      <c r="E194" s="314">
        <v>100</v>
      </c>
    </row>
    <row r="195" spans="1:5" x14ac:dyDescent="0.25">
      <c r="A195" s="316" t="s">
        <v>2427</v>
      </c>
      <c r="B195" s="313">
        <v>38644</v>
      </c>
      <c r="C195" s="316" t="s">
        <v>2401</v>
      </c>
      <c r="D195" s="314">
        <v>0</v>
      </c>
      <c r="E195" s="314">
        <v>5</v>
      </c>
    </row>
    <row r="196" spans="1:5" x14ac:dyDescent="0.25">
      <c r="A196" s="316" t="s">
        <v>2427</v>
      </c>
      <c r="B196" s="313">
        <v>38644</v>
      </c>
      <c r="C196" s="316" t="s">
        <v>2401</v>
      </c>
      <c r="D196" s="314">
        <v>5</v>
      </c>
      <c r="E196" s="314">
        <v>10</v>
      </c>
    </row>
    <row r="197" spans="1:5" x14ac:dyDescent="0.25">
      <c r="A197" s="316" t="s">
        <v>2427</v>
      </c>
      <c r="B197" s="313">
        <v>38644</v>
      </c>
      <c r="C197" s="316" t="s">
        <v>2401</v>
      </c>
      <c r="D197" s="314">
        <v>10</v>
      </c>
      <c r="E197" s="314">
        <v>20</v>
      </c>
    </row>
    <row r="198" spans="1:5" x14ac:dyDescent="0.25">
      <c r="A198" s="316" t="s">
        <v>2427</v>
      </c>
      <c r="B198" s="313">
        <v>38644</v>
      </c>
      <c r="C198" s="316" t="s">
        <v>2401</v>
      </c>
      <c r="D198" s="314">
        <v>20</v>
      </c>
      <c r="E198" s="314">
        <v>30</v>
      </c>
    </row>
    <row r="199" spans="1:5" x14ac:dyDescent="0.25">
      <c r="A199" s="316" t="s">
        <v>2427</v>
      </c>
      <c r="B199" s="313">
        <v>38644</v>
      </c>
      <c r="C199" s="316" t="s">
        <v>2401</v>
      </c>
      <c r="D199" s="314">
        <v>30</v>
      </c>
      <c r="E199" s="314">
        <v>60</v>
      </c>
    </row>
    <row r="200" spans="1:5" x14ac:dyDescent="0.25">
      <c r="A200" s="316" t="s">
        <v>2427</v>
      </c>
      <c r="B200" s="313">
        <v>38644</v>
      </c>
      <c r="C200" s="316" t="s">
        <v>2401</v>
      </c>
      <c r="D200" s="314">
        <v>60</v>
      </c>
      <c r="E200" s="314">
        <v>100</v>
      </c>
    </row>
    <row r="201" spans="1:5" x14ac:dyDescent="0.25">
      <c r="A201" s="316" t="s">
        <v>2428</v>
      </c>
      <c r="B201" s="313">
        <v>38645</v>
      </c>
      <c r="C201" s="316" t="s">
        <v>2389</v>
      </c>
      <c r="D201" s="314">
        <v>0</v>
      </c>
      <c r="E201" s="314">
        <v>5</v>
      </c>
    </row>
    <row r="202" spans="1:5" x14ac:dyDescent="0.25">
      <c r="A202" s="316" t="s">
        <v>2428</v>
      </c>
      <c r="B202" s="313">
        <v>38645</v>
      </c>
      <c r="C202" s="316" t="s">
        <v>2389</v>
      </c>
      <c r="D202" s="314">
        <v>5</v>
      </c>
      <c r="E202" s="314">
        <v>10</v>
      </c>
    </row>
    <row r="203" spans="1:5" x14ac:dyDescent="0.25">
      <c r="A203" s="316" t="s">
        <v>2428</v>
      </c>
      <c r="B203" s="313">
        <v>38645</v>
      </c>
      <c r="C203" s="316" t="s">
        <v>2389</v>
      </c>
      <c r="D203" s="314">
        <v>10</v>
      </c>
      <c r="E203" s="314">
        <v>20</v>
      </c>
    </row>
    <row r="204" spans="1:5" x14ac:dyDescent="0.25">
      <c r="A204" s="316" t="s">
        <v>2428</v>
      </c>
      <c r="B204" s="313">
        <v>38645</v>
      </c>
      <c r="C204" s="316" t="s">
        <v>2389</v>
      </c>
      <c r="D204" s="314">
        <v>20</v>
      </c>
      <c r="E204" s="314">
        <v>30</v>
      </c>
    </row>
    <row r="205" spans="1:5" x14ac:dyDescent="0.25">
      <c r="A205" s="316" t="s">
        <v>2428</v>
      </c>
      <c r="B205" s="313">
        <v>38645</v>
      </c>
      <c r="C205" s="316" t="s">
        <v>2389</v>
      </c>
      <c r="D205" s="314">
        <v>30</v>
      </c>
      <c r="E205" s="314">
        <v>60</v>
      </c>
    </row>
    <row r="206" spans="1:5" x14ac:dyDescent="0.25">
      <c r="A206" s="316" t="s">
        <v>2428</v>
      </c>
      <c r="B206" s="313">
        <v>38645</v>
      </c>
      <c r="C206" s="316" t="s">
        <v>2389</v>
      </c>
      <c r="D206" s="314">
        <v>60</v>
      </c>
      <c r="E206" s="314">
        <v>100</v>
      </c>
    </row>
    <row r="207" spans="1:5" x14ac:dyDescent="0.25">
      <c r="A207" s="316" t="s">
        <v>2429</v>
      </c>
      <c r="B207" s="313">
        <v>38645</v>
      </c>
      <c r="C207" s="316" t="s">
        <v>2381</v>
      </c>
      <c r="D207" s="314">
        <v>0</v>
      </c>
      <c r="E207" s="314">
        <v>5</v>
      </c>
    </row>
    <row r="208" spans="1:5" x14ac:dyDescent="0.25">
      <c r="A208" s="316" t="s">
        <v>2429</v>
      </c>
      <c r="B208" s="313">
        <v>38645</v>
      </c>
      <c r="C208" s="316" t="s">
        <v>2381</v>
      </c>
      <c r="D208" s="314">
        <v>5</v>
      </c>
      <c r="E208" s="314">
        <v>10</v>
      </c>
    </row>
    <row r="209" spans="1:5" x14ac:dyDescent="0.25">
      <c r="A209" s="316" t="s">
        <v>2429</v>
      </c>
      <c r="B209" s="313">
        <v>38645</v>
      </c>
      <c r="C209" s="316" t="s">
        <v>2381</v>
      </c>
      <c r="D209" s="314">
        <v>10</v>
      </c>
      <c r="E209" s="314">
        <v>20</v>
      </c>
    </row>
    <row r="210" spans="1:5" x14ac:dyDescent="0.25">
      <c r="A210" s="316" t="s">
        <v>2429</v>
      </c>
      <c r="B210" s="313">
        <v>38645</v>
      </c>
      <c r="C210" s="316" t="s">
        <v>2381</v>
      </c>
      <c r="D210" s="314">
        <v>20</v>
      </c>
      <c r="E210" s="314">
        <v>30</v>
      </c>
    </row>
    <row r="211" spans="1:5" x14ac:dyDescent="0.25">
      <c r="A211" s="316" t="s">
        <v>2429</v>
      </c>
      <c r="B211" s="313">
        <v>38645</v>
      </c>
      <c r="C211" s="316" t="s">
        <v>2381</v>
      </c>
      <c r="D211" s="314">
        <v>30</v>
      </c>
      <c r="E211" s="314">
        <v>60</v>
      </c>
    </row>
    <row r="212" spans="1:5" x14ac:dyDescent="0.25">
      <c r="A212" s="316" t="s">
        <v>2429</v>
      </c>
      <c r="B212" s="313">
        <v>38645</v>
      </c>
      <c r="C212" s="316" t="s">
        <v>2381</v>
      </c>
      <c r="D212" s="314">
        <v>60</v>
      </c>
      <c r="E212" s="314">
        <v>100</v>
      </c>
    </row>
    <row r="213" spans="1:5" x14ac:dyDescent="0.25">
      <c r="A213" s="316" t="s">
        <v>2430</v>
      </c>
      <c r="B213" s="313">
        <v>38645</v>
      </c>
      <c r="C213" s="316" t="s">
        <v>2395</v>
      </c>
      <c r="D213" s="314">
        <v>0</v>
      </c>
      <c r="E213" s="314">
        <v>5</v>
      </c>
    </row>
    <row r="214" spans="1:5" x14ac:dyDescent="0.25">
      <c r="A214" s="316" t="s">
        <v>2430</v>
      </c>
      <c r="B214" s="313">
        <v>38645</v>
      </c>
      <c r="C214" s="316" t="s">
        <v>2395</v>
      </c>
      <c r="D214" s="314">
        <v>5</v>
      </c>
      <c r="E214" s="314">
        <v>10</v>
      </c>
    </row>
    <row r="215" spans="1:5" x14ac:dyDescent="0.25">
      <c r="A215" s="316" t="s">
        <v>2430</v>
      </c>
      <c r="B215" s="313">
        <v>38645</v>
      </c>
      <c r="C215" s="316" t="s">
        <v>2395</v>
      </c>
      <c r="D215" s="314">
        <v>10</v>
      </c>
      <c r="E215" s="314">
        <v>20</v>
      </c>
    </row>
    <row r="216" spans="1:5" x14ac:dyDescent="0.25">
      <c r="A216" s="316" t="s">
        <v>2430</v>
      </c>
      <c r="B216" s="313">
        <v>38645</v>
      </c>
      <c r="C216" s="316" t="s">
        <v>2395</v>
      </c>
      <c r="D216" s="314">
        <v>20</v>
      </c>
      <c r="E216" s="314">
        <v>30</v>
      </c>
    </row>
    <row r="217" spans="1:5" x14ac:dyDescent="0.25">
      <c r="A217" s="316" t="s">
        <v>2430</v>
      </c>
      <c r="B217" s="313">
        <v>38645</v>
      </c>
      <c r="C217" s="316" t="s">
        <v>2395</v>
      </c>
      <c r="D217" s="314">
        <v>30</v>
      </c>
      <c r="E217" s="314">
        <v>60</v>
      </c>
    </row>
    <row r="218" spans="1:5" x14ac:dyDescent="0.25">
      <c r="A218" s="316" t="s">
        <v>2430</v>
      </c>
      <c r="B218" s="313">
        <v>38645</v>
      </c>
      <c r="C218" s="316" t="s">
        <v>2395</v>
      </c>
      <c r="D218" s="314">
        <v>60</v>
      </c>
      <c r="E218" s="314">
        <v>100</v>
      </c>
    </row>
    <row r="219" spans="1:5" x14ac:dyDescent="0.25">
      <c r="A219" s="316" t="s">
        <v>2431</v>
      </c>
      <c r="B219" s="313">
        <v>38645</v>
      </c>
      <c r="C219" s="316" t="s">
        <v>2393</v>
      </c>
      <c r="D219" s="314">
        <v>0</v>
      </c>
      <c r="E219" s="314">
        <v>5</v>
      </c>
    </row>
    <row r="220" spans="1:5" x14ac:dyDescent="0.25">
      <c r="A220" s="316" t="s">
        <v>2431</v>
      </c>
      <c r="B220" s="313">
        <v>38645</v>
      </c>
      <c r="C220" s="316" t="s">
        <v>2393</v>
      </c>
      <c r="D220" s="314">
        <v>5</v>
      </c>
      <c r="E220" s="314">
        <v>10</v>
      </c>
    </row>
    <row r="221" spans="1:5" x14ac:dyDescent="0.25">
      <c r="A221" s="316" t="s">
        <v>2431</v>
      </c>
      <c r="B221" s="313">
        <v>38645</v>
      </c>
      <c r="C221" s="316" t="s">
        <v>2393</v>
      </c>
      <c r="D221" s="314">
        <v>10</v>
      </c>
      <c r="E221" s="314">
        <v>20</v>
      </c>
    </row>
    <row r="222" spans="1:5" x14ac:dyDescent="0.25">
      <c r="A222" s="316" t="s">
        <v>2431</v>
      </c>
      <c r="B222" s="313">
        <v>38645</v>
      </c>
      <c r="C222" s="316" t="s">
        <v>2393</v>
      </c>
      <c r="D222" s="314">
        <v>20</v>
      </c>
      <c r="E222" s="314">
        <v>30</v>
      </c>
    </row>
    <row r="223" spans="1:5" x14ac:dyDescent="0.25">
      <c r="A223" s="316" t="s">
        <v>2431</v>
      </c>
      <c r="B223" s="313">
        <v>38645</v>
      </c>
      <c r="C223" s="316" t="s">
        <v>2393</v>
      </c>
      <c r="D223" s="314">
        <v>30</v>
      </c>
      <c r="E223" s="314">
        <v>60</v>
      </c>
    </row>
    <row r="224" spans="1:5" x14ac:dyDescent="0.25">
      <c r="A224" s="316" t="s">
        <v>2431</v>
      </c>
      <c r="B224" s="313">
        <v>38645</v>
      </c>
      <c r="C224" s="316" t="s">
        <v>2393</v>
      </c>
      <c r="D224" s="314">
        <v>60</v>
      </c>
      <c r="E224" s="314">
        <v>100</v>
      </c>
    </row>
    <row r="225" spans="1:5" x14ac:dyDescent="0.25">
      <c r="A225" s="316" t="s">
        <v>2432</v>
      </c>
      <c r="B225" s="313">
        <v>38645</v>
      </c>
      <c r="C225" s="316" t="s">
        <v>2387</v>
      </c>
      <c r="D225" s="314">
        <v>0</v>
      </c>
      <c r="E225" s="314">
        <v>5</v>
      </c>
    </row>
    <row r="226" spans="1:5" x14ac:dyDescent="0.25">
      <c r="A226" s="316" t="s">
        <v>2432</v>
      </c>
      <c r="B226" s="313">
        <v>38645</v>
      </c>
      <c r="C226" s="316" t="s">
        <v>2387</v>
      </c>
      <c r="D226" s="314">
        <v>5</v>
      </c>
      <c r="E226" s="314">
        <v>10</v>
      </c>
    </row>
    <row r="227" spans="1:5" x14ac:dyDescent="0.25">
      <c r="A227" s="316" t="s">
        <v>2432</v>
      </c>
      <c r="B227" s="313">
        <v>38645</v>
      </c>
      <c r="C227" s="316" t="s">
        <v>2387</v>
      </c>
      <c r="D227" s="314">
        <v>10</v>
      </c>
      <c r="E227" s="314">
        <v>20</v>
      </c>
    </row>
    <row r="228" spans="1:5" x14ac:dyDescent="0.25">
      <c r="A228" s="316" t="s">
        <v>2432</v>
      </c>
      <c r="B228" s="313">
        <v>38645</v>
      </c>
      <c r="C228" s="316" t="s">
        <v>2387</v>
      </c>
      <c r="D228" s="314">
        <v>20</v>
      </c>
      <c r="E228" s="314">
        <v>30</v>
      </c>
    </row>
    <row r="229" spans="1:5" x14ac:dyDescent="0.25">
      <c r="A229" s="316" t="s">
        <v>2432</v>
      </c>
      <c r="B229" s="313">
        <v>38645</v>
      </c>
      <c r="C229" s="316" t="s">
        <v>2387</v>
      </c>
      <c r="D229" s="314">
        <v>30</v>
      </c>
      <c r="E229" s="314">
        <v>60</v>
      </c>
    </row>
    <row r="230" spans="1:5" x14ac:dyDescent="0.25">
      <c r="A230" s="316" t="s">
        <v>2432</v>
      </c>
      <c r="B230" s="313">
        <v>38645</v>
      </c>
      <c r="C230" s="316" t="s">
        <v>2387</v>
      </c>
      <c r="D230" s="314">
        <v>60</v>
      </c>
      <c r="E230" s="314">
        <v>100</v>
      </c>
    </row>
    <row r="231" spans="1:5" x14ac:dyDescent="0.25">
      <c r="A231" s="316" t="s">
        <v>2433</v>
      </c>
      <c r="B231" s="313">
        <v>38645</v>
      </c>
      <c r="C231" s="316" t="s">
        <v>2391</v>
      </c>
      <c r="D231" s="314">
        <v>0</v>
      </c>
      <c r="E231" s="314">
        <v>5</v>
      </c>
    </row>
    <row r="232" spans="1:5" x14ac:dyDescent="0.25">
      <c r="A232" s="316" t="s">
        <v>2433</v>
      </c>
      <c r="B232" s="313">
        <v>38645</v>
      </c>
      <c r="C232" s="316" t="s">
        <v>2391</v>
      </c>
      <c r="D232" s="314">
        <v>5</v>
      </c>
      <c r="E232" s="314">
        <v>10</v>
      </c>
    </row>
    <row r="233" spans="1:5" x14ac:dyDescent="0.25">
      <c r="A233" s="316" t="s">
        <v>2433</v>
      </c>
      <c r="B233" s="313">
        <v>38645</v>
      </c>
      <c r="C233" s="316" t="s">
        <v>2391</v>
      </c>
      <c r="D233" s="314">
        <v>10</v>
      </c>
      <c r="E233" s="314">
        <v>20</v>
      </c>
    </row>
    <row r="234" spans="1:5" x14ac:dyDescent="0.25">
      <c r="A234" s="316" t="s">
        <v>2433</v>
      </c>
      <c r="B234" s="313">
        <v>38645</v>
      </c>
      <c r="C234" s="316" t="s">
        <v>2391</v>
      </c>
      <c r="D234" s="314">
        <v>20</v>
      </c>
      <c r="E234" s="314">
        <v>30</v>
      </c>
    </row>
    <row r="235" spans="1:5" x14ac:dyDescent="0.25">
      <c r="A235" s="316" t="s">
        <v>2433</v>
      </c>
      <c r="B235" s="313">
        <v>38645</v>
      </c>
      <c r="C235" s="316" t="s">
        <v>2391</v>
      </c>
      <c r="D235" s="314">
        <v>30</v>
      </c>
      <c r="E235" s="314">
        <v>60</v>
      </c>
    </row>
    <row r="236" spans="1:5" x14ac:dyDescent="0.25">
      <c r="A236" s="316" t="s">
        <v>2433</v>
      </c>
      <c r="B236" s="313">
        <v>38645</v>
      </c>
      <c r="C236" s="316" t="s">
        <v>2391</v>
      </c>
      <c r="D236" s="314">
        <v>60</v>
      </c>
      <c r="E236" s="314">
        <v>100</v>
      </c>
    </row>
    <row r="237" spans="1:5" x14ac:dyDescent="0.25">
      <c r="A237" s="316" t="s">
        <v>2434</v>
      </c>
      <c r="B237" s="313">
        <v>38645</v>
      </c>
      <c r="C237" s="316" t="s">
        <v>2383</v>
      </c>
      <c r="D237" s="314">
        <v>0</v>
      </c>
      <c r="E237" s="314">
        <v>5</v>
      </c>
    </row>
    <row r="238" spans="1:5" x14ac:dyDescent="0.25">
      <c r="A238" s="316" t="s">
        <v>2434</v>
      </c>
      <c r="B238" s="313">
        <v>38645</v>
      </c>
      <c r="C238" s="316" t="s">
        <v>2383</v>
      </c>
      <c r="D238" s="314">
        <v>5</v>
      </c>
      <c r="E238" s="314">
        <v>10</v>
      </c>
    </row>
    <row r="239" spans="1:5" x14ac:dyDescent="0.25">
      <c r="A239" s="316" t="s">
        <v>2434</v>
      </c>
      <c r="B239" s="313">
        <v>38645</v>
      </c>
      <c r="C239" s="316" t="s">
        <v>2383</v>
      </c>
      <c r="D239" s="314">
        <v>10</v>
      </c>
      <c r="E239" s="314">
        <v>20</v>
      </c>
    </row>
    <row r="240" spans="1:5" x14ac:dyDescent="0.25">
      <c r="A240" s="316" t="s">
        <v>2434</v>
      </c>
      <c r="B240" s="313">
        <v>38645</v>
      </c>
      <c r="C240" s="316" t="s">
        <v>2383</v>
      </c>
      <c r="D240" s="314">
        <v>20</v>
      </c>
      <c r="E240" s="314">
        <v>30</v>
      </c>
    </row>
    <row r="241" spans="1:5" x14ac:dyDescent="0.25">
      <c r="A241" s="316" t="s">
        <v>2434</v>
      </c>
      <c r="B241" s="313">
        <v>38645</v>
      </c>
      <c r="C241" s="316" t="s">
        <v>2383</v>
      </c>
      <c r="D241" s="314">
        <v>30</v>
      </c>
      <c r="E241" s="314">
        <v>60</v>
      </c>
    </row>
    <row r="242" spans="1:5" x14ac:dyDescent="0.25">
      <c r="A242" s="316" t="s">
        <v>2434</v>
      </c>
      <c r="B242" s="313">
        <v>38645</v>
      </c>
      <c r="C242" s="316" t="s">
        <v>2383</v>
      </c>
      <c r="D242" s="314">
        <v>60</v>
      </c>
      <c r="E242" s="314">
        <v>100</v>
      </c>
    </row>
    <row r="243" spans="1:5" x14ac:dyDescent="0.25">
      <c r="A243" s="316" t="s">
        <v>2435</v>
      </c>
      <c r="B243" s="313">
        <v>38645</v>
      </c>
      <c r="C243" s="316" t="s">
        <v>2385</v>
      </c>
      <c r="D243" s="314">
        <v>0</v>
      </c>
      <c r="E243" s="314">
        <v>5</v>
      </c>
    </row>
    <row r="244" spans="1:5" x14ac:dyDescent="0.25">
      <c r="A244" s="316" t="s">
        <v>2435</v>
      </c>
      <c r="B244" s="313">
        <v>38645</v>
      </c>
      <c r="C244" s="316" t="s">
        <v>2385</v>
      </c>
      <c r="D244" s="314">
        <v>5</v>
      </c>
      <c r="E244" s="314">
        <v>10</v>
      </c>
    </row>
    <row r="245" spans="1:5" x14ac:dyDescent="0.25">
      <c r="A245" s="316" t="s">
        <v>2435</v>
      </c>
      <c r="B245" s="313">
        <v>38645</v>
      </c>
      <c r="C245" s="316" t="s">
        <v>2385</v>
      </c>
      <c r="D245" s="314">
        <v>10</v>
      </c>
      <c r="E245" s="314">
        <v>20</v>
      </c>
    </row>
    <row r="246" spans="1:5" x14ac:dyDescent="0.25">
      <c r="A246" s="316" t="s">
        <v>2435</v>
      </c>
      <c r="B246" s="313">
        <v>38645</v>
      </c>
      <c r="C246" s="316" t="s">
        <v>2385</v>
      </c>
      <c r="D246" s="314">
        <v>20</v>
      </c>
      <c r="E246" s="314">
        <v>30</v>
      </c>
    </row>
    <row r="247" spans="1:5" x14ac:dyDescent="0.25">
      <c r="A247" s="316" t="s">
        <v>2435</v>
      </c>
      <c r="B247" s="313">
        <v>38645</v>
      </c>
      <c r="C247" s="316" t="s">
        <v>2385</v>
      </c>
      <c r="D247" s="314">
        <v>30</v>
      </c>
      <c r="E247" s="314">
        <v>60</v>
      </c>
    </row>
    <row r="248" spans="1:5" x14ac:dyDescent="0.25">
      <c r="A248" s="316" t="s">
        <v>2435</v>
      </c>
      <c r="B248" s="313">
        <v>38645</v>
      </c>
      <c r="C248" s="316" t="s">
        <v>2385</v>
      </c>
      <c r="D248" s="314">
        <v>60</v>
      </c>
      <c r="E248" s="314">
        <v>100</v>
      </c>
    </row>
    <row r="249" spans="1:5" x14ac:dyDescent="0.25">
      <c r="A249" s="316" t="s">
        <v>2436</v>
      </c>
      <c r="B249" s="313">
        <v>38645</v>
      </c>
      <c r="C249" s="316" t="s">
        <v>2407</v>
      </c>
      <c r="D249" s="314">
        <v>0</v>
      </c>
      <c r="E249" s="314">
        <v>5</v>
      </c>
    </row>
    <row r="250" spans="1:5" x14ac:dyDescent="0.25">
      <c r="A250" s="316" t="s">
        <v>2436</v>
      </c>
      <c r="B250" s="313">
        <v>38645</v>
      </c>
      <c r="C250" s="316" t="s">
        <v>2407</v>
      </c>
      <c r="D250" s="314">
        <v>5</v>
      </c>
      <c r="E250" s="314">
        <v>10</v>
      </c>
    </row>
    <row r="251" spans="1:5" x14ac:dyDescent="0.25">
      <c r="A251" s="316" t="s">
        <v>2436</v>
      </c>
      <c r="B251" s="313">
        <v>38645</v>
      </c>
      <c r="C251" s="316" t="s">
        <v>2407</v>
      </c>
      <c r="D251" s="314">
        <v>10</v>
      </c>
      <c r="E251" s="314">
        <v>20</v>
      </c>
    </row>
    <row r="252" spans="1:5" x14ac:dyDescent="0.25">
      <c r="A252" s="316" t="s">
        <v>2436</v>
      </c>
      <c r="B252" s="313">
        <v>38645</v>
      </c>
      <c r="C252" s="316" t="s">
        <v>2407</v>
      </c>
      <c r="D252" s="314">
        <v>20</v>
      </c>
      <c r="E252" s="314">
        <v>30</v>
      </c>
    </row>
    <row r="253" spans="1:5" x14ac:dyDescent="0.25">
      <c r="A253" s="316" t="s">
        <v>2436</v>
      </c>
      <c r="B253" s="313">
        <v>38645</v>
      </c>
      <c r="C253" s="316" t="s">
        <v>2407</v>
      </c>
      <c r="D253" s="314">
        <v>30</v>
      </c>
      <c r="E253" s="314">
        <v>60</v>
      </c>
    </row>
    <row r="254" spans="1:5" x14ac:dyDescent="0.25">
      <c r="A254" s="316" t="s">
        <v>2436</v>
      </c>
      <c r="B254" s="313">
        <v>38645</v>
      </c>
      <c r="C254" s="316" t="s">
        <v>2407</v>
      </c>
      <c r="D254" s="314">
        <v>60</v>
      </c>
      <c r="E254" s="314">
        <v>100</v>
      </c>
    </row>
    <row r="255" spans="1:5" x14ac:dyDescent="0.25">
      <c r="A255" s="316" t="s">
        <v>2437</v>
      </c>
      <c r="B255" s="313">
        <v>38645</v>
      </c>
      <c r="C255" s="316" t="s">
        <v>2397</v>
      </c>
      <c r="D255" s="314">
        <v>0</v>
      </c>
      <c r="E255" s="314">
        <v>5</v>
      </c>
    </row>
    <row r="256" spans="1:5" x14ac:dyDescent="0.25">
      <c r="A256" s="316" t="s">
        <v>2437</v>
      </c>
      <c r="B256" s="313">
        <v>38645</v>
      </c>
      <c r="C256" s="316" t="s">
        <v>2397</v>
      </c>
      <c r="D256" s="314">
        <v>5</v>
      </c>
      <c r="E256" s="314">
        <v>10</v>
      </c>
    </row>
    <row r="257" spans="1:5" x14ac:dyDescent="0.25">
      <c r="A257" s="316" t="s">
        <v>2437</v>
      </c>
      <c r="B257" s="313">
        <v>38645</v>
      </c>
      <c r="C257" s="316" t="s">
        <v>2397</v>
      </c>
      <c r="D257" s="314">
        <v>10</v>
      </c>
      <c r="E257" s="314">
        <v>20</v>
      </c>
    </row>
    <row r="258" spans="1:5" x14ac:dyDescent="0.25">
      <c r="A258" s="316" t="s">
        <v>2437</v>
      </c>
      <c r="B258" s="313">
        <v>38645</v>
      </c>
      <c r="C258" s="316" t="s">
        <v>2397</v>
      </c>
      <c r="D258" s="314">
        <v>20</v>
      </c>
      <c r="E258" s="314">
        <v>30</v>
      </c>
    </row>
    <row r="259" spans="1:5" x14ac:dyDescent="0.25">
      <c r="A259" s="316" t="s">
        <v>2437</v>
      </c>
      <c r="B259" s="313">
        <v>38645</v>
      </c>
      <c r="C259" s="316" t="s">
        <v>2397</v>
      </c>
      <c r="D259" s="314">
        <v>30</v>
      </c>
      <c r="E259" s="314">
        <v>60</v>
      </c>
    </row>
    <row r="260" spans="1:5" x14ac:dyDescent="0.25">
      <c r="A260" s="316" t="s">
        <v>2437</v>
      </c>
      <c r="B260" s="313">
        <v>38645</v>
      </c>
      <c r="C260" s="316" t="s">
        <v>2397</v>
      </c>
      <c r="D260" s="314">
        <v>60</v>
      </c>
      <c r="E260" s="314">
        <v>100</v>
      </c>
    </row>
    <row r="261" spans="1:5" x14ac:dyDescent="0.25">
      <c r="A261" s="316" t="s">
        <v>2438</v>
      </c>
      <c r="B261" s="313">
        <v>38645</v>
      </c>
      <c r="C261" s="316" t="s">
        <v>2401</v>
      </c>
      <c r="D261" s="314">
        <v>0</v>
      </c>
      <c r="E261" s="314">
        <v>5</v>
      </c>
    </row>
    <row r="262" spans="1:5" x14ac:dyDescent="0.25">
      <c r="A262" s="316" t="s">
        <v>2438</v>
      </c>
      <c r="B262" s="313">
        <v>38645</v>
      </c>
      <c r="C262" s="316" t="s">
        <v>2401</v>
      </c>
      <c r="D262" s="314">
        <v>5</v>
      </c>
      <c r="E262" s="314">
        <v>10</v>
      </c>
    </row>
    <row r="263" spans="1:5" x14ac:dyDescent="0.25">
      <c r="A263" s="316" t="s">
        <v>2438</v>
      </c>
      <c r="B263" s="313">
        <v>38645</v>
      </c>
      <c r="C263" s="316" t="s">
        <v>2401</v>
      </c>
      <c r="D263" s="314">
        <v>10</v>
      </c>
      <c r="E263" s="314">
        <v>20</v>
      </c>
    </row>
    <row r="264" spans="1:5" x14ac:dyDescent="0.25">
      <c r="A264" s="316" t="s">
        <v>2438</v>
      </c>
      <c r="B264" s="313">
        <v>38645</v>
      </c>
      <c r="C264" s="316" t="s">
        <v>2401</v>
      </c>
      <c r="D264" s="314">
        <v>20</v>
      </c>
      <c r="E264" s="314">
        <v>30</v>
      </c>
    </row>
    <row r="265" spans="1:5" x14ac:dyDescent="0.25">
      <c r="A265" s="316" t="s">
        <v>2438</v>
      </c>
      <c r="B265" s="313">
        <v>38645</v>
      </c>
      <c r="C265" s="316" t="s">
        <v>2401</v>
      </c>
      <c r="D265" s="314">
        <v>30</v>
      </c>
      <c r="E265" s="314">
        <v>60</v>
      </c>
    </row>
    <row r="266" spans="1:5" x14ac:dyDescent="0.25">
      <c r="A266" s="316" t="s">
        <v>2438</v>
      </c>
      <c r="B266" s="313">
        <v>38645</v>
      </c>
      <c r="C266" s="316" t="s">
        <v>2401</v>
      </c>
      <c r="D266" s="314">
        <v>60</v>
      </c>
      <c r="E266" s="314">
        <v>100</v>
      </c>
    </row>
    <row r="267" spans="1:5" x14ac:dyDescent="0.25">
      <c r="A267" s="316" t="s">
        <v>2439</v>
      </c>
      <c r="B267" s="313">
        <v>38645</v>
      </c>
      <c r="C267" s="316" t="s">
        <v>2399</v>
      </c>
      <c r="D267" s="314">
        <v>0</v>
      </c>
      <c r="E267" s="314">
        <v>5</v>
      </c>
    </row>
    <row r="268" spans="1:5" x14ac:dyDescent="0.25">
      <c r="A268" s="316" t="s">
        <v>2439</v>
      </c>
      <c r="B268" s="313">
        <v>38645</v>
      </c>
      <c r="C268" s="316" t="s">
        <v>2399</v>
      </c>
      <c r="D268" s="314">
        <v>5</v>
      </c>
      <c r="E268" s="314">
        <v>10</v>
      </c>
    </row>
    <row r="269" spans="1:5" x14ac:dyDescent="0.25">
      <c r="A269" s="316" t="s">
        <v>2439</v>
      </c>
      <c r="B269" s="313">
        <v>38645</v>
      </c>
      <c r="C269" s="316" t="s">
        <v>2399</v>
      </c>
      <c r="D269" s="314">
        <v>10</v>
      </c>
      <c r="E269" s="314">
        <v>20</v>
      </c>
    </row>
    <row r="270" spans="1:5" x14ac:dyDescent="0.25">
      <c r="A270" s="316" t="s">
        <v>2439</v>
      </c>
      <c r="B270" s="313">
        <v>38645</v>
      </c>
      <c r="C270" s="316" t="s">
        <v>2399</v>
      </c>
      <c r="D270" s="314">
        <v>20</v>
      </c>
      <c r="E270" s="314">
        <v>30</v>
      </c>
    </row>
    <row r="271" spans="1:5" x14ac:dyDescent="0.25">
      <c r="A271" s="316" t="s">
        <v>2439</v>
      </c>
      <c r="B271" s="313">
        <v>38645</v>
      </c>
      <c r="C271" s="316" t="s">
        <v>2399</v>
      </c>
      <c r="D271" s="314">
        <v>30</v>
      </c>
      <c r="E271" s="314">
        <v>60</v>
      </c>
    </row>
    <row r="272" spans="1:5" x14ac:dyDescent="0.25">
      <c r="A272" s="316" t="s">
        <v>2439</v>
      </c>
      <c r="B272" s="313">
        <v>38645</v>
      </c>
      <c r="C272" s="316" t="s">
        <v>2399</v>
      </c>
      <c r="D272" s="314">
        <v>60</v>
      </c>
      <c r="E272" s="314">
        <v>100</v>
      </c>
    </row>
    <row r="273" spans="1:5" x14ac:dyDescent="0.25">
      <c r="A273" s="316" t="s">
        <v>2440</v>
      </c>
      <c r="B273" s="313">
        <v>38645</v>
      </c>
      <c r="C273" s="316" t="s">
        <v>2411</v>
      </c>
      <c r="D273" s="314">
        <v>0</v>
      </c>
      <c r="E273" s="314">
        <v>5</v>
      </c>
    </row>
    <row r="274" spans="1:5" x14ac:dyDescent="0.25">
      <c r="A274" s="316" t="s">
        <v>2440</v>
      </c>
      <c r="B274" s="313">
        <v>38645</v>
      </c>
      <c r="C274" s="316" t="s">
        <v>2411</v>
      </c>
      <c r="D274" s="314">
        <v>5</v>
      </c>
      <c r="E274" s="314">
        <v>10</v>
      </c>
    </row>
    <row r="275" spans="1:5" x14ac:dyDescent="0.25">
      <c r="A275" s="316" t="s">
        <v>2440</v>
      </c>
      <c r="B275" s="313">
        <v>38645</v>
      </c>
      <c r="C275" s="316" t="s">
        <v>2411</v>
      </c>
      <c r="D275" s="314">
        <v>10</v>
      </c>
      <c r="E275" s="314">
        <v>20</v>
      </c>
    </row>
    <row r="276" spans="1:5" x14ac:dyDescent="0.25">
      <c r="A276" s="316" t="s">
        <v>2440</v>
      </c>
      <c r="B276" s="313">
        <v>38645</v>
      </c>
      <c r="C276" s="316" t="s">
        <v>2411</v>
      </c>
      <c r="D276" s="314">
        <v>20</v>
      </c>
      <c r="E276" s="314">
        <v>30</v>
      </c>
    </row>
    <row r="277" spans="1:5" x14ac:dyDescent="0.25">
      <c r="A277" s="316" t="s">
        <v>2440</v>
      </c>
      <c r="B277" s="313">
        <v>38645</v>
      </c>
      <c r="C277" s="316" t="s">
        <v>2411</v>
      </c>
      <c r="D277" s="314">
        <v>30</v>
      </c>
      <c r="E277" s="314">
        <v>60</v>
      </c>
    </row>
    <row r="278" spans="1:5" x14ac:dyDescent="0.25">
      <c r="A278" s="316" t="s">
        <v>2440</v>
      </c>
      <c r="B278" s="313">
        <v>38645</v>
      </c>
      <c r="C278" s="316" t="s">
        <v>2411</v>
      </c>
      <c r="D278" s="314">
        <v>60</v>
      </c>
      <c r="E278" s="314">
        <v>100</v>
      </c>
    </row>
    <row r="279" spans="1:5" x14ac:dyDescent="0.25">
      <c r="A279" s="316" t="s">
        <v>2441</v>
      </c>
      <c r="B279" s="313">
        <v>38645</v>
      </c>
      <c r="C279" s="316" t="s">
        <v>2409</v>
      </c>
      <c r="D279" s="314">
        <v>0</v>
      </c>
      <c r="E279" s="314">
        <v>5</v>
      </c>
    </row>
    <row r="280" spans="1:5" x14ac:dyDescent="0.25">
      <c r="A280" s="316" t="s">
        <v>2441</v>
      </c>
      <c r="B280" s="313">
        <v>38645</v>
      </c>
      <c r="C280" s="316" t="s">
        <v>2409</v>
      </c>
      <c r="D280" s="314">
        <v>5</v>
      </c>
      <c r="E280" s="314">
        <v>10</v>
      </c>
    </row>
    <row r="281" spans="1:5" x14ac:dyDescent="0.25">
      <c r="A281" s="316" t="s">
        <v>2441</v>
      </c>
      <c r="B281" s="313">
        <v>38645</v>
      </c>
      <c r="C281" s="316" t="s">
        <v>2409</v>
      </c>
      <c r="D281" s="314">
        <v>10</v>
      </c>
      <c r="E281" s="314">
        <v>20</v>
      </c>
    </row>
    <row r="282" spans="1:5" x14ac:dyDescent="0.25">
      <c r="A282" s="316" t="s">
        <v>2441</v>
      </c>
      <c r="B282" s="313">
        <v>38645</v>
      </c>
      <c r="C282" s="316" t="s">
        <v>2409</v>
      </c>
      <c r="D282" s="314">
        <v>20</v>
      </c>
      <c r="E282" s="314">
        <v>30</v>
      </c>
    </row>
    <row r="283" spans="1:5" x14ac:dyDescent="0.25">
      <c r="A283" s="316" t="s">
        <v>2441</v>
      </c>
      <c r="B283" s="313">
        <v>38645</v>
      </c>
      <c r="C283" s="316" t="s">
        <v>2409</v>
      </c>
      <c r="D283" s="314">
        <v>30</v>
      </c>
      <c r="E283" s="314">
        <v>60</v>
      </c>
    </row>
    <row r="284" spans="1:5" x14ac:dyDescent="0.25">
      <c r="A284" s="316" t="s">
        <v>2441</v>
      </c>
      <c r="B284" s="313">
        <v>38645</v>
      </c>
      <c r="C284" s="316" t="s">
        <v>2409</v>
      </c>
      <c r="D284" s="314">
        <v>60</v>
      </c>
      <c r="E284" s="314">
        <v>100</v>
      </c>
    </row>
    <row r="285" spans="1:5" x14ac:dyDescent="0.25">
      <c r="A285" s="316" t="s">
        <v>2442</v>
      </c>
      <c r="B285" s="313">
        <v>38645</v>
      </c>
      <c r="C285" s="316" t="s">
        <v>2403</v>
      </c>
      <c r="D285" s="314">
        <v>0</v>
      </c>
      <c r="E285" s="314">
        <v>5</v>
      </c>
    </row>
    <row r="286" spans="1:5" x14ac:dyDescent="0.25">
      <c r="A286" s="316" t="s">
        <v>2442</v>
      </c>
      <c r="B286" s="313">
        <v>38645</v>
      </c>
      <c r="C286" s="316" t="s">
        <v>2403</v>
      </c>
      <c r="D286" s="314">
        <v>5</v>
      </c>
      <c r="E286" s="314">
        <v>10</v>
      </c>
    </row>
    <row r="287" spans="1:5" x14ac:dyDescent="0.25">
      <c r="A287" s="316" t="s">
        <v>2442</v>
      </c>
      <c r="B287" s="313">
        <v>38645</v>
      </c>
      <c r="C287" s="316" t="s">
        <v>2403</v>
      </c>
      <c r="D287" s="314">
        <v>10</v>
      </c>
      <c r="E287" s="314">
        <v>20</v>
      </c>
    </row>
    <row r="288" spans="1:5" x14ac:dyDescent="0.25">
      <c r="A288" s="316" t="s">
        <v>2442</v>
      </c>
      <c r="B288" s="313">
        <v>38645</v>
      </c>
      <c r="C288" s="316" t="s">
        <v>2403</v>
      </c>
      <c r="D288" s="314">
        <v>20</v>
      </c>
      <c r="E288" s="314">
        <v>30</v>
      </c>
    </row>
    <row r="289" spans="1:5" x14ac:dyDescent="0.25">
      <c r="A289" s="316" t="s">
        <v>2442</v>
      </c>
      <c r="B289" s="313">
        <v>38645</v>
      </c>
      <c r="C289" s="316" t="s">
        <v>2403</v>
      </c>
      <c r="D289" s="314">
        <v>30</v>
      </c>
      <c r="E289" s="314">
        <v>60</v>
      </c>
    </row>
    <row r="290" spans="1:5" x14ac:dyDescent="0.25">
      <c r="A290" s="316" t="s">
        <v>2442</v>
      </c>
      <c r="B290" s="313">
        <v>38645</v>
      </c>
      <c r="C290" s="316" t="s">
        <v>2403</v>
      </c>
      <c r="D290" s="314">
        <v>60</v>
      </c>
      <c r="E290" s="314">
        <v>100</v>
      </c>
    </row>
    <row r="291" spans="1:5" x14ac:dyDescent="0.25">
      <c r="A291" s="316" t="s">
        <v>2443</v>
      </c>
      <c r="B291" s="313">
        <v>38645</v>
      </c>
      <c r="C291" s="316" t="s">
        <v>2405</v>
      </c>
      <c r="D291" s="314">
        <v>0</v>
      </c>
      <c r="E291" s="314">
        <v>5</v>
      </c>
    </row>
    <row r="292" spans="1:5" x14ac:dyDescent="0.25">
      <c r="A292" s="316" t="s">
        <v>2443</v>
      </c>
      <c r="B292" s="313">
        <v>38645</v>
      </c>
      <c r="C292" s="316" t="s">
        <v>2405</v>
      </c>
      <c r="D292" s="314">
        <v>5</v>
      </c>
      <c r="E292" s="314">
        <v>10</v>
      </c>
    </row>
    <row r="293" spans="1:5" x14ac:dyDescent="0.25">
      <c r="A293" s="316" t="s">
        <v>2443</v>
      </c>
      <c r="B293" s="313">
        <v>38645</v>
      </c>
      <c r="C293" s="316" t="s">
        <v>2405</v>
      </c>
      <c r="D293" s="314">
        <v>10</v>
      </c>
      <c r="E293" s="314">
        <v>20</v>
      </c>
    </row>
    <row r="294" spans="1:5" x14ac:dyDescent="0.25">
      <c r="A294" s="316" t="s">
        <v>2443</v>
      </c>
      <c r="B294" s="313">
        <v>38645</v>
      </c>
      <c r="C294" s="316" t="s">
        <v>2405</v>
      </c>
      <c r="D294" s="314">
        <v>20</v>
      </c>
      <c r="E294" s="314">
        <v>30</v>
      </c>
    </row>
    <row r="295" spans="1:5" x14ac:dyDescent="0.25">
      <c r="A295" s="316" t="s">
        <v>2443</v>
      </c>
      <c r="B295" s="313">
        <v>38645</v>
      </c>
      <c r="C295" s="316" t="s">
        <v>2405</v>
      </c>
      <c r="D295" s="314">
        <v>30</v>
      </c>
      <c r="E295" s="314">
        <v>60</v>
      </c>
    </row>
    <row r="296" spans="1:5" x14ac:dyDescent="0.25">
      <c r="A296" s="316" t="s">
        <v>2443</v>
      </c>
      <c r="B296" s="313">
        <v>38645</v>
      </c>
      <c r="C296" s="316" t="s">
        <v>2405</v>
      </c>
      <c r="D296" s="314">
        <v>60</v>
      </c>
      <c r="E296" s="314">
        <v>100</v>
      </c>
    </row>
    <row r="297" spans="1:5" x14ac:dyDescent="0.25">
      <c r="A297" s="316" t="s">
        <v>2444</v>
      </c>
      <c r="B297" s="313">
        <v>38645</v>
      </c>
      <c r="C297" s="316" t="s">
        <v>2387</v>
      </c>
      <c r="D297" s="314">
        <v>0</v>
      </c>
      <c r="E297" s="314">
        <v>5</v>
      </c>
    </row>
    <row r="298" spans="1:5" x14ac:dyDescent="0.25">
      <c r="A298" s="316" t="s">
        <v>2444</v>
      </c>
      <c r="B298" s="313">
        <v>38645</v>
      </c>
      <c r="C298" s="316" t="s">
        <v>2387</v>
      </c>
      <c r="D298" s="314">
        <v>5</v>
      </c>
      <c r="E298" s="314">
        <v>10</v>
      </c>
    </row>
    <row r="299" spans="1:5" x14ac:dyDescent="0.25">
      <c r="A299" s="316" t="s">
        <v>2444</v>
      </c>
      <c r="B299" s="313">
        <v>38645</v>
      </c>
      <c r="C299" s="316" t="s">
        <v>2387</v>
      </c>
      <c r="D299" s="314">
        <v>10</v>
      </c>
      <c r="E299" s="314">
        <v>20</v>
      </c>
    </row>
    <row r="300" spans="1:5" x14ac:dyDescent="0.25">
      <c r="A300" s="316" t="s">
        <v>2444</v>
      </c>
      <c r="B300" s="313">
        <v>38645</v>
      </c>
      <c r="C300" s="316" t="s">
        <v>2387</v>
      </c>
      <c r="D300" s="314">
        <v>20</v>
      </c>
      <c r="E300" s="314">
        <v>30</v>
      </c>
    </row>
    <row r="301" spans="1:5" x14ac:dyDescent="0.25">
      <c r="A301" s="316" t="s">
        <v>2444</v>
      </c>
      <c r="B301" s="313">
        <v>38645</v>
      </c>
      <c r="C301" s="316" t="s">
        <v>2387</v>
      </c>
      <c r="D301" s="314">
        <v>30</v>
      </c>
      <c r="E301" s="314">
        <v>60</v>
      </c>
    </row>
    <row r="302" spans="1:5" x14ac:dyDescent="0.25">
      <c r="A302" s="316" t="s">
        <v>2444</v>
      </c>
      <c r="B302" s="313">
        <v>38645</v>
      </c>
      <c r="C302" s="316" t="s">
        <v>2387</v>
      </c>
      <c r="D302" s="314">
        <v>60</v>
      </c>
      <c r="E302" s="314">
        <v>100</v>
      </c>
    </row>
    <row r="303" spans="1:5" x14ac:dyDescent="0.25">
      <c r="A303" s="316" t="s">
        <v>2445</v>
      </c>
      <c r="B303" s="313">
        <v>38645</v>
      </c>
      <c r="C303" s="316" t="s">
        <v>2385</v>
      </c>
      <c r="D303" s="314">
        <v>0</v>
      </c>
      <c r="E303" s="314">
        <v>5</v>
      </c>
    </row>
    <row r="304" spans="1:5" x14ac:dyDescent="0.25">
      <c r="A304" s="316" t="s">
        <v>2445</v>
      </c>
      <c r="B304" s="313">
        <v>38645</v>
      </c>
      <c r="C304" s="316" t="s">
        <v>2385</v>
      </c>
      <c r="D304" s="314">
        <v>5</v>
      </c>
      <c r="E304" s="314">
        <v>10</v>
      </c>
    </row>
    <row r="305" spans="1:5" x14ac:dyDescent="0.25">
      <c r="A305" s="316" t="s">
        <v>2445</v>
      </c>
      <c r="B305" s="313">
        <v>38645</v>
      </c>
      <c r="C305" s="316" t="s">
        <v>2385</v>
      </c>
      <c r="D305" s="314">
        <v>10</v>
      </c>
      <c r="E305" s="314">
        <v>20</v>
      </c>
    </row>
    <row r="306" spans="1:5" x14ac:dyDescent="0.25">
      <c r="A306" s="316" t="s">
        <v>2445</v>
      </c>
      <c r="B306" s="313">
        <v>38645</v>
      </c>
      <c r="C306" s="316" t="s">
        <v>2385</v>
      </c>
      <c r="D306" s="314">
        <v>20</v>
      </c>
      <c r="E306" s="314">
        <v>30</v>
      </c>
    </row>
    <row r="307" spans="1:5" x14ac:dyDescent="0.25">
      <c r="A307" s="316" t="s">
        <v>2445</v>
      </c>
      <c r="B307" s="313">
        <v>38645</v>
      </c>
      <c r="C307" s="316" t="s">
        <v>2385</v>
      </c>
      <c r="D307" s="314">
        <v>30</v>
      </c>
      <c r="E307" s="314">
        <v>60</v>
      </c>
    </row>
    <row r="308" spans="1:5" x14ac:dyDescent="0.25">
      <c r="A308" s="316" t="s">
        <v>2445</v>
      </c>
      <c r="B308" s="313">
        <v>38645</v>
      </c>
      <c r="C308" s="316" t="s">
        <v>2385</v>
      </c>
      <c r="D308" s="314">
        <v>60</v>
      </c>
      <c r="E308" s="314">
        <v>100</v>
      </c>
    </row>
    <row r="309" spans="1:5" x14ac:dyDescent="0.25">
      <c r="A309" s="316" t="s">
        <v>2446</v>
      </c>
      <c r="B309" s="313">
        <v>38645</v>
      </c>
      <c r="C309" s="316" t="s">
        <v>2391</v>
      </c>
      <c r="D309" s="314">
        <v>0</v>
      </c>
      <c r="E309" s="314">
        <v>5</v>
      </c>
    </row>
    <row r="310" spans="1:5" x14ac:dyDescent="0.25">
      <c r="A310" s="316" t="s">
        <v>2446</v>
      </c>
      <c r="B310" s="313">
        <v>38645</v>
      </c>
      <c r="C310" s="316" t="s">
        <v>2391</v>
      </c>
      <c r="D310" s="314">
        <v>5</v>
      </c>
      <c r="E310" s="314">
        <v>10</v>
      </c>
    </row>
    <row r="311" spans="1:5" x14ac:dyDescent="0.25">
      <c r="A311" s="316" t="s">
        <v>2446</v>
      </c>
      <c r="B311" s="313">
        <v>38645</v>
      </c>
      <c r="C311" s="316" t="s">
        <v>2391</v>
      </c>
      <c r="D311" s="314">
        <v>10</v>
      </c>
      <c r="E311" s="314">
        <v>20</v>
      </c>
    </row>
    <row r="312" spans="1:5" x14ac:dyDescent="0.25">
      <c r="A312" s="316" t="s">
        <v>2446</v>
      </c>
      <c r="B312" s="313">
        <v>38645</v>
      </c>
      <c r="C312" s="316" t="s">
        <v>2391</v>
      </c>
      <c r="D312" s="314">
        <v>20</v>
      </c>
      <c r="E312" s="314">
        <v>30</v>
      </c>
    </row>
    <row r="313" spans="1:5" x14ac:dyDescent="0.25">
      <c r="A313" s="316" t="s">
        <v>2446</v>
      </c>
      <c r="B313" s="313">
        <v>38645</v>
      </c>
      <c r="C313" s="316" t="s">
        <v>2391</v>
      </c>
      <c r="D313" s="314">
        <v>30</v>
      </c>
      <c r="E313" s="314">
        <v>60</v>
      </c>
    </row>
    <row r="314" spans="1:5" x14ac:dyDescent="0.25">
      <c r="A314" s="316" t="s">
        <v>2446</v>
      </c>
      <c r="B314" s="313">
        <v>38645</v>
      </c>
      <c r="C314" s="316" t="s">
        <v>2391</v>
      </c>
      <c r="D314" s="314">
        <v>60</v>
      </c>
      <c r="E314" s="314">
        <v>100</v>
      </c>
    </row>
    <row r="315" spans="1:5" x14ac:dyDescent="0.25">
      <c r="A315" s="316" t="s">
        <v>2447</v>
      </c>
      <c r="B315" s="313">
        <v>38645</v>
      </c>
      <c r="C315" s="316" t="s">
        <v>2389</v>
      </c>
      <c r="D315" s="314">
        <v>0</v>
      </c>
      <c r="E315" s="314">
        <v>5</v>
      </c>
    </row>
    <row r="316" spans="1:5" x14ac:dyDescent="0.25">
      <c r="A316" s="316" t="s">
        <v>2447</v>
      </c>
      <c r="B316" s="313">
        <v>38645</v>
      </c>
      <c r="C316" s="316" t="s">
        <v>2389</v>
      </c>
      <c r="D316" s="314">
        <v>5</v>
      </c>
      <c r="E316" s="314">
        <v>10</v>
      </c>
    </row>
    <row r="317" spans="1:5" x14ac:dyDescent="0.25">
      <c r="A317" s="316" t="s">
        <v>2447</v>
      </c>
      <c r="B317" s="313">
        <v>38645</v>
      </c>
      <c r="C317" s="316" t="s">
        <v>2389</v>
      </c>
      <c r="D317" s="314">
        <v>10</v>
      </c>
      <c r="E317" s="314">
        <v>20</v>
      </c>
    </row>
    <row r="318" spans="1:5" x14ac:dyDescent="0.25">
      <c r="A318" s="316" t="s">
        <v>2447</v>
      </c>
      <c r="B318" s="313">
        <v>38645</v>
      </c>
      <c r="C318" s="316" t="s">
        <v>2389</v>
      </c>
      <c r="D318" s="314">
        <v>20</v>
      </c>
      <c r="E318" s="314">
        <v>30</v>
      </c>
    </row>
    <row r="319" spans="1:5" x14ac:dyDescent="0.25">
      <c r="A319" s="316" t="s">
        <v>2447</v>
      </c>
      <c r="B319" s="313">
        <v>38645</v>
      </c>
      <c r="C319" s="316" t="s">
        <v>2389</v>
      </c>
      <c r="D319" s="314">
        <v>30</v>
      </c>
      <c r="E319" s="314">
        <v>60</v>
      </c>
    </row>
    <row r="320" spans="1:5" x14ac:dyDescent="0.25">
      <c r="A320" s="316" t="s">
        <v>2447</v>
      </c>
      <c r="B320" s="313">
        <v>38645</v>
      </c>
      <c r="C320" s="316" t="s">
        <v>2389</v>
      </c>
      <c r="D320" s="314">
        <v>60</v>
      </c>
      <c r="E320" s="314">
        <v>100</v>
      </c>
    </row>
    <row r="321" spans="1:5" x14ac:dyDescent="0.25">
      <c r="A321" s="316" t="s">
        <v>2448</v>
      </c>
      <c r="B321" s="313">
        <v>38645</v>
      </c>
      <c r="C321" s="316" t="s">
        <v>2381</v>
      </c>
      <c r="D321" s="314">
        <v>0</v>
      </c>
      <c r="E321" s="314">
        <v>5</v>
      </c>
    </row>
    <row r="322" spans="1:5" x14ac:dyDescent="0.25">
      <c r="A322" s="316" t="s">
        <v>2448</v>
      </c>
      <c r="B322" s="313">
        <v>38645</v>
      </c>
      <c r="C322" s="316" t="s">
        <v>2381</v>
      </c>
      <c r="D322" s="314">
        <v>5</v>
      </c>
      <c r="E322" s="314">
        <v>10</v>
      </c>
    </row>
    <row r="323" spans="1:5" x14ac:dyDescent="0.25">
      <c r="A323" s="316" t="s">
        <v>2448</v>
      </c>
      <c r="B323" s="313">
        <v>38645</v>
      </c>
      <c r="C323" s="316" t="s">
        <v>2381</v>
      </c>
      <c r="D323" s="314">
        <v>10</v>
      </c>
      <c r="E323" s="314">
        <v>20</v>
      </c>
    </row>
    <row r="324" spans="1:5" x14ac:dyDescent="0.25">
      <c r="A324" s="316" t="s">
        <v>2448</v>
      </c>
      <c r="B324" s="313">
        <v>38645</v>
      </c>
      <c r="C324" s="316" t="s">
        <v>2381</v>
      </c>
      <c r="D324" s="314">
        <v>20</v>
      </c>
      <c r="E324" s="314">
        <v>30</v>
      </c>
    </row>
    <row r="325" spans="1:5" x14ac:dyDescent="0.25">
      <c r="A325" s="316" t="s">
        <v>2448</v>
      </c>
      <c r="B325" s="313">
        <v>38645</v>
      </c>
      <c r="C325" s="316" t="s">
        <v>2381</v>
      </c>
      <c r="D325" s="314">
        <v>30</v>
      </c>
      <c r="E325" s="314">
        <v>60</v>
      </c>
    </row>
    <row r="326" spans="1:5" x14ac:dyDescent="0.25">
      <c r="A326" s="316" t="s">
        <v>2448</v>
      </c>
      <c r="B326" s="313">
        <v>38645</v>
      </c>
      <c r="C326" s="316" t="s">
        <v>2381</v>
      </c>
      <c r="D326" s="314">
        <v>60</v>
      </c>
      <c r="E326" s="314">
        <v>100</v>
      </c>
    </row>
    <row r="327" spans="1:5" x14ac:dyDescent="0.25">
      <c r="A327" s="316" t="s">
        <v>2449</v>
      </c>
      <c r="B327" s="313">
        <v>38645</v>
      </c>
      <c r="C327" s="316" t="s">
        <v>2393</v>
      </c>
      <c r="D327" s="314">
        <v>0</v>
      </c>
      <c r="E327" s="314">
        <v>5</v>
      </c>
    </row>
    <row r="328" spans="1:5" x14ac:dyDescent="0.25">
      <c r="A328" s="316" t="s">
        <v>2449</v>
      </c>
      <c r="B328" s="313">
        <v>38645</v>
      </c>
      <c r="C328" s="316" t="s">
        <v>2393</v>
      </c>
      <c r="D328" s="314">
        <v>5</v>
      </c>
      <c r="E328" s="314">
        <v>10</v>
      </c>
    </row>
    <row r="329" spans="1:5" x14ac:dyDescent="0.25">
      <c r="A329" s="316" t="s">
        <v>2449</v>
      </c>
      <c r="B329" s="313">
        <v>38645</v>
      </c>
      <c r="C329" s="316" t="s">
        <v>2393</v>
      </c>
      <c r="D329" s="314">
        <v>10</v>
      </c>
      <c r="E329" s="314">
        <v>20</v>
      </c>
    </row>
    <row r="330" spans="1:5" x14ac:dyDescent="0.25">
      <c r="A330" s="316" t="s">
        <v>2449</v>
      </c>
      <c r="B330" s="313">
        <v>38645</v>
      </c>
      <c r="C330" s="316" t="s">
        <v>2393</v>
      </c>
      <c r="D330" s="314">
        <v>20</v>
      </c>
      <c r="E330" s="314">
        <v>30</v>
      </c>
    </row>
    <row r="331" spans="1:5" x14ac:dyDescent="0.25">
      <c r="A331" s="316" t="s">
        <v>2449</v>
      </c>
      <c r="B331" s="313">
        <v>38645</v>
      </c>
      <c r="C331" s="316" t="s">
        <v>2393</v>
      </c>
      <c r="D331" s="314">
        <v>30</v>
      </c>
      <c r="E331" s="314">
        <v>60</v>
      </c>
    </row>
    <row r="332" spans="1:5" x14ac:dyDescent="0.25">
      <c r="A332" s="316" t="s">
        <v>2449</v>
      </c>
      <c r="B332" s="313">
        <v>38645</v>
      </c>
      <c r="C332" s="316" t="s">
        <v>2393</v>
      </c>
      <c r="D332" s="314">
        <v>60</v>
      </c>
      <c r="E332" s="314">
        <v>100</v>
      </c>
    </row>
    <row r="333" spans="1:5" x14ac:dyDescent="0.25">
      <c r="A333" s="316" t="s">
        <v>2450</v>
      </c>
      <c r="B333" s="313">
        <v>38645</v>
      </c>
      <c r="C333" s="316" t="s">
        <v>2383</v>
      </c>
      <c r="D333" s="314">
        <v>0</v>
      </c>
      <c r="E333" s="314">
        <v>5</v>
      </c>
    </row>
    <row r="334" spans="1:5" x14ac:dyDescent="0.25">
      <c r="A334" s="316" t="s">
        <v>2450</v>
      </c>
      <c r="B334" s="313">
        <v>38645</v>
      </c>
      <c r="C334" s="316" t="s">
        <v>2383</v>
      </c>
      <c r="D334" s="314">
        <v>5</v>
      </c>
      <c r="E334" s="314">
        <v>10</v>
      </c>
    </row>
    <row r="335" spans="1:5" x14ac:dyDescent="0.25">
      <c r="A335" s="316" t="s">
        <v>2450</v>
      </c>
      <c r="B335" s="313">
        <v>38645</v>
      </c>
      <c r="C335" s="316" t="s">
        <v>2383</v>
      </c>
      <c r="D335" s="314">
        <v>10</v>
      </c>
      <c r="E335" s="314">
        <v>20</v>
      </c>
    </row>
    <row r="336" spans="1:5" x14ac:dyDescent="0.25">
      <c r="A336" s="316" t="s">
        <v>2450</v>
      </c>
      <c r="B336" s="313">
        <v>38645</v>
      </c>
      <c r="C336" s="316" t="s">
        <v>2383</v>
      </c>
      <c r="D336" s="314">
        <v>20</v>
      </c>
      <c r="E336" s="314">
        <v>30</v>
      </c>
    </row>
    <row r="337" spans="1:5" x14ac:dyDescent="0.25">
      <c r="A337" s="316" t="s">
        <v>2450</v>
      </c>
      <c r="B337" s="313">
        <v>38645</v>
      </c>
      <c r="C337" s="316" t="s">
        <v>2383</v>
      </c>
      <c r="D337" s="314">
        <v>30</v>
      </c>
      <c r="E337" s="314">
        <v>60</v>
      </c>
    </row>
    <row r="338" spans="1:5" x14ac:dyDescent="0.25">
      <c r="A338" s="316" t="s">
        <v>2450</v>
      </c>
      <c r="B338" s="313">
        <v>38645</v>
      </c>
      <c r="C338" s="316" t="s">
        <v>2383</v>
      </c>
      <c r="D338" s="314">
        <v>60</v>
      </c>
      <c r="E338" s="314">
        <v>100</v>
      </c>
    </row>
    <row r="339" spans="1:5" x14ac:dyDescent="0.25">
      <c r="A339" s="316" t="s">
        <v>2451</v>
      </c>
      <c r="B339" s="313">
        <v>38645</v>
      </c>
      <c r="C339" s="316" t="s">
        <v>2395</v>
      </c>
      <c r="D339" s="314">
        <v>0</v>
      </c>
      <c r="E339" s="314">
        <v>5</v>
      </c>
    </row>
    <row r="340" spans="1:5" x14ac:dyDescent="0.25">
      <c r="A340" s="316" t="s">
        <v>2451</v>
      </c>
      <c r="B340" s="313">
        <v>38645</v>
      </c>
      <c r="C340" s="316" t="s">
        <v>2395</v>
      </c>
      <c r="D340" s="314">
        <v>5</v>
      </c>
      <c r="E340" s="314">
        <v>10</v>
      </c>
    </row>
    <row r="341" spans="1:5" x14ac:dyDescent="0.25">
      <c r="A341" s="316" t="s">
        <v>2451</v>
      </c>
      <c r="B341" s="313">
        <v>38645</v>
      </c>
      <c r="C341" s="316" t="s">
        <v>2395</v>
      </c>
      <c r="D341" s="314">
        <v>10</v>
      </c>
      <c r="E341" s="314">
        <v>20</v>
      </c>
    </row>
    <row r="342" spans="1:5" x14ac:dyDescent="0.25">
      <c r="A342" s="316" t="s">
        <v>2451</v>
      </c>
      <c r="B342" s="313">
        <v>38645</v>
      </c>
      <c r="C342" s="316" t="s">
        <v>2395</v>
      </c>
      <c r="D342" s="314">
        <v>20</v>
      </c>
      <c r="E342" s="314">
        <v>30</v>
      </c>
    </row>
    <row r="343" spans="1:5" x14ac:dyDescent="0.25">
      <c r="A343" s="316" t="s">
        <v>2451</v>
      </c>
      <c r="B343" s="313">
        <v>38645</v>
      </c>
      <c r="C343" s="316" t="s">
        <v>2395</v>
      </c>
      <c r="D343" s="314">
        <v>30</v>
      </c>
      <c r="E343" s="314">
        <v>60</v>
      </c>
    </row>
    <row r="344" spans="1:5" x14ac:dyDescent="0.25">
      <c r="A344" s="316" t="s">
        <v>2451</v>
      </c>
      <c r="B344" s="313">
        <v>38645</v>
      </c>
      <c r="C344" s="316" t="s">
        <v>2395</v>
      </c>
      <c r="D344" s="314">
        <v>60</v>
      </c>
      <c r="E344" s="314">
        <v>100</v>
      </c>
    </row>
    <row r="345" spans="1:5" x14ac:dyDescent="0.25">
      <c r="A345" s="316" t="s">
        <v>2452</v>
      </c>
      <c r="B345" s="313">
        <v>38645</v>
      </c>
      <c r="C345" s="316" t="s">
        <v>2397</v>
      </c>
      <c r="D345" s="314">
        <v>0</v>
      </c>
      <c r="E345" s="314">
        <v>5</v>
      </c>
    </row>
    <row r="346" spans="1:5" x14ac:dyDescent="0.25">
      <c r="A346" s="316" t="s">
        <v>2452</v>
      </c>
      <c r="B346" s="313">
        <v>38645</v>
      </c>
      <c r="C346" s="316" t="s">
        <v>2397</v>
      </c>
      <c r="D346" s="314">
        <v>5</v>
      </c>
      <c r="E346" s="314">
        <v>10</v>
      </c>
    </row>
    <row r="347" spans="1:5" x14ac:dyDescent="0.25">
      <c r="A347" s="316" t="s">
        <v>2452</v>
      </c>
      <c r="B347" s="313">
        <v>38645</v>
      </c>
      <c r="C347" s="316" t="s">
        <v>2397</v>
      </c>
      <c r="D347" s="314">
        <v>10</v>
      </c>
      <c r="E347" s="314">
        <v>20</v>
      </c>
    </row>
    <row r="348" spans="1:5" x14ac:dyDescent="0.25">
      <c r="A348" s="316" t="s">
        <v>2452</v>
      </c>
      <c r="B348" s="313">
        <v>38645</v>
      </c>
      <c r="C348" s="316" t="s">
        <v>2397</v>
      </c>
      <c r="D348" s="314">
        <v>20</v>
      </c>
      <c r="E348" s="314">
        <v>30</v>
      </c>
    </row>
    <row r="349" spans="1:5" x14ac:dyDescent="0.25">
      <c r="A349" s="316" t="s">
        <v>2452</v>
      </c>
      <c r="B349" s="313">
        <v>38645</v>
      </c>
      <c r="C349" s="316" t="s">
        <v>2397</v>
      </c>
      <c r="D349" s="314">
        <v>30</v>
      </c>
      <c r="E349" s="314">
        <v>60</v>
      </c>
    </row>
    <row r="350" spans="1:5" x14ac:dyDescent="0.25">
      <c r="A350" s="316" t="s">
        <v>2452</v>
      </c>
      <c r="B350" s="313">
        <v>38645</v>
      </c>
      <c r="C350" s="316" t="s">
        <v>2397</v>
      </c>
      <c r="D350" s="314">
        <v>60</v>
      </c>
      <c r="E350" s="314">
        <v>100</v>
      </c>
    </row>
    <row r="351" spans="1:5" x14ac:dyDescent="0.25">
      <c r="A351" s="316" t="s">
        <v>2453</v>
      </c>
      <c r="B351" s="313">
        <v>38645</v>
      </c>
      <c r="C351" s="316" t="s">
        <v>2409</v>
      </c>
      <c r="D351" s="314">
        <v>0</v>
      </c>
      <c r="E351" s="314">
        <v>5</v>
      </c>
    </row>
    <row r="352" spans="1:5" x14ac:dyDescent="0.25">
      <c r="A352" s="316" t="s">
        <v>2453</v>
      </c>
      <c r="B352" s="313">
        <v>38645</v>
      </c>
      <c r="C352" s="316" t="s">
        <v>2409</v>
      </c>
      <c r="D352" s="314">
        <v>5</v>
      </c>
      <c r="E352" s="314">
        <v>10</v>
      </c>
    </row>
    <row r="353" spans="1:5" x14ac:dyDescent="0.25">
      <c r="A353" s="316" t="s">
        <v>2453</v>
      </c>
      <c r="B353" s="313">
        <v>38645</v>
      </c>
      <c r="C353" s="316" t="s">
        <v>2409</v>
      </c>
      <c r="D353" s="314">
        <v>10</v>
      </c>
      <c r="E353" s="314">
        <v>20</v>
      </c>
    </row>
    <row r="354" spans="1:5" x14ac:dyDescent="0.25">
      <c r="A354" s="316" t="s">
        <v>2453</v>
      </c>
      <c r="B354" s="313">
        <v>38645</v>
      </c>
      <c r="C354" s="316" t="s">
        <v>2409</v>
      </c>
      <c r="D354" s="314">
        <v>20</v>
      </c>
      <c r="E354" s="314">
        <v>30</v>
      </c>
    </row>
    <row r="355" spans="1:5" x14ac:dyDescent="0.25">
      <c r="A355" s="316" t="s">
        <v>2453</v>
      </c>
      <c r="B355" s="313">
        <v>38645</v>
      </c>
      <c r="C355" s="316" t="s">
        <v>2409</v>
      </c>
      <c r="D355" s="314">
        <v>30</v>
      </c>
      <c r="E355" s="314">
        <v>60</v>
      </c>
    </row>
    <row r="356" spans="1:5" x14ac:dyDescent="0.25">
      <c r="A356" s="316" t="s">
        <v>2453</v>
      </c>
      <c r="B356" s="313">
        <v>38645</v>
      </c>
      <c r="C356" s="316" t="s">
        <v>2409</v>
      </c>
      <c r="D356" s="314">
        <v>60</v>
      </c>
      <c r="E356" s="314">
        <v>100</v>
      </c>
    </row>
    <row r="357" spans="1:5" x14ac:dyDescent="0.25">
      <c r="A357" s="316" t="s">
        <v>2454</v>
      </c>
      <c r="B357" s="313">
        <v>38645</v>
      </c>
      <c r="C357" s="316" t="s">
        <v>2399</v>
      </c>
      <c r="D357" s="314">
        <v>0</v>
      </c>
      <c r="E357" s="314">
        <v>5</v>
      </c>
    </row>
    <row r="358" spans="1:5" x14ac:dyDescent="0.25">
      <c r="A358" s="316" t="s">
        <v>2454</v>
      </c>
      <c r="B358" s="313">
        <v>38645</v>
      </c>
      <c r="C358" s="316" t="s">
        <v>2399</v>
      </c>
      <c r="D358" s="314">
        <v>5</v>
      </c>
      <c r="E358" s="314">
        <v>10</v>
      </c>
    </row>
    <row r="359" spans="1:5" x14ac:dyDescent="0.25">
      <c r="A359" s="316" t="s">
        <v>2454</v>
      </c>
      <c r="B359" s="313">
        <v>38645</v>
      </c>
      <c r="C359" s="316" t="s">
        <v>2399</v>
      </c>
      <c r="D359" s="314">
        <v>10</v>
      </c>
      <c r="E359" s="314">
        <v>20</v>
      </c>
    </row>
    <row r="360" spans="1:5" x14ac:dyDescent="0.25">
      <c r="A360" s="316" t="s">
        <v>2454</v>
      </c>
      <c r="B360" s="313">
        <v>38645</v>
      </c>
      <c r="C360" s="316" t="s">
        <v>2399</v>
      </c>
      <c r="D360" s="314">
        <v>20</v>
      </c>
      <c r="E360" s="314">
        <v>30</v>
      </c>
    </row>
    <row r="361" spans="1:5" x14ac:dyDescent="0.25">
      <c r="A361" s="316" t="s">
        <v>2454</v>
      </c>
      <c r="B361" s="313">
        <v>38645</v>
      </c>
      <c r="C361" s="316" t="s">
        <v>2399</v>
      </c>
      <c r="D361" s="314">
        <v>30</v>
      </c>
      <c r="E361" s="314">
        <v>60</v>
      </c>
    </row>
    <row r="362" spans="1:5" x14ac:dyDescent="0.25">
      <c r="A362" s="316" t="s">
        <v>2454</v>
      </c>
      <c r="B362" s="313">
        <v>38645</v>
      </c>
      <c r="C362" s="316" t="s">
        <v>2399</v>
      </c>
      <c r="D362" s="314">
        <v>60</v>
      </c>
      <c r="E362" s="314">
        <v>100</v>
      </c>
    </row>
    <row r="363" spans="1:5" x14ac:dyDescent="0.25">
      <c r="A363" s="316" t="s">
        <v>2455</v>
      </c>
      <c r="B363" s="313">
        <v>38645</v>
      </c>
      <c r="C363" s="316" t="s">
        <v>2401</v>
      </c>
      <c r="D363" s="314">
        <v>0</v>
      </c>
      <c r="E363" s="314">
        <v>5</v>
      </c>
    </row>
    <row r="364" spans="1:5" x14ac:dyDescent="0.25">
      <c r="A364" s="316" t="s">
        <v>2455</v>
      </c>
      <c r="B364" s="313">
        <v>38645</v>
      </c>
      <c r="C364" s="316" t="s">
        <v>2401</v>
      </c>
      <c r="D364" s="314">
        <v>5</v>
      </c>
      <c r="E364" s="314">
        <v>10</v>
      </c>
    </row>
    <row r="365" spans="1:5" x14ac:dyDescent="0.25">
      <c r="A365" s="316" t="s">
        <v>2455</v>
      </c>
      <c r="B365" s="313">
        <v>38645</v>
      </c>
      <c r="C365" s="316" t="s">
        <v>2401</v>
      </c>
      <c r="D365" s="314">
        <v>10</v>
      </c>
      <c r="E365" s="314">
        <v>20</v>
      </c>
    </row>
    <row r="366" spans="1:5" x14ac:dyDescent="0.25">
      <c r="A366" s="316" t="s">
        <v>2455</v>
      </c>
      <c r="B366" s="313">
        <v>38645</v>
      </c>
      <c r="C366" s="316" t="s">
        <v>2401</v>
      </c>
      <c r="D366" s="314">
        <v>20</v>
      </c>
      <c r="E366" s="314">
        <v>30</v>
      </c>
    </row>
    <row r="367" spans="1:5" x14ac:dyDescent="0.25">
      <c r="A367" s="316" t="s">
        <v>2455</v>
      </c>
      <c r="B367" s="313">
        <v>38645</v>
      </c>
      <c r="C367" s="316" t="s">
        <v>2401</v>
      </c>
      <c r="D367" s="314">
        <v>30</v>
      </c>
      <c r="E367" s="314">
        <v>60</v>
      </c>
    </row>
    <row r="368" spans="1:5" x14ac:dyDescent="0.25">
      <c r="A368" s="316" t="s">
        <v>2455</v>
      </c>
      <c r="B368" s="313">
        <v>38645</v>
      </c>
      <c r="C368" s="316" t="s">
        <v>2401</v>
      </c>
      <c r="D368" s="314">
        <v>60</v>
      </c>
      <c r="E368" s="314">
        <v>100</v>
      </c>
    </row>
    <row r="369" spans="1:5" x14ac:dyDescent="0.25">
      <c r="A369" s="316" t="s">
        <v>2456</v>
      </c>
      <c r="B369" s="313">
        <v>38645</v>
      </c>
      <c r="C369" s="316" t="s">
        <v>2407</v>
      </c>
      <c r="D369" s="314">
        <v>0</v>
      </c>
      <c r="E369" s="314">
        <v>5</v>
      </c>
    </row>
    <row r="370" spans="1:5" x14ac:dyDescent="0.25">
      <c r="A370" s="316" t="s">
        <v>2456</v>
      </c>
      <c r="B370" s="313">
        <v>38645</v>
      </c>
      <c r="C370" s="316" t="s">
        <v>2407</v>
      </c>
      <c r="D370" s="314">
        <v>5</v>
      </c>
      <c r="E370" s="314">
        <v>10</v>
      </c>
    </row>
    <row r="371" spans="1:5" x14ac:dyDescent="0.25">
      <c r="A371" s="316" t="s">
        <v>2456</v>
      </c>
      <c r="B371" s="313">
        <v>38645</v>
      </c>
      <c r="C371" s="316" t="s">
        <v>2407</v>
      </c>
      <c r="D371" s="314">
        <v>10</v>
      </c>
      <c r="E371" s="314">
        <v>20</v>
      </c>
    </row>
    <row r="372" spans="1:5" x14ac:dyDescent="0.25">
      <c r="A372" s="316" t="s">
        <v>2456</v>
      </c>
      <c r="B372" s="313">
        <v>38645</v>
      </c>
      <c r="C372" s="316" t="s">
        <v>2407</v>
      </c>
      <c r="D372" s="314">
        <v>20</v>
      </c>
      <c r="E372" s="314">
        <v>30</v>
      </c>
    </row>
    <row r="373" spans="1:5" x14ac:dyDescent="0.25">
      <c r="A373" s="316" t="s">
        <v>2456</v>
      </c>
      <c r="B373" s="313">
        <v>38645</v>
      </c>
      <c r="C373" s="316" t="s">
        <v>2407</v>
      </c>
      <c r="D373" s="314">
        <v>30</v>
      </c>
      <c r="E373" s="314">
        <v>60</v>
      </c>
    </row>
    <row r="374" spans="1:5" x14ac:dyDescent="0.25">
      <c r="A374" s="316" t="s">
        <v>2456</v>
      </c>
      <c r="B374" s="313">
        <v>38645</v>
      </c>
      <c r="C374" s="316" t="s">
        <v>2407</v>
      </c>
      <c r="D374" s="314">
        <v>60</v>
      </c>
      <c r="E374" s="314">
        <v>100</v>
      </c>
    </row>
    <row r="375" spans="1:5" x14ac:dyDescent="0.25">
      <c r="A375" s="316" t="s">
        <v>2457</v>
      </c>
      <c r="B375" s="313">
        <v>38645</v>
      </c>
      <c r="C375" s="316" t="s">
        <v>2403</v>
      </c>
      <c r="D375" s="314">
        <v>0</v>
      </c>
      <c r="E375" s="314">
        <v>5</v>
      </c>
    </row>
    <row r="376" spans="1:5" x14ac:dyDescent="0.25">
      <c r="A376" s="316" t="s">
        <v>2457</v>
      </c>
      <c r="B376" s="313">
        <v>38645</v>
      </c>
      <c r="C376" s="316" t="s">
        <v>2403</v>
      </c>
      <c r="D376" s="314">
        <v>5</v>
      </c>
      <c r="E376" s="314">
        <v>10</v>
      </c>
    </row>
    <row r="377" spans="1:5" x14ac:dyDescent="0.25">
      <c r="A377" s="316" t="s">
        <v>2457</v>
      </c>
      <c r="B377" s="313">
        <v>38645</v>
      </c>
      <c r="C377" s="316" t="s">
        <v>2403</v>
      </c>
      <c r="D377" s="314">
        <v>10</v>
      </c>
      <c r="E377" s="314">
        <v>20</v>
      </c>
    </row>
    <row r="378" spans="1:5" x14ac:dyDescent="0.25">
      <c r="A378" s="316" t="s">
        <v>2457</v>
      </c>
      <c r="B378" s="313">
        <v>38645</v>
      </c>
      <c r="C378" s="316" t="s">
        <v>2403</v>
      </c>
      <c r="D378" s="314">
        <v>20</v>
      </c>
      <c r="E378" s="314">
        <v>30</v>
      </c>
    </row>
    <row r="379" spans="1:5" x14ac:dyDescent="0.25">
      <c r="A379" s="316" t="s">
        <v>2457</v>
      </c>
      <c r="B379" s="313">
        <v>38645</v>
      </c>
      <c r="C379" s="316" t="s">
        <v>2403</v>
      </c>
      <c r="D379" s="314">
        <v>30</v>
      </c>
      <c r="E379" s="314">
        <v>60</v>
      </c>
    </row>
    <row r="380" spans="1:5" x14ac:dyDescent="0.25">
      <c r="A380" s="316" t="s">
        <v>2457</v>
      </c>
      <c r="B380" s="313">
        <v>38645</v>
      </c>
      <c r="C380" s="316" t="s">
        <v>2403</v>
      </c>
      <c r="D380" s="314">
        <v>60</v>
      </c>
      <c r="E380" s="314">
        <v>100</v>
      </c>
    </row>
    <row r="381" spans="1:5" x14ac:dyDescent="0.25">
      <c r="A381" s="316" t="s">
        <v>2458</v>
      </c>
      <c r="B381" s="313">
        <v>38645</v>
      </c>
      <c r="C381" s="316" t="s">
        <v>2411</v>
      </c>
      <c r="D381" s="314">
        <v>0</v>
      </c>
      <c r="E381" s="314">
        <v>5</v>
      </c>
    </row>
    <row r="382" spans="1:5" x14ac:dyDescent="0.25">
      <c r="A382" s="316" t="s">
        <v>2458</v>
      </c>
      <c r="B382" s="313">
        <v>38645</v>
      </c>
      <c r="C382" s="316" t="s">
        <v>2411</v>
      </c>
      <c r="D382" s="314">
        <v>5</v>
      </c>
      <c r="E382" s="314">
        <v>10</v>
      </c>
    </row>
    <row r="383" spans="1:5" x14ac:dyDescent="0.25">
      <c r="A383" s="316" t="s">
        <v>2458</v>
      </c>
      <c r="B383" s="313">
        <v>38645</v>
      </c>
      <c r="C383" s="316" t="s">
        <v>2411</v>
      </c>
      <c r="D383" s="314">
        <v>10</v>
      </c>
      <c r="E383" s="314">
        <v>20</v>
      </c>
    </row>
    <row r="384" spans="1:5" x14ac:dyDescent="0.25">
      <c r="A384" s="316" t="s">
        <v>2458</v>
      </c>
      <c r="B384" s="313">
        <v>38645</v>
      </c>
      <c r="C384" s="316" t="s">
        <v>2411</v>
      </c>
      <c r="D384" s="314">
        <v>20</v>
      </c>
      <c r="E384" s="314">
        <v>30</v>
      </c>
    </row>
    <row r="385" spans="1:5" x14ac:dyDescent="0.25">
      <c r="A385" s="316" t="s">
        <v>2458</v>
      </c>
      <c r="B385" s="313">
        <v>38645</v>
      </c>
      <c r="C385" s="316" t="s">
        <v>2411</v>
      </c>
      <c r="D385" s="314">
        <v>30</v>
      </c>
      <c r="E385" s="314">
        <v>60</v>
      </c>
    </row>
    <row r="386" spans="1:5" x14ac:dyDescent="0.25">
      <c r="A386" s="316" t="s">
        <v>2458</v>
      </c>
      <c r="B386" s="313">
        <v>38645</v>
      </c>
      <c r="C386" s="316" t="s">
        <v>2411</v>
      </c>
      <c r="D386" s="314">
        <v>60</v>
      </c>
      <c r="E386" s="314">
        <v>100</v>
      </c>
    </row>
    <row r="387" spans="1:5" x14ac:dyDescent="0.25">
      <c r="A387" s="316" t="s">
        <v>2459</v>
      </c>
      <c r="B387" s="313">
        <v>38645</v>
      </c>
      <c r="C387" s="316" t="s">
        <v>2405</v>
      </c>
      <c r="D387" s="314">
        <v>0</v>
      </c>
      <c r="E387" s="314">
        <v>5</v>
      </c>
    </row>
    <row r="388" spans="1:5" x14ac:dyDescent="0.25">
      <c r="A388" s="316" t="s">
        <v>2459</v>
      </c>
      <c r="B388" s="313">
        <v>38645</v>
      </c>
      <c r="C388" s="316" t="s">
        <v>2405</v>
      </c>
      <c r="D388" s="314">
        <v>5</v>
      </c>
      <c r="E388" s="314">
        <v>10</v>
      </c>
    </row>
    <row r="389" spans="1:5" x14ac:dyDescent="0.25">
      <c r="A389" s="316" t="s">
        <v>2459</v>
      </c>
      <c r="B389" s="313">
        <v>38645</v>
      </c>
      <c r="C389" s="316" t="s">
        <v>2405</v>
      </c>
      <c r="D389" s="314">
        <v>10</v>
      </c>
      <c r="E389" s="314">
        <v>20</v>
      </c>
    </row>
    <row r="390" spans="1:5" x14ac:dyDescent="0.25">
      <c r="A390" s="316" t="s">
        <v>2459</v>
      </c>
      <c r="B390" s="313">
        <v>38645</v>
      </c>
      <c r="C390" s="316" t="s">
        <v>2405</v>
      </c>
      <c r="D390" s="314">
        <v>20</v>
      </c>
      <c r="E390" s="314">
        <v>30</v>
      </c>
    </row>
    <row r="391" spans="1:5" x14ac:dyDescent="0.25">
      <c r="A391" s="316" t="s">
        <v>2459</v>
      </c>
      <c r="B391" s="313">
        <v>38645</v>
      </c>
      <c r="C391" s="316" t="s">
        <v>2405</v>
      </c>
      <c r="D391" s="314">
        <v>30</v>
      </c>
      <c r="E391" s="314">
        <v>60</v>
      </c>
    </row>
    <row r="392" spans="1:5" x14ac:dyDescent="0.25">
      <c r="A392" s="316" t="s">
        <v>2459</v>
      </c>
      <c r="B392" s="313">
        <v>38645</v>
      </c>
      <c r="C392" s="316" t="s">
        <v>2405</v>
      </c>
      <c r="D392" s="314">
        <v>60</v>
      </c>
      <c r="E392" s="314">
        <v>100</v>
      </c>
    </row>
    <row r="393" spans="1:5" x14ac:dyDescent="0.25">
      <c r="A393" s="316" t="s">
        <v>2460</v>
      </c>
      <c r="B393" s="313">
        <v>38622</v>
      </c>
      <c r="C393" s="316" t="s">
        <v>2461</v>
      </c>
      <c r="D393" s="314">
        <v>0</v>
      </c>
      <c r="E393" s="314">
        <v>5</v>
      </c>
    </row>
    <row r="394" spans="1:5" x14ac:dyDescent="0.25">
      <c r="A394" s="316" t="s">
        <v>2460</v>
      </c>
      <c r="B394" s="313">
        <v>38622</v>
      </c>
      <c r="C394" s="316" t="s">
        <v>2461</v>
      </c>
      <c r="D394" s="314">
        <v>5</v>
      </c>
      <c r="E394" s="314">
        <v>10</v>
      </c>
    </row>
    <row r="395" spans="1:5" x14ac:dyDescent="0.25">
      <c r="A395" s="316" t="s">
        <v>2460</v>
      </c>
      <c r="B395" s="313">
        <v>38622</v>
      </c>
      <c r="C395" s="316" t="s">
        <v>2461</v>
      </c>
      <c r="D395" s="314">
        <v>10</v>
      </c>
      <c r="E395" s="314">
        <v>20</v>
      </c>
    </row>
    <row r="396" spans="1:5" x14ac:dyDescent="0.25">
      <c r="A396" s="316" t="s">
        <v>2460</v>
      </c>
      <c r="B396" s="313">
        <v>38622</v>
      </c>
      <c r="C396" s="316" t="s">
        <v>2461</v>
      </c>
      <c r="D396" s="314">
        <v>20</v>
      </c>
      <c r="E396" s="314">
        <v>30</v>
      </c>
    </row>
    <row r="397" spans="1:5" x14ac:dyDescent="0.25">
      <c r="A397" s="316" t="s">
        <v>2460</v>
      </c>
      <c r="B397" s="313">
        <v>38622</v>
      </c>
      <c r="C397" s="316" t="s">
        <v>2461</v>
      </c>
      <c r="D397" s="314">
        <v>30</v>
      </c>
      <c r="E397" s="314">
        <v>60</v>
      </c>
    </row>
    <row r="398" spans="1:5" x14ac:dyDescent="0.25">
      <c r="A398" s="316" t="s">
        <v>2460</v>
      </c>
      <c r="B398" s="313">
        <v>38622</v>
      </c>
      <c r="C398" s="316" t="s">
        <v>2461</v>
      </c>
      <c r="D398" s="314">
        <v>60</v>
      </c>
      <c r="E398" s="314">
        <v>100</v>
      </c>
    </row>
    <row r="399" spans="1:5" x14ac:dyDescent="0.25">
      <c r="A399" s="316" t="s">
        <v>2462</v>
      </c>
      <c r="B399" s="313">
        <v>38622</v>
      </c>
      <c r="C399" s="316" t="s">
        <v>2463</v>
      </c>
      <c r="D399" s="314">
        <v>0</v>
      </c>
      <c r="E399" s="314">
        <v>5</v>
      </c>
    </row>
    <row r="400" spans="1:5" x14ac:dyDescent="0.25">
      <c r="A400" s="316" t="s">
        <v>2462</v>
      </c>
      <c r="B400" s="313">
        <v>38622</v>
      </c>
      <c r="C400" s="316" t="s">
        <v>2463</v>
      </c>
      <c r="D400" s="314">
        <v>5</v>
      </c>
      <c r="E400" s="314">
        <v>10</v>
      </c>
    </row>
    <row r="401" spans="1:5" x14ac:dyDescent="0.25">
      <c r="A401" s="316" t="s">
        <v>2462</v>
      </c>
      <c r="B401" s="313">
        <v>38622</v>
      </c>
      <c r="C401" s="316" t="s">
        <v>2463</v>
      </c>
      <c r="D401" s="314">
        <v>10</v>
      </c>
      <c r="E401" s="314">
        <v>20</v>
      </c>
    </row>
    <row r="402" spans="1:5" x14ac:dyDescent="0.25">
      <c r="A402" s="316" t="s">
        <v>2462</v>
      </c>
      <c r="B402" s="313">
        <v>38622</v>
      </c>
      <c r="C402" s="316" t="s">
        <v>2463</v>
      </c>
      <c r="D402" s="314">
        <v>20</v>
      </c>
      <c r="E402" s="314">
        <v>30</v>
      </c>
    </row>
    <row r="403" spans="1:5" x14ac:dyDescent="0.25">
      <c r="A403" s="316" t="s">
        <v>2462</v>
      </c>
      <c r="B403" s="313">
        <v>38622</v>
      </c>
      <c r="C403" s="316" t="s">
        <v>2463</v>
      </c>
      <c r="D403" s="314">
        <v>30</v>
      </c>
      <c r="E403" s="314">
        <v>60</v>
      </c>
    </row>
    <row r="404" spans="1:5" x14ac:dyDescent="0.25">
      <c r="A404" s="316" t="s">
        <v>2462</v>
      </c>
      <c r="B404" s="313">
        <v>38622</v>
      </c>
      <c r="C404" s="316" t="s">
        <v>2463</v>
      </c>
      <c r="D404" s="314">
        <v>60</v>
      </c>
      <c r="E404" s="314">
        <v>100</v>
      </c>
    </row>
    <row r="405" spans="1:5" x14ac:dyDescent="0.25">
      <c r="A405" s="316" t="s">
        <v>2464</v>
      </c>
      <c r="B405" s="313">
        <v>38622</v>
      </c>
      <c r="C405" s="316" t="s">
        <v>2465</v>
      </c>
      <c r="D405" s="314">
        <v>0</v>
      </c>
      <c r="E405" s="314">
        <v>5</v>
      </c>
    </row>
    <row r="406" spans="1:5" x14ac:dyDescent="0.25">
      <c r="A406" s="316" t="s">
        <v>2464</v>
      </c>
      <c r="B406" s="313">
        <v>38622</v>
      </c>
      <c r="C406" s="316" t="s">
        <v>2465</v>
      </c>
      <c r="D406" s="314">
        <v>5</v>
      </c>
      <c r="E406" s="314">
        <v>10</v>
      </c>
    </row>
    <row r="407" spans="1:5" x14ac:dyDescent="0.25">
      <c r="A407" s="316" t="s">
        <v>2464</v>
      </c>
      <c r="B407" s="313">
        <v>38622</v>
      </c>
      <c r="C407" s="316" t="s">
        <v>2465</v>
      </c>
      <c r="D407" s="314">
        <v>10</v>
      </c>
      <c r="E407" s="314">
        <v>20</v>
      </c>
    </row>
    <row r="408" spans="1:5" x14ac:dyDescent="0.25">
      <c r="A408" s="316" t="s">
        <v>2464</v>
      </c>
      <c r="B408" s="313">
        <v>38622</v>
      </c>
      <c r="C408" s="316" t="s">
        <v>2465</v>
      </c>
      <c r="D408" s="314">
        <v>20</v>
      </c>
      <c r="E408" s="314">
        <v>30</v>
      </c>
    </row>
    <row r="409" spans="1:5" x14ac:dyDescent="0.25">
      <c r="A409" s="316" t="s">
        <v>2464</v>
      </c>
      <c r="B409" s="313">
        <v>38622</v>
      </c>
      <c r="C409" s="316" t="s">
        <v>2465</v>
      </c>
      <c r="D409" s="314">
        <v>30</v>
      </c>
      <c r="E409" s="314">
        <v>60</v>
      </c>
    </row>
    <row r="410" spans="1:5" x14ac:dyDescent="0.25">
      <c r="A410" s="316" t="s">
        <v>2464</v>
      </c>
      <c r="B410" s="313">
        <v>38622</v>
      </c>
      <c r="C410" s="316" t="s">
        <v>2465</v>
      </c>
      <c r="D410" s="314">
        <v>60</v>
      </c>
      <c r="E410" s="314">
        <v>100</v>
      </c>
    </row>
    <row r="411" spans="1:5" x14ac:dyDescent="0.25">
      <c r="A411" s="316" t="s">
        <v>2466</v>
      </c>
      <c r="B411" s="313">
        <v>38622</v>
      </c>
      <c r="C411" s="316" t="s">
        <v>2467</v>
      </c>
      <c r="D411" s="314">
        <v>0</v>
      </c>
      <c r="E411" s="314">
        <v>5</v>
      </c>
    </row>
    <row r="412" spans="1:5" x14ac:dyDescent="0.25">
      <c r="A412" s="316" t="s">
        <v>2466</v>
      </c>
      <c r="B412" s="313">
        <v>38622</v>
      </c>
      <c r="C412" s="316" t="s">
        <v>2467</v>
      </c>
      <c r="D412" s="314">
        <v>5</v>
      </c>
      <c r="E412" s="314">
        <v>10</v>
      </c>
    </row>
    <row r="413" spans="1:5" x14ac:dyDescent="0.25">
      <c r="A413" s="316" t="s">
        <v>2466</v>
      </c>
      <c r="B413" s="313">
        <v>38622</v>
      </c>
      <c r="C413" s="316" t="s">
        <v>2467</v>
      </c>
      <c r="D413" s="314">
        <v>10</v>
      </c>
      <c r="E413" s="314">
        <v>20</v>
      </c>
    </row>
    <row r="414" spans="1:5" x14ac:dyDescent="0.25">
      <c r="A414" s="316" t="s">
        <v>2466</v>
      </c>
      <c r="B414" s="313">
        <v>38622</v>
      </c>
      <c r="C414" s="316" t="s">
        <v>2467</v>
      </c>
      <c r="D414" s="314">
        <v>20</v>
      </c>
      <c r="E414" s="314">
        <v>30</v>
      </c>
    </row>
    <row r="415" spans="1:5" x14ac:dyDescent="0.25">
      <c r="A415" s="316" t="s">
        <v>2466</v>
      </c>
      <c r="B415" s="313">
        <v>38622</v>
      </c>
      <c r="C415" s="316" t="s">
        <v>2467</v>
      </c>
      <c r="D415" s="314">
        <v>30</v>
      </c>
      <c r="E415" s="314">
        <v>60</v>
      </c>
    </row>
    <row r="416" spans="1:5" x14ac:dyDescent="0.25">
      <c r="A416" s="316" t="s">
        <v>2466</v>
      </c>
      <c r="B416" s="313">
        <v>38622</v>
      </c>
      <c r="C416" s="316" t="s">
        <v>2467</v>
      </c>
      <c r="D416" s="314">
        <v>60</v>
      </c>
      <c r="E416" s="314">
        <v>100</v>
      </c>
    </row>
    <row r="417" spans="1:5" x14ac:dyDescent="0.25">
      <c r="A417" s="316" t="s">
        <v>2468</v>
      </c>
      <c r="B417" s="313">
        <v>38622</v>
      </c>
      <c r="C417" s="316" t="s">
        <v>2469</v>
      </c>
      <c r="D417" s="314">
        <v>0</v>
      </c>
      <c r="E417" s="314">
        <v>5</v>
      </c>
    </row>
    <row r="418" spans="1:5" x14ac:dyDescent="0.25">
      <c r="A418" s="316" t="s">
        <v>2468</v>
      </c>
      <c r="B418" s="313">
        <v>38622</v>
      </c>
      <c r="C418" s="316" t="s">
        <v>2469</v>
      </c>
      <c r="D418" s="314">
        <v>5</v>
      </c>
      <c r="E418" s="314">
        <v>10</v>
      </c>
    </row>
    <row r="419" spans="1:5" x14ac:dyDescent="0.25">
      <c r="A419" s="316" t="s">
        <v>2468</v>
      </c>
      <c r="B419" s="313">
        <v>38622</v>
      </c>
      <c r="C419" s="316" t="s">
        <v>2469</v>
      </c>
      <c r="D419" s="314">
        <v>10</v>
      </c>
      <c r="E419" s="314">
        <v>20</v>
      </c>
    </row>
    <row r="420" spans="1:5" x14ac:dyDescent="0.25">
      <c r="A420" s="316" t="s">
        <v>2468</v>
      </c>
      <c r="B420" s="313">
        <v>38622</v>
      </c>
      <c r="C420" s="316" t="s">
        <v>2469</v>
      </c>
      <c r="D420" s="314">
        <v>20</v>
      </c>
      <c r="E420" s="314">
        <v>30</v>
      </c>
    </row>
    <row r="421" spans="1:5" x14ac:dyDescent="0.25">
      <c r="A421" s="316" t="s">
        <v>2468</v>
      </c>
      <c r="B421" s="313">
        <v>38622</v>
      </c>
      <c r="C421" s="316" t="s">
        <v>2469</v>
      </c>
      <c r="D421" s="314">
        <v>30</v>
      </c>
      <c r="E421" s="314">
        <v>60</v>
      </c>
    </row>
    <row r="422" spans="1:5" x14ac:dyDescent="0.25">
      <c r="A422" s="316" t="s">
        <v>2468</v>
      </c>
      <c r="B422" s="313">
        <v>38622</v>
      </c>
      <c r="C422" s="316" t="s">
        <v>2469</v>
      </c>
      <c r="D422" s="314">
        <v>60</v>
      </c>
      <c r="E422" s="314">
        <v>100</v>
      </c>
    </row>
    <row r="423" spans="1:5" x14ac:dyDescent="0.25">
      <c r="A423" s="316" t="s">
        <v>2470</v>
      </c>
      <c r="B423" s="313">
        <v>38622</v>
      </c>
      <c r="C423" s="316" t="s">
        <v>2471</v>
      </c>
      <c r="D423" s="314">
        <v>0</v>
      </c>
      <c r="E423" s="314">
        <v>5</v>
      </c>
    </row>
    <row r="424" spans="1:5" x14ac:dyDescent="0.25">
      <c r="A424" s="316" t="s">
        <v>2470</v>
      </c>
      <c r="B424" s="313">
        <v>38622</v>
      </c>
      <c r="C424" s="316" t="s">
        <v>2471</v>
      </c>
      <c r="D424" s="314">
        <v>5</v>
      </c>
      <c r="E424" s="314">
        <v>10</v>
      </c>
    </row>
    <row r="425" spans="1:5" x14ac:dyDescent="0.25">
      <c r="A425" s="316" t="s">
        <v>2470</v>
      </c>
      <c r="B425" s="313">
        <v>38622</v>
      </c>
      <c r="C425" s="316" t="s">
        <v>2471</v>
      </c>
      <c r="D425" s="314">
        <v>10</v>
      </c>
      <c r="E425" s="314">
        <v>20</v>
      </c>
    </row>
    <row r="426" spans="1:5" x14ac:dyDescent="0.25">
      <c r="A426" s="316" t="s">
        <v>2470</v>
      </c>
      <c r="B426" s="313">
        <v>38622</v>
      </c>
      <c r="C426" s="316" t="s">
        <v>2471</v>
      </c>
      <c r="D426" s="314">
        <v>20</v>
      </c>
      <c r="E426" s="314">
        <v>30</v>
      </c>
    </row>
    <row r="427" spans="1:5" x14ac:dyDescent="0.25">
      <c r="A427" s="316" t="s">
        <v>2470</v>
      </c>
      <c r="B427" s="313">
        <v>38622</v>
      </c>
      <c r="C427" s="316" t="s">
        <v>2471</v>
      </c>
      <c r="D427" s="314">
        <v>30</v>
      </c>
      <c r="E427" s="314">
        <v>60</v>
      </c>
    </row>
    <row r="428" spans="1:5" x14ac:dyDescent="0.25">
      <c r="A428" s="316" t="s">
        <v>2470</v>
      </c>
      <c r="B428" s="313">
        <v>38622</v>
      </c>
      <c r="C428" s="316" t="s">
        <v>2471</v>
      </c>
      <c r="D428" s="314">
        <v>60</v>
      </c>
      <c r="E428" s="314">
        <v>100</v>
      </c>
    </row>
    <row r="429" spans="1:5" x14ac:dyDescent="0.25">
      <c r="A429" s="316" t="s">
        <v>2472</v>
      </c>
      <c r="B429" s="313">
        <v>38622</v>
      </c>
      <c r="C429" s="316" t="s">
        <v>2473</v>
      </c>
      <c r="D429" s="314">
        <v>0</v>
      </c>
      <c r="E429" s="314">
        <v>5</v>
      </c>
    </row>
    <row r="430" spans="1:5" x14ac:dyDescent="0.25">
      <c r="A430" s="316" t="s">
        <v>2472</v>
      </c>
      <c r="B430" s="313">
        <v>38622</v>
      </c>
      <c r="C430" s="316" t="s">
        <v>2473</v>
      </c>
      <c r="D430" s="314">
        <v>5</v>
      </c>
      <c r="E430" s="314">
        <v>10</v>
      </c>
    </row>
    <row r="431" spans="1:5" x14ac:dyDescent="0.25">
      <c r="A431" s="316" t="s">
        <v>2472</v>
      </c>
      <c r="B431" s="313">
        <v>38622</v>
      </c>
      <c r="C431" s="316" t="s">
        <v>2473</v>
      </c>
      <c r="D431" s="314">
        <v>10</v>
      </c>
      <c r="E431" s="314">
        <v>20</v>
      </c>
    </row>
    <row r="432" spans="1:5" x14ac:dyDescent="0.25">
      <c r="A432" s="316" t="s">
        <v>2472</v>
      </c>
      <c r="B432" s="313">
        <v>38622</v>
      </c>
      <c r="C432" s="316" t="s">
        <v>2473</v>
      </c>
      <c r="D432" s="314">
        <v>20</v>
      </c>
      <c r="E432" s="314">
        <v>30</v>
      </c>
    </row>
    <row r="433" spans="1:5" x14ac:dyDescent="0.25">
      <c r="A433" s="316" t="s">
        <v>2472</v>
      </c>
      <c r="B433" s="313">
        <v>38622</v>
      </c>
      <c r="C433" s="316" t="s">
        <v>2473</v>
      </c>
      <c r="D433" s="314">
        <v>30</v>
      </c>
      <c r="E433" s="314">
        <v>60</v>
      </c>
    </row>
    <row r="434" spans="1:5" x14ac:dyDescent="0.25">
      <c r="A434" s="316" t="s">
        <v>2472</v>
      </c>
      <c r="B434" s="313">
        <v>38622</v>
      </c>
      <c r="C434" s="316" t="s">
        <v>2473</v>
      </c>
      <c r="D434" s="314">
        <v>60</v>
      </c>
      <c r="E434" s="314">
        <v>100</v>
      </c>
    </row>
    <row r="435" spans="1:5" x14ac:dyDescent="0.25">
      <c r="A435" s="316" t="s">
        <v>2474</v>
      </c>
      <c r="B435" s="313">
        <v>38622</v>
      </c>
      <c r="C435" s="316" t="s">
        <v>2475</v>
      </c>
      <c r="D435" s="314">
        <v>0</v>
      </c>
      <c r="E435" s="314">
        <v>5</v>
      </c>
    </row>
    <row r="436" spans="1:5" x14ac:dyDescent="0.25">
      <c r="A436" s="316" t="s">
        <v>2474</v>
      </c>
      <c r="B436" s="313">
        <v>38622</v>
      </c>
      <c r="C436" s="316" t="s">
        <v>2475</v>
      </c>
      <c r="D436" s="314">
        <v>5</v>
      </c>
      <c r="E436" s="314">
        <v>10</v>
      </c>
    </row>
    <row r="437" spans="1:5" x14ac:dyDescent="0.25">
      <c r="A437" s="316" t="s">
        <v>2474</v>
      </c>
      <c r="B437" s="313">
        <v>38622</v>
      </c>
      <c r="C437" s="316" t="s">
        <v>2475</v>
      </c>
      <c r="D437" s="314">
        <v>10</v>
      </c>
      <c r="E437" s="314">
        <v>20</v>
      </c>
    </row>
    <row r="438" spans="1:5" x14ac:dyDescent="0.25">
      <c r="A438" s="316" t="s">
        <v>2474</v>
      </c>
      <c r="B438" s="313">
        <v>38622</v>
      </c>
      <c r="C438" s="316" t="s">
        <v>2475</v>
      </c>
      <c r="D438" s="314">
        <v>20</v>
      </c>
      <c r="E438" s="314">
        <v>30</v>
      </c>
    </row>
    <row r="439" spans="1:5" x14ac:dyDescent="0.25">
      <c r="A439" s="316" t="s">
        <v>2474</v>
      </c>
      <c r="B439" s="313">
        <v>38622</v>
      </c>
      <c r="C439" s="316" t="s">
        <v>2475</v>
      </c>
      <c r="D439" s="314">
        <v>30</v>
      </c>
      <c r="E439" s="314">
        <v>60</v>
      </c>
    </row>
    <row r="440" spans="1:5" x14ac:dyDescent="0.25">
      <c r="A440" s="316" t="s">
        <v>2474</v>
      </c>
      <c r="B440" s="313">
        <v>38622</v>
      </c>
      <c r="C440" s="316" t="s">
        <v>2475</v>
      </c>
      <c r="D440" s="314">
        <v>60</v>
      </c>
      <c r="E440" s="314">
        <v>100</v>
      </c>
    </row>
    <row r="441" spans="1:5" x14ac:dyDescent="0.25">
      <c r="A441" s="316" t="s">
        <v>2476</v>
      </c>
      <c r="B441" s="313">
        <v>38622</v>
      </c>
      <c r="C441" s="316" t="s">
        <v>2471</v>
      </c>
      <c r="D441" s="314">
        <v>0</v>
      </c>
      <c r="E441" s="314">
        <v>5</v>
      </c>
    </row>
    <row r="442" spans="1:5" x14ac:dyDescent="0.25">
      <c r="A442" s="316" t="s">
        <v>2476</v>
      </c>
      <c r="B442" s="313">
        <v>38622</v>
      </c>
      <c r="C442" s="316" t="s">
        <v>2471</v>
      </c>
      <c r="D442" s="314">
        <v>5</v>
      </c>
      <c r="E442" s="314">
        <v>10</v>
      </c>
    </row>
    <row r="443" spans="1:5" x14ac:dyDescent="0.25">
      <c r="A443" s="316" t="s">
        <v>2476</v>
      </c>
      <c r="B443" s="313">
        <v>38622</v>
      </c>
      <c r="C443" s="316" t="s">
        <v>2471</v>
      </c>
      <c r="D443" s="314">
        <v>10</v>
      </c>
      <c r="E443" s="314">
        <v>20</v>
      </c>
    </row>
    <row r="444" spans="1:5" x14ac:dyDescent="0.25">
      <c r="A444" s="316" t="s">
        <v>2476</v>
      </c>
      <c r="B444" s="313">
        <v>38622</v>
      </c>
      <c r="C444" s="316" t="s">
        <v>2471</v>
      </c>
      <c r="D444" s="314">
        <v>20</v>
      </c>
      <c r="E444" s="314">
        <v>30</v>
      </c>
    </row>
    <row r="445" spans="1:5" x14ac:dyDescent="0.25">
      <c r="A445" s="316" t="s">
        <v>2476</v>
      </c>
      <c r="B445" s="313">
        <v>38622</v>
      </c>
      <c r="C445" s="316" t="s">
        <v>2471</v>
      </c>
      <c r="D445" s="314">
        <v>30</v>
      </c>
      <c r="E445" s="314">
        <v>60</v>
      </c>
    </row>
    <row r="446" spans="1:5" x14ac:dyDescent="0.25">
      <c r="A446" s="316" t="s">
        <v>2476</v>
      </c>
      <c r="B446" s="313">
        <v>38622</v>
      </c>
      <c r="C446" s="316" t="s">
        <v>2471</v>
      </c>
      <c r="D446" s="314">
        <v>60</v>
      </c>
      <c r="E446" s="314">
        <v>100</v>
      </c>
    </row>
    <row r="447" spans="1:5" x14ac:dyDescent="0.25">
      <c r="A447" s="316" t="s">
        <v>2477</v>
      </c>
      <c r="B447" s="313">
        <v>38622</v>
      </c>
      <c r="C447" s="316" t="s">
        <v>2463</v>
      </c>
      <c r="D447" s="314">
        <v>0</v>
      </c>
      <c r="E447" s="314">
        <v>5</v>
      </c>
    </row>
    <row r="448" spans="1:5" x14ac:dyDescent="0.25">
      <c r="A448" s="316" t="s">
        <v>2477</v>
      </c>
      <c r="B448" s="313">
        <v>38622</v>
      </c>
      <c r="C448" s="316" t="s">
        <v>2463</v>
      </c>
      <c r="D448" s="314">
        <v>5</v>
      </c>
      <c r="E448" s="314">
        <v>10</v>
      </c>
    </row>
    <row r="449" spans="1:5" x14ac:dyDescent="0.25">
      <c r="A449" s="316" t="s">
        <v>2477</v>
      </c>
      <c r="B449" s="313">
        <v>38622</v>
      </c>
      <c r="C449" s="316" t="s">
        <v>2463</v>
      </c>
      <c r="D449" s="314">
        <v>10</v>
      </c>
      <c r="E449" s="314">
        <v>20</v>
      </c>
    </row>
    <row r="450" spans="1:5" x14ac:dyDescent="0.25">
      <c r="A450" s="316" t="s">
        <v>2477</v>
      </c>
      <c r="B450" s="313">
        <v>38622</v>
      </c>
      <c r="C450" s="316" t="s">
        <v>2463</v>
      </c>
      <c r="D450" s="314">
        <v>20</v>
      </c>
      <c r="E450" s="314">
        <v>30</v>
      </c>
    </row>
    <row r="451" spans="1:5" x14ac:dyDescent="0.25">
      <c r="A451" s="316" t="s">
        <v>2477</v>
      </c>
      <c r="B451" s="313">
        <v>38622</v>
      </c>
      <c r="C451" s="316" t="s">
        <v>2463</v>
      </c>
      <c r="D451" s="314">
        <v>30</v>
      </c>
      <c r="E451" s="314">
        <v>60</v>
      </c>
    </row>
    <row r="452" spans="1:5" x14ac:dyDescent="0.25">
      <c r="A452" s="316" t="s">
        <v>2477</v>
      </c>
      <c r="B452" s="313">
        <v>38622</v>
      </c>
      <c r="C452" s="316" t="s">
        <v>2463</v>
      </c>
      <c r="D452" s="314">
        <v>60</v>
      </c>
      <c r="E452" s="314">
        <v>100</v>
      </c>
    </row>
    <row r="453" spans="1:5" x14ac:dyDescent="0.25">
      <c r="A453" s="316" t="s">
        <v>2478</v>
      </c>
      <c r="B453" s="313">
        <v>38622</v>
      </c>
      <c r="C453" s="316" t="s">
        <v>2465</v>
      </c>
      <c r="D453" s="314">
        <v>0</v>
      </c>
      <c r="E453" s="314">
        <v>5</v>
      </c>
    </row>
    <row r="454" spans="1:5" x14ac:dyDescent="0.25">
      <c r="A454" s="316" t="s">
        <v>2478</v>
      </c>
      <c r="B454" s="313">
        <v>38622</v>
      </c>
      <c r="C454" s="316" t="s">
        <v>2465</v>
      </c>
      <c r="D454" s="314">
        <v>5</v>
      </c>
      <c r="E454" s="314">
        <v>10</v>
      </c>
    </row>
    <row r="455" spans="1:5" x14ac:dyDescent="0.25">
      <c r="A455" s="316" t="s">
        <v>2478</v>
      </c>
      <c r="B455" s="313">
        <v>38622</v>
      </c>
      <c r="C455" s="316" t="s">
        <v>2465</v>
      </c>
      <c r="D455" s="314">
        <v>10</v>
      </c>
      <c r="E455" s="314">
        <v>20</v>
      </c>
    </row>
    <row r="456" spans="1:5" x14ac:dyDescent="0.25">
      <c r="A456" s="316" t="s">
        <v>2478</v>
      </c>
      <c r="B456" s="313">
        <v>38622</v>
      </c>
      <c r="C456" s="316" t="s">
        <v>2465</v>
      </c>
      <c r="D456" s="314">
        <v>20</v>
      </c>
      <c r="E456" s="314">
        <v>30</v>
      </c>
    </row>
    <row r="457" spans="1:5" x14ac:dyDescent="0.25">
      <c r="A457" s="316" t="s">
        <v>2478</v>
      </c>
      <c r="B457" s="313">
        <v>38622</v>
      </c>
      <c r="C457" s="316" t="s">
        <v>2465</v>
      </c>
      <c r="D457" s="314">
        <v>30</v>
      </c>
      <c r="E457" s="314">
        <v>60</v>
      </c>
    </row>
    <row r="458" spans="1:5" x14ac:dyDescent="0.25">
      <c r="A458" s="316" t="s">
        <v>2478</v>
      </c>
      <c r="B458" s="313">
        <v>38622</v>
      </c>
      <c r="C458" s="316" t="s">
        <v>2465</v>
      </c>
      <c r="D458" s="314">
        <v>60</v>
      </c>
      <c r="E458" s="314">
        <v>100</v>
      </c>
    </row>
    <row r="459" spans="1:5" x14ac:dyDescent="0.25">
      <c r="A459" s="316" t="s">
        <v>2479</v>
      </c>
      <c r="B459" s="313">
        <v>38622</v>
      </c>
      <c r="C459" s="316" t="s">
        <v>2469</v>
      </c>
      <c r="D459" s="314">
        <v>0</v>
      </c>
      <c r="E459" s="314">
        <v>5</v>
      </c>
    </row>
    <row r="460" spans="1:5" x14ac:dyDescent="0.25">
      <c r="A460" s="316" t="s">
        <v>2479</v>
      </c>
      <c r="B460" s="313">
        <v>38622</v>
      </c>
      <c r="C460" s="316" t="s">
        <v>2469</v>
      </c>
      <c r="D460" s="314">
        <v>5</v>
      </c>
      <c r="E460" s="314">
        <v>10</v>
      </c>
    </row>
    <row r="461" spans="1:5" x14ac:dyDescent="0.25">
      <c r="A461" s="316" t="s">
        <v>2479</v>
      </c>
      <c r="B461" s="313">
        <v>38622</v>
      </c>
      <c r="C461" s="316" t="s">
        <v>2469</v>
      </c>
      <c r="D461" s="314">
        <v>10</v>
      </c>
      <c r="E461" s="314">
        <v>20</v>
      </c>
    </row>
    <row r="462" spans="1:5" x14ac:dyDescent="0.25">
      <c r="A462" s="316" t="s">
        <v>2479</v>
      </c>
      <c r="B462" s="313">
        <v>38622</v>
      </c>
      <c r="C462" s="316" t="s">
        <v>2469</v>
      </c>
      <c r="D462" s="314">
        <v>20</v>
      </c>
      <c r="E462" s="314">
        <v>30</v>
      </c>
    </row>
    <row r="463" spans="1:5" x14ac:dyDescent="0.25">
      <c r="A463" s="316" t="s">
        <v>2479</v>
      </c>
      <c r="B463" s="313">
        <v>38622</v>
      </c>
      <c r="C463" s="316" t="s">
        <v>2469</v>
      </c>
      <c r="D463" s="314">
        <v>30</v>
      </c>
      <c r="E463" s="314">
        <v>60</v>
      </c>
    </row>
    <row r="464" spans="1:5" x14ac:dyDescent="0.25">
      <c r="A464" s="316" t="s">
        <v>2479</v>
      </c>
      <c r="B464" s="313">
        <v>38622</v>
      </c>
      <c r="C464" s="316" t="s">
        <v>2469</v>
      </c>
      <c r="D464" s="314">
        <v>60</v>
      </c>
      <c r="E464" s="314">
        <v>100</v>
      </c>
    </row>
    <row r="465" spans="1:5" x14ac:dyDescent="0.25">
      <c r="A465" s="316" t="s">
        <v>2480</v>
      </c>
      <c r="B465" s="313">
        <v>38622</v>
      </c>
      <c r="C465" s="316" t="s">
        <v>2467</v>
      </c>
      <c r="D465" s="314">
        <v>0</v>
      </c>
      <c r="E465" s="314">
        <v>5</v>
      </c>
    </row>
    <row r="466" spans="1:5" x14ac:dyDescent="0.25">
      <c r="A466" s="316" t="s">
        <v>2480</v>
      </c>
      <c r="B466" s="313">
        <v>38622</v>
      </c>
      <c r="C466" s="316" t="s">
        <v>2467</v>
      </c>
      <c r="D466" s="314">
        <v>5</v>
      </c>
      <c r="E466" s="314">
        <v>10</v>
      </c>
    </row>
    <row r="467" spans="1:5" x14ac:dyDescent="0.25">
      <c r="A467" s="316" t="s">
        <v>2480</v>
      </c>
      <c r="B467" s="313">
        <v>38622</v>
      </c>
      <c r="C467" s="316" t="s">
        <v>2467</v>
      </c>
      <c r="D467" s="314">
        <v>10</v>
      </c>
      <c r="E467" s="314">
        <v>20</v>
      </c>
    </row>
    <row r="468" spans="1:5" x14ac:dyDescent="0.25">
      <c r="A468" s="316" t="s">
        <v>2480</v>
      </c>
      <c r="B468" s="313">
        <v>38622</v>
      </c>
      <c r="C468" s="316" t="s">
        <v>2467</v>
      </c>
      <c r="D468" s="314">
        <v>20</v>
      </c>
      <c r="E468" s="314">
        <v>30</v>
      </c>
    </row>
    <row r="469" spans="1:5" x14ac:dyDescent="0.25">
      <c r="A469" s="316" t="s">
        <v>2480</v>
      </c>
      <c r="B469" s="313">
        <v>38622</v>
      </c>
      <c r="C469" s="316" t="s">
        <v>2467</v>
      </c>
      <c r="D469" s="314">
        <v>30</v>
      </c>
      <c r="E469" s="314">
        <v>60</v>
      </c>
    </row>
    <row r="470" spans="1:5" x14ac:dyDescent="0.25">
      <c r="A470" s="316" t="s">
        <v>2480</v>
      </c>
      <c r="B470" s="313">
        <v>38622</v>
      </c>
      <c r="C470" s="316" t="s">
        <v>2467</v>
      </c>
      <c r="D470" s="314">
        <v>60</v>
      </c>
      <c r="E470" s="314">
        <v>100</v>
      </c>
    </row>
    <row r="471" spans="1:5" x14ac:dyDescent="0.25">
      <c r="A471" s="316" t="s">
        <v>2481</v>
      </c>
      <c r="B471" s="313">
        <v>38622</v>
      </c>
      <c r="C471" s="316" t="s">
        <v>2473</v>
      </c>
      <c r="D471" s="314">
        <v>0</v>
      </c>
      <c r="E471" s="314">
        <v>5</v>
      </c>
    </row>
    <row r="472" spans="1:5" x14ac:dyDescent="0.25">
      <c r="A472" s="316" t="s">
        <v>2481</v>
      </c>
      <c r="B472" s="313">
        <v>38622</v>
      </c>
      <c r="C472" s="316" t="s">
        <v>2473</v>
      </c>
      <c r="D472" s="314">
        <v>5</v>
      </c>
      <c r="E472" s="314">
        <v>10</v>
      </c>
    </row>
    <row r="473" spans="1:5" x14ac:dyDescent="0.25">
      <c r="A473" s="316" t="s">
        <v>2481</v>
      </c>
      <c r="B473" s="313">
        <v>38622</v>
      </c>
      <c r="C473" s="316" t="s">
        <v>2473</v>
      </c>
      <c r="D473" s="314">
        <v>10</v>
      </c>
      <c r="E473" s="314">
        <v>20</v>
      </c>
    </row>
    <row r="474" spans="1:5" x14ac:dyDescent="0.25">
      <c r="A474" s="316" t="s">
        <v>2481</v>
      </c>
      <c r="B474" s="313">
        <v>38622</v>
      </c>
      <c r="C474" s="316" t="s">
        <v>2473</v>
      </c>
      <c r="D474" s="314">
        <v>20</v>
      </c>
      <c r="E474" s="314">
        <v>30</v>
      </c>
    </row>
    <row r="475" spans="1:5" x14ac:dyDescent="0.25">
      <c r="A475" s="316" t="s">
        <v>2481</v>
      </c>
      <c r="B475" s="313">
        <v>38622</v>
      </c>
      <c r="C475" s="316" t="s">
        <v>2473</v>
      </c>
      <c r="D475" s="314">
        <v>30</v>
      </c>
      <c r="E475" s="314">
        <v>60</v>
      </c>
    </row>
    <row r="476" spans="1:5" x14ac:dyDescent="0.25">
      <c r="A476" s="316" t="s">
        <v>2481</v>
      </c>
      <c r="B476" s="313">
        <v>38622</v>
      </c>
      <c r="C476" s="316" t="s">
        <v>2473</v>
      </c>
      <c r="D476" s="314">
        <v>60</v>
      </c>
      <c r="E476" s="314">
        <v>100</v>
      </c>
    </row>
    <row r="477" spans="1:5" x14ac:dyDescent="0.25">
      <c r="A477" s="316" t="s">
        <v>2482</v>
      </c>
      <c r="B477" s="313">
        <v>38622</v>
      </c>
      <c r="C477" s="316" t="s">
        <v>2461</v>
      </c>
      <c r="D477" s="314">
        <v>0</v>
      </c>
      <c r="E477" s="314">
        <v>5</v>
      </c>
    </row>
    <row r="478" spans="1:5" x14ac:dyDescent="0.25">
      <c r="A478" s="316" t="s">
        <v>2482</v>
      </c>
      <c r="B478" s="313">
        <v>38622</v>
      </c>
      <c r="C478" s="316" t="s">
        <v>2461</v>
      </c>
      <c r="D478" s="314">
        <v>5</v>
      </c>
      <c r="E478" s="314">
        <v>10</v>
      </c>
    </row>
    <row r="479" spans="1:5" x14ac:dyDescent="0.25">
      <c r="A479" s="316" t="s">
        <v>2482</v>
      </c>
      <c r="B479" s="313">
        <v>38622</v>
      </c>
      <c r="C479" s="316" t="s">
        <v>2461</v>
      </c>
      <c r="D479" s="314">
        <v>10</v>
      </c>
      <c r="E479" s="314">
        <v>20</v>
      </c>
    </row>
    <row r="480" spans="1:5" x14ac:dyDescent="0.25">
      <c r="A480" s="316" t="s">
        <v>2482</v>
      </c>
      <c r="B480" s="313">
        <v>38622</v>
      </c>
      <c r="C480" s="316" t="s">
        <v>2461</v>
      </c>
      <c r="D480" s="314">
        <v>20</v>
      </c>
      <c r="E480" s="314">
        <v>30</v>
      </c>
    </row>
    <row r="481" spans="1:5" x14ac:dyDescent="0.25">
      <c r="A481" s="316" t="s">
        <v>2482</v>
      </c>
      <c r="B481" s="313">
        <v>38622</v>
      </c>
      <c r="C481" s="316" t="s">
        <v>2461</v>
      </c>
      <c r="D481" s="314">
        <v>30</v>
      </c>
      <c r="E481" s="314">
        <v>60</v>
      </c>
    </row>
    <row r="482" spans="1:5" x14ac:dyDescent="0.25">
      <c r="A482" s="316" t="s">
        <v>2482</v>
      </c>
      <c r="B482" s="313">
        <v>38622</v>
      </c>
      <c r="C482" s="316" t="s">
        <v>2461</v>
      </c>
      <c r="D482" s="314">
        <v>60</v>
      </c>
      <c r="E482" s="314">
        <v>100</v>
      </c>
    </row>
    <row r="483" spans="1:5" x14ac:dyDescent="0.25">
      <c r="A483" s="316" t="s">
        <v>2483</v>
      </c>
      <c r="B483" s="313">
        <v>38622</v>
      </c>
      <c r="C483" s="316" t="s">
        <v>2475</v>
      </c>
      <c r="D483" s="314">
        <v>0</v>
      </c>
      <c r="E483" s="314">
        <v>5</v>
      </c>
    </row>
    <row r="484" spans="1:5" x14ac:dyDescent="0.25">
      <c r="A484" s="316" t="s">
        <v>2483</v>
      </c>
      <c r="B484" s="313">
        <v>38622</v>
      </c>
      <c r="C484" s="316" t="s">
        <v>2475</v>
      </c>
      <c r="D484" s="314">
        <v>5</v>
      </c>
      <c r="E484" s="314">
        <v>10</v>
      </c>
    </row>
    <row r="485" spans="1:5" x14ac:dyDescent="0.25">
      <c r="A485" s="316" t="s">
        <v>2483</v>
      </c>
      <c r="B485" s="313">
        <v>38622</v>
      </c>
      <c r="C485" s="316" t="s">
        <v>2475</v>
      </c>
      <c r="D485" s="314">
        <v>10</v>
      </c>
      <c r="E485" s="314">
        <v>20</v>
      </c>
    </row>
    <row r="486" spans="1:5" x14ac:dyDescent="0.25">
      <c r="A486" s="316" t="s">
        <v>2483</v>
      </c>
      <c r="B486" s="313">
        <v>38622</v>
      </c>
      <c r="C486" s="316" t="s">
        <v>2475</v>
      </c>
      <c r="D486" s="314">
        <v>20</v>
      </c>
      <c r="E486" s="314">
        <v>30</v>
      </c>
    </row>
    <row r="487" spans="1:5" x14ac:dyDescent="0.25">
      <c r="A487" s="316" t="s">
        <v>2483</v>
      </c>
      <c r="B487" s="313">
        <v>38622</v>
      </c>
      <c r="C487" s="316" t="s">
        <v>2475</v>
      </c>
      <c r="D487" s="314">
        <v>30</v>
      </c>
      <c r="E487" s="314">
        <v>60</v>
      </c>
    </row>
    <row r="488" spans="1:5" x14ac:dyDescent="0.25">
      <c r="A488" s="316" t="s">
        <v>2483</v>
      </c>
      <c r="B488" s="313">
        <v>38622</v>
      </c>
      <c r="C488" s="316" t="s">
        <v>2475</v>
      </c>
      <c r="D488" s="314">
        <v>60</v>
      </c>
      <c r="E488" s="314">
        <v>100</v>
      </c>
    </row>
    <row r="489" spans="1:5" x14ac:dyDescent="0.25">
      <c r="A489" s="316" t="s">
        <v>2484</v>
      </c>
      <c r="B489" s="313">
        <v>38622</v>
      </c>
      <c r="C489" s="316" t="s">
        <v>2465</v>
      </c>
      <c r="D489" s="314">
        <v>0</v>
      </c>
      <c r="E489" s="314">
        <v>5</v>
      </c>
    </row>
    <row r="490" spans="1:5" x14ac:dyDescent="0.25">
      <c r="A490" s="316" t="s">
        <v>2484</v>
      </c>
      <c r="B490" s="313">
        <v>38622</v>
      </c>
      <c r="C490" s="316" t="s">
        <v>2465</v>
      </c>
      <c r="D490" s="314">
        <v>5</v>
      </c>
      <c r="E490" s="314">
        <v>10</v>
      </c>
    </row>
    <row r="491" spans="1:5" x14ac:dyDescent="0.25">
      <c r="A491" s="316" t="s">
        <v>2484</v>
      </c>
      <c r="B491" s="313">
        <v>38622</v>
      </c>
      <c r="C491" s="316" t="s">
        <v>2465</v>
      </c>
      <c r="D491" s="314">
        <v>10</v>
      </c>
      <c r="E491" s="314">
        <v>20</v>
      </c>
    </row>
    <row r="492" spans="1:5" x14ac:dyDescent="0.25">
      <c r="A492" s="316" t="s">
        <v>2484</v>
      </c>
      <c r="B492" s="313">
        <v>38622</v>
      </c>
      <c r="C492" s="316" t="s">
        <v>2465</v>
      </c>
      <c r="D492" s="314">
        <v>20</v>
      </c>
      <c r="E492" s="314">
        <v>30</v>
      </c>
    </row>
    <row r="493" spans="1:5" x14ac:dyDescent="0.25">
      <c r="A493" s="316" t="s">
        <v>2484</v>
      </c>
      <c r="B493" s="313">
        <v>38622</v>
      </c>
      <c r="C493" s="316" t="s">
        <v>2465</v>
      </c>
      <c r="D493" s="314">
        <v>30</v>
      </c>
      <c r="E493" s="314">
        <v>60</v>
      </c>
    </row>
    <row r="494" spans="1:5" x14ac:dyDescent="0.25">
      <c r="A494" s="316" t="s">
        <v>2484</v>
      </c>
      <c r="B494" s="313">
        <v>38622</v>
      </c>
      <c r="C494" s="316" t="s">
        <v>2465</v>
      </c>
      <c r="D494" s="314">
        <v>60</v>
      </c>
      <c r="E494" s="314">
        <v>100</v>
      </c>
    </row>
    <row r="495" spans="1:5" x14ac:dyDescent="0.25">
      <c r="A495" s="316" t="s">
        <v>2485</v>
      </c>
      <c r="B495" s="313">
        <v>38622</v>
      </c>
      <c r="C495" s="316" t="s">
        <v>2463</v>
      </c>
      <c r="D495" s="314">
        <v>0</v>
      </c>
      <c r="E495" s="314">
        <v>5</v>
      </c>
    </row>
    <row r="496" spans="1:5" x14ac:dyDescent="0.25">
      <c r="A496" s="316" t="s">
        <v>2485</v>
      </c>
      <c r="B496" s="313">
        <v>38622</v>
      </c>
      <c r="C496" s="316" t="s">
        <v>2463</v>
      </c>
      <c r="D496" s="314">
        <v>5</v>
      </c>
      <c r="E496" s="314">
        <v>10</v>
      </c>
    </row>
    <row r="497" spans="1:5" x14ac:dyDescent="0.25">
      <c r="A497" s="316" t="s">
        <v>2485</v>
      </c>
      <c r="B497" s="313">
        <v>38622</v>
      </c>
      <c r="C497" s="316" t="s">
        <v>2463</v>
      </c>
      <c r="D497" s="314">
        <v>10</v>
      </c>
      <c r="E497" s="314">
        <v>20</v>
      </c>
    </row>
    <row r="498" spans="1:5" x14ac:dyDescent="0.25">
      <c r="A498" s="316" t="s">
        <v>2485</v>
      </c>
      <c r="B498" s="313">
        <v>38622</v>
      </c>
      <c r="C498" s="316" t="s">
        <v>2463</v>
      </c>
      <c r="D498" s="314">
        <v>20</v>
      </c>
      <c r="E498" s="314">
        <v>30</v>
      </c>
    </row>
    <row r="499" spans="1:5" x14ac:dyDescent="0.25">
      <c r="A499" s="316" t="s">
        <v>2485</v>
      </c>
      <c r="B499" s="313">
        <v>38622</v>
      </c>
      <c r="C499" s="316" t="s">
        <v>2463</v>
      </c>
      <c r="D499" s="314">
        <v>30</v>
      </c>
      <c r="E499" s="314">
        <v>60</v>
      </c>
    </row>
    <row r="500" spans="1:5" x14ac:dyDescent="0.25">
      <c r="A500" s="316" t="s">
        <v>2485</v>
      </c>
      <c r="B500" s="313">
        <v>38622</v>
      </c>
      <c r="C500" s="316" t="s">
        <v>2463</v>
      </c>
      <c r="D500" s="314">
        <v>60</v>
      </c>
      <c r="E500" s="314">
        <v>100</v>
      </c>
    </row>
    <row r="501" spans="1:5" x14ac:dyDescent="0.25">
      <c r="A501" s="316" t="s">
        <v>2486</v>
      </c>
      <c r="B501" s="313">
        <v>38622</v>
      </c>
      <c r="C501" s="316" t="s">
        <v>2469</v>
      </c>
      <c r="D501" s="314">
        <v>0</v>
      </c>
      <c r="E501" s="314">
        <v>5</v>
      </c>
    </row>
    <row r="502" spans="1:5" x14ac:dyDescent="0.25">
      <c r="A502" s="316" t="s">
        <v>2486</v>
      </c>
      <c r="B502" s="313">
        <v>38622</v>
      </c>
      <c r="C502" s="316" t="s">
        <v>2469</v>
      </c>
      <c r="D502" s="314">
        <v>5</v>
      </c>
      <c r="E502" s="314">
        <v>10</v>
      </c>
    </row>
    <row r="503" spans="1:5" x14ac:dyDescent="0.25">
      <c r="A503" s="316" t="s">
        <v>2486</v>
      </c>
      <c r="B503" s="313">
        <v>38622</v>
      </c>
      <c r="C503" s="316" t="s">
        <v>2469</v>
      </c>
      <c r="D503" s="314">
        <v>10</v>
      </c>
      <c r="E503" s="314">
        <v>20</v>
      </c>
    </row>
    <row r="504" spans="1:5" x14ac:dyDescent="0.25">
      <c r="A504" s="316" t="s">
        <v>2486</v>
      </c>
      <c r="B504" s="313">
        <v>38622</v>
      </c>
      <c r="C504" s="316" t="s">
        <v>2469</v>
      </c>
      <c r="D504" s="314">
        <v>20</v>
      </c>
      <c r="E504" s="314">
        <v>30</v>
      </c>
    </row>
    <row r="505" spans="1:5" x14ac:dyDescent="0.25">
      <c r="A505" s="316" t="s">
        <v>2486</v>
      </c>
      <c r="B505" s="313">
        <v>38622</v>
      </c>
      <c r="C505" s="316" t="s">
        <v>2469</v>
      </c>
      <c r="D505" s="314">
        <v>30</v>
      </c>
      <c r="E505" s="314">
        <v>60</v>
      </c>
    </row>
    <row r="506" spans="1:5" x14ac:dyDescent="0.25">
      <c r="A506" s="316" t="s">
        <v>2486</v>
      </c>
      <c r="B506" s="313">
        <v>38622</v>
      </c>
      <c r="C506" s="316" t="s">
        <v>2469</v>
      </c>
      <c r="D506" s="314">
        <v>60</v>
      </c>
      <c r="E506" s="314">
        <v>100</v>
      </c>
    </row>
    <row r="507" spans="1:5" x14ac:dyDescent="0.25">
      <c r="A507" s="316" t="s">
        <v>2487</v>
      </c>
      <c r="B507" s="313">
        <v>38622</v>
      </c>
      <c r="C507" s="316" t="s">
        <v>2475</v>
      </c>
      <c r="D507" s="314">
        <v>0</v>
      </c>
      <c r="E507" s="314">
        <v>5</v>
      </c>
    </row>
    <row r="508" spans="1:5" x14ac:dyDescent="0.25">
      <c r="A508" s="316" t="s">
        <v>2487</v>
      </c>
      <c r="B508" s="313">
        <v>38622</v>
      </c>
      <c r="C508" s="316" t="s">
        <v>2475</v>
      </c>
      <c r="D508" s="314">
        <v>5</v>
      </c>
      <c r="E508" s="314">
        <v>10</v>
      </c>
    </row>
    <row r="509" spans="1:5" x14ac:dyDescent="0.25">
      <c r="A509" s="316" t="s">
        <v>2487</v>
      </c>
      <c r="B509" s="313">
        <v>38622</v>
      </c>
      <c r="C509" s="316" t="s">
        <v>2475</v>
      </c>
      <c r="D509" s="314">
        <v>10</v>
      </c>
      <c r="E509" s="314">
        <v>20</v>
      </c>
    </row>
    <row r="510" spans="1:5" x14ac:dyDescent="0.25">
      <c r="A510" s="316" t="s">
        <v>2487</v>
      </c>
      <c r="B510" s="313">
        <v>38622</v>
      </c>
      <c r="C510" s="316" t="s">
        <v>2475</v>
      </c>
      <c r="D510" s="314">
        <v>20</v>
      </c>
      <c r="E510" s="314">
        <v>30</v>
      </c>
    </row>
    <row r="511" spans="1:5" x14ac:dyDescent="0.25">
      <c r="A511" s="316" t="s">
        <v>2487</v>
      </c>
      <c r="B511" s="313">
        <v>38622</v>
      </c>
      <c r="C511" s="316" t="s">
        <v>2475</v>
      </c>
      <c r="D511" s="314">
        <v>30</v>
      </c>
      <c r="E511" s="314">
        <v>60</v>
      </c>
    </row>
    <row r="512" spans="1:5" x14ac:dyDescent="0.25">
      <c r="A512" s="316" t="s">
        <v>2487</v>
      </c>
      <c r="B512" s="313">
        <v>38622</v>
      </c>
      <c r="C512" s="316" t="s">
        <v>2475</v>
      </c>
      <c r="D512" s="314">
        <v>60</v>
      </c>
      <c r="E512" s="314">
        <v>100</v>
      </c>
    </row>
    <row r="513" spans="1:5" x14ac:dyDescent="0.25">
      <c r="A513" s="316" t="s">
        <v>2488</v>
      </c>
      <c r="B513" s="313">
        <v>38622</v>
      </c>
      <c r="C513" s="316" t="s">
        <v>2461</v>
      </c>
      <c r="D513" s="314">
        <v>0</v>
      </c>
      <c r="E513" s="314">
        <v>5</v>
      </c>
    </row>
    <row r="514" spans="1:5" x14ac:dyDescent="0.25">
      <c r="A514" s="316" t="s">
        <v>2488</v>
      </c>
      <c r="B514" s="313">
        <v>38622</v>
      </c>
      <c r="C514" s="316" t="s">
        <v>2461</v>
      </c>
      <c r="D514" s="314">
        <v>5</v>
      </c>
      <c r="E514" s="314">
        <v>10</v>
      </c>
    </row>
    <row r="515" spans="1:5" x14ac:dyDescent="0.25">
      <c r="A515" s="316" t="s">
        <v>2488</v>
      </c>
      <c r="B515" s="313">
        <v>38622</v>
      </c>
      <c r="C515" s="316" t="s">
        <v>2461</v>
      </c>
      <c r="D515" s="314">
        <v>10</v>
      </c>
      <c r="E515" s="314">
        <v>20</v>
      </c>
    </row>
    <row r="516" spans="1:5" x14ac:dyDescent="0.25">
      <c r="A516" s="316" t="s">
        <v>2488</v>
      </c>
      <c r="B516" s="313">
        <v>38622</v>
      </c>
      <c r="C516" s="316" t="s">
        <v>2461</v>
      </c>
      <c r="D516" s="314">
        <v>20</v>
      </c>
      <c r="E516" s="314">
        <v>30</v>
      </c>
    </row>
    <row r="517" spans="1:5" x14ac:dyDescent="0.25">
      <c r="A517" s="316" t="s">
        <v>2488</v>
      </c>
      <c r="B517" s="313">
        <v>38622</v>
      </c>
      <c r="C517" s="316" t="s">
        <v>2461</v>
      </c>
      <c r="D517" s="314">
        <v>30</v>
      </c>
      <c r="E517" s="314">
        <v>60</v>
      </c>
    </row>
    <row r="518" spans="1:5" x14ac:dyDescent="0.25">
      <c r="A518" s="316" t="s">
        <v>2488</v>
      </c>
      <c r="B518" s="313">
        <v>38622</v>
      </c>
      <c r="C518" s="316" t="s">
        <v>2461</v>
      </c>
      <c r="D518" s="314">
        <v>60</v>
      </c>
      <c r="E518" s="314">
        <v>100</v>
      </c>
    </row>
    <row r="519" spans="1:5" x14ac:dyDescent="0.25">
      <c r="A519" s="316" t="s">
        <v>2489</v>
      </c>
      <c r="B519" s="313">
        <v>38622</v>
      </c>
      <c r="C519" s="316" t="s">
        <v>2473</v>
      </c>
      <c r="D519" s="314">
        <v>0</v>
      </c>
      <c r="E519" s="314">
        <v>5</v>
      </c>
    </row>
    <row r="520" spans="1:5" x14ac:dyDescent="0.25">
      <c r="A520" s="316" t="s">
        <v>2489</v>
      </c>
      <c r="B520" s="313">
        <v>38622</v>
      </c>
      <c r="C520" s="316" t="s">
        <v>2473</v>
      </c>
      <c r="D520" s="314">
        <v>5</v>
      </c>
      <c r="E520" s="314">
        <v>10</v>
      </c>
    </row>
    <row r="521" spans="1:5" x14ac:dyDescent="0.25">
      <c r="A521" s="316" t="s">
        <v>2489</v>
      </c>
      <c r="B521" s="313">
        <v>38622</v>
      </c>
      <c r="C521" s="316" t="s">
        <v>2473</v>
      </c>
      <c r="D521" s="314">
        <v>10</v>
      </c>
      <c r="E521" s="314">
        <v>20</v>
      </c>
    </row>
    <row r="522" spans="1:5" x14ac:dyDescent="0.25">
      <c r="A522" s="316" t="s">
        <v>2489</v>
      </c>
      <c r="B522" s="313">
        <v>38622</v>
      </c>
      <c r="C522" s="316" t="s">
        <v>2473</v>
      </c>
      <c r="D522" s="314">
        <v>20</v>
      </c>
      <c r="E522" s="314">
        <v>30</v>
      </c>
    </row>
    <row r="523" spans="1:5" x14ac:dyDescent="0.25">
      <c r="A523" s="316" t="s">
        <v>2489</v>
      </c>
      <c r="B523" s="313">
        <v>38622</v>
      </c>
      <c r="C523" s="316" t="s">
        <v>2473</v>
      </c>
      <c r="D523" s="314">
        <v>30</v>
      </c>
      <c r="E523" s="314">
        <v>60</v>
      </c>
    </row>
    <row r="524" spans="1:5" x14ac:dyDescent="0.25">
      <c r="A524" s="316" t="s">
        <v>2489</v>
      </c>
      <c r="B524" s="313">
        <v>38622</v>
      </c>
      <c r="C524" s="316" t="s">
        <v>2473</v>
      </c>
      <c r="D524" s="314">
        <v>60</v>
      </c>
      <c r="E524" s="314">
        <v>100</v>
      </c>
    </row>
    <row r="525" spans="1:5" x14ac:dyDescent="0.25">
      <c r="A525" s="316" t="s">
        <v>2490</v>
      </c>
      <c r="B525" s="313">
        <v>38622</v>
      </c>
      <c r="C525" s="316" t="s">
        <v>2467</v>
      </c>
      <c r="D525" s="314">
        <v>0</v>
      </c>
      <c r="E525" s="314">
        <v>5</v>
      </c>
    </row>
    <row r="526" spans="1:5" x14ac:dyDescent="0.25">
      <c r="A526" s="316" t="s">
        <v>2490</v>
      </c>
      <c r="B526" s="313">
        <v>38622</v>
      </c>
      <c r="C526" s="316" t="s">
        <v>2467</v>
      </c>
      <c r="D526" s="314">
        <v>5</v>
      </c>
      <c r="E526" s="314">
        <v>10</v>
      </c>
    </row>
    <row r="527" spans="1:5" x14ac:dyDescent="0.25">
      <c r="A527" s="316" t="s">
        <v>2490</v>
      </c>
      <c r="B527" s="313">
        <v>38622</v>
      </c>
      <c r="C527" s="316" t="s">
        <v>2467</v>
      </c>
      <c r="D527" s="314">
        <v>10</v>
      </c>
      <c r="E527" s="314">
        <v>20</v>
      </c>
    </row>
    <row r="528" spans="1:5" x14ac:dyDescent="0.25">
      <c r="A528" s="316" t="s">
        <v>2490</v>
      </c>
      <c r="B528" s="313">
        <v>38622</v>
      </c>
      <c r="C528" s="316" t="s">
        <v>2467</v>
      </c>
      <c r="D528" s="314">
        <v>20</v>
      </c>
      <c r="E528" s="314">
        <v>30</v>
      </c>
    </row>
    <row r="529" spans="1:5" x14ac:dyDescent="0.25">
      <c r="A529" s="316" t="s">
        <v>2490</v>
      </c>
      <c r="B529" s="313">
        <v>38622</v>
      </c>
      <c r="C529" s="316" t="s">
        <v>2467</v>
      </c>
      <c r="D529" s="314">
        <v>30</v>
      </c>
      <c r="E529" s="314">
        <v>60</v>
      </c>
    </row>
    <row r="530" spans="1:5" x14ac:dyDescent="0.25">
      <c r="A530" s="316" t="s">
        <v>2490</v>
      </c>
      <c r="B530" s="313">
        <v>38622</v>
      </c>
      <c r="C530" s="316" t="s">
        <v>2467</v>
      </c>
      <c r="D530" s="314">
        <v>60</v>
      </c>
      <c r="E530" s="314">
        <v>100</v>
      </c>
    </row>
    <row r="531" spans="1:5" x14ac:dyDescent="0.25">
      <c r="A531" s="316" t="s">
        <v>2491</v>
      </c>
      <c r="B531" s="313">
        <v>38622</v>
      </c>
      <c r="C531" s="316" t="s">
        <v>2471</v>
      </c>
      <c r="D531" s="314">
        <v>0</v>
      </c>
      <c r="E531" s="314">
        <v>5</v>
      </c>
    </row>
    <row r="532" spans="1:5" x14ac:dyDescent="0.25">
      <c r="A532" s="316" t="s">
        <v>2491</v>
      </c>
      <c r="B532" s="313">
        <v>38622</v>
      </c>
      <c r="C532" s="316" t="s">
        <v>2471</v>
      </c>
      <c r="D532" s="314">
        <v>5</v>
      </c>
      <c r="E532" s="314">
        <v>10</v>
      </c>
    </row>
    <row r="533" spans="1:5" x14ac:dyDescent="0.25">
      <c r="A533" s="316" t="s">
        <v>2491</v>
      </c>
      <c r="B533" s="313">
        <v>38622</v>
      </c>
      <c r="C533" s="316" t="s">
        <v>2471</v>
      </c>
      <c r="D533" s="314">
        <v>10</v>
      </c>
      <c r="E533" s="314">
        <v>20</v>
      </c>
    </row>
    <row r="534" spans="1:5" x14ac:dyDescent="0.25">
      <c r="A534" s="316" t="s">
        <v>2491</v>
      </c>
      <c r="B534" s="313">
        <v>38622</v>
      </c>
      <c r="C534" s="316" t="s">
        <v>2471</v>
      </c>
      <c r="D534" s="314">
        <v>20</v>
      </c>
      <c r="E534" s="314">
        <v>30</v>
      </c>
    </row>
    <row r="535" spans="1:5" x14ac:dyDescent="0.25">
      <c r="A535" s="316" t="s">
        <v>2491</v>
      </c>
      <c r="B535" s="313">
        <v>38622</v>
      </c>
      <c r="C535" s="316" t="s">
        <v>2471</v>
      </c>
      <c r="D535" s="314">
        <v>30</v>
      </c>
      <c r="E535" s="314">
        <v>60</v>
      </c>
    </row>
    <row r="536" spans="1:5" x14ac:dyDescent="0.25">
      <c r="A536" s="316" t="s">
        <v>2491</v>
      </c>
      <c r="B536" s="313">
        <v>38622</v>
      </c>
      <c r="C536" s="316" t="s">
        <v>2471</v>
      </c>
      <c r="D536" s="314">
        <v>60</v>
      </c>
      <c r="E536" s="314">
        <v>100</v>
      </c>
    </row>
    <row r="537" spans="1:5" x14ac:dyDescent="0.25">
      <c r="A537" s="316" t="s">
        <v>2492</v>
      </c>
      <c r="B537" s="313">
        <v>38622</v>
      </c>
      <c r="C537" s="316" t="s">
        <v>2471</v>
      </c>
      <c r="D537" s="314">
        <v>0</v>
      </c>
      <c r="E537" s="314">
        <v>5</v>
      </c>
    </row>
    <row r="538" spans="1:5" x14ac:dyDescent="0.25">
      <c r="A538" s="316" t="s">
        <v>2492</v>
      </c>
      <c r="B538" s="313">
        <v>38622</v>
      </c>
      <c r="C538" s="316" t="s">
        <v>2471</v>
      </c>
      <c r="D538" s="314">
        <v>5</v>
      </c>
      <c r="E538" s="314">
        <v>10</v>
      </c>
    </row>
    <row r="539" spans="1:5" x14ac:dyDescent="0.25">
      <c r="A539" s="316" t="s">
        <v>2492</v>
      </c>
      <c r="B539" s="313">
        <v>38622</v>
      </c>
      <c r="C539" s="316" t="s">
        <v>2471</v>
      </c>
      <c r="D539" s="314">
        <v>10</v>
      </c>
      <c r="E539" s="314">
        <v>20</v>
      </c>
    </row>
    <row r="540" spans="1:5" x14ac:dyDescent="0.25">
      <c r="A540" s="316" t="s">
        <v>2492</v>
      </c>
      <c r="B540" s="313">
        <v>38622</v>
      </c>
      <c r="C540" s="316" t="s">
        <v>2471</v>
      </c>
      <c r="D540" s="314">
        <v>20</v>
      </c>
      <c r="E540" s="314">
        <v>30</v>
      </c>
    </row>
    <row r="541" spans="1:5" x14ac:dyDescent="0.25">
      <c r="A541" s="316" t="s">
        <v>2492</v>
      </c>
      <c r="B541" s="313">
        <v>38622</v>
      </c>
      <c r="C541" s="316" t="s">
        <v>2471</v>
      </c>
      <c r="D541" s="314">
        <v>30</v>
      </c>
      <c r="E541" s="314">
        <v>60</v>
      </c>
    </row>
    <row r="542" spans="1:5" x14ac:dyDescent="0.25">
      <c r="A542" s="316" t="s">
        <v>2492</v>
      </c>
      <c r="B542" s="313">
        <v>38622</v>
      </c>
      <c r="C542" s="316" t="s">
        <v>2471</v>
      </c>
      <c r="D542" s="314">
        <v>60</v>
      </c>
      <c r="E542" s="314">
        <v>100</v>
      </c>
    </row>
    <row r="543" spans="1:5" x14ac:dyDescent="0.25">
      <c r="A543" s="316" t="s">
        <v>2493</v>
      </c>
      <c r="B543" s="313">
        <v>38622</v>
      </c>
      <c r="C543" s="316" t="s">
        <v>2469</v>
      </c>
      <c r="D543" s="314">
        <v>0</v>
      </c>
      <c r="E543" s="314">
        <v>5</v>
      </c>
    </row>
    <row r="544" spans="1:5" x14ac:dyDescent="0.25">
      <c r="A544" s="316" t="s">
        <v>2493</v>
      </c>
      <c r="B544" s="313">
        <v>38622</v>
      </c>
      <c r="C544" s="316" t="s">
        <v>2469</v>
      </c>
      <c r="D544" s="314">
        <v>5</v>
      </c>
      <c r="E544" s="314">
        <v>10</v>
      </c>
    </row>
    <row r="545" spans="1:5" x14ac:dyDescent="0.25">
      <c r="A545" s="316" t="s">
        <v>2493</v>
      </c>
      <c r="B545" s="313">
        <v>38622</v>
      </c>
      <c r="C545" s="316" t="s">
        <v>2469</v>
      </c>
      <c r="D545" s="314">
        <v>10</v>
      </c>
      <c r="E545" s="314">
        <v>20</v>
      </c>
    </row>
    <row r="546" spans="1:5" x14ac:dyDescent="0.25">
      <c r="A546" s="316" t="s">
        <v>2493</v>
      </c>
      <c r="B546" s="313">
        <v>38622</v>
      </c>
      <c r="C546" s="316" t="s">
        <v>2469</v>
      </c>
      <c r="D546" s="314">
        <v>20</v>
      </c>
      <c r="E546" s="314">
        <v>30</v>
      </c>
    </row>
    <row r="547" spans="1:5" x14ac:dyDescent="0.25">
      <c r="A547" s="316" t="s">
        <v>2493</v>
      </c>
      <c r="B547" s="313">
        <v>38622</v>
      </c>
      <c r="C547" s="316" t="s">
        <v>2469</v>
      </c>
      <c r="D547" s="314">
        <v>30</v>
      </c>
      <c r="E547" s="314">
        <v>60</v>
      </c>
    </row>
    <row r="548" spans="1:5" x14ac:dyDescent="0.25">
      <c r="A548" s="316" t="s">
        <v>2493</v>
      </c>
      <c r="B548" s="313">
        <v>38622</v>
      </c>
      <c r="C548" s="316" t="s">
        <v>2469</v>
      </c>
      <c r="D548" s="314">
        <v>60</v>
      </c>
      <c r="E548" s="314">
        <v>100</v>
      </c>
    </row>
    <row r="549" spans="1:5" x14ac:dyDescent="0.25">
      <c r="A549" s="316" t="s">
        <v>2494</v>
      </c>
      <c r="B549" s="313">
        <v>38622</v>
      </c>
      <c r="C549" s="316" t="s">
        <v>2465</v>
      </c>
      <c r="D549" s="314">
        <v>0</v>
      </c>
      <c r="E549" s="314">
        <v>5</v>
      </c>
    </row>
    <row r="550" spans="1:5" x14ac:dyDescent="0.25">
      <c r="A550" s="316" t="s">
        <v>2494</v>
      </c>
      <c r="B550" s="313">
        <v>38622</v>
      </c>
      <c r="C550" s="316" t="s">
        <v>2465</v>
      </c>
      <c r="D550" s="314">
        <v>5</v>
      </c>
      <c r="E550" s="314">
        <v>10</v>
      </c>
    </row>
    <row r="551" spans="1:5" x14ac:dyDescent="0.25">
      <c r="A551" s="316" t="s">
        <v>2494</v>
      </c>
      <c r="B551" s="313">
        <v>38622</v>
      </c>
      <c r="C551" s="316" t="s">
        <v>2465</v>
      </c>
      <c r="D551" s="314">
        <v>10</v>
      </c>
      <c r="E551" s="314">
        <v>20</v>
      </c>
    </row>
    <row r="552" spans="1:5" x14ac:dyDescent="0.25">
      <c r="A552" s="316" t="s">
        <v>2494</v>
      </c>
      <c r="B552" s="313">
        <v>38622</v>
      </c>
      <c r="C552" s="316" t="s">
        <v>2465</v>
      </c>
      <c r="D552" s="314">
        <v>20</v>
      </c>
      <c r="E552" s="314">
        <v>30</v>
      </c>
    </row>
    <row r="553" spans="1:5" x14ac:dyDescent="0.25">
      <c r="A553" s="316" t="s">
        <v>2494</v>
      </c>
      <c r="B553" s="313">
        <v>38622</v>
      </c>
      <c r="C553" s="316" t="s">
        <v>2465</v>
      </c>
      <c r="D553" s="314">
        <v>30</v>
      </c>
      <c r="E553" s="314">
        <v>60</v>
      </c>
    </row>
    <row r="554" spans="1:5" x14ac:dyDescent="0.25">
      <c r="A554" s="316" t="s">
        <v>2494</v>
      </c>
      <c r="B554" s="313">
        <v>38622</v>
      </c>
      <c r="C554" s="316" t="s">
        <v>2465</v>
      </c>
      <c r="D554" s="314">
        <v>60</v>
      </c>
      <c r="E554" s="314">
        <v>100</v>
      </c>
    </row>
    <row r="555" spans="1:5" x14ac:dyDescent="0.25">
      <c r="A555" s="316" t="s">
        <v>2495</v>
      </c>
      <c r="B555" s="313">
        <v>38622</v>
      </c>
      <c r="C555" s="316" t="s">
        <v>2475</v>
      </c>
      <c r="D555" s="314">
        <v>0</v>
      </c>
      <c r="E555" s="314">
        <v>5</v>
      </c>
    </row>
    <row r="556" spans="1:5" x14ac:dyDescent="0.25">
      <c r="A556" s="316" t="s">
        <v>2495</v>
      </c>
      <c r="B556" s="313">
        <v>38622</v>
      </c>
      <c r="C556" s="316" t="s">
        <v>2475</v>
      </c>
      <c r="D556" s="314">
        <v>5</v>
      </c>
      <c r="E556" s="314">
        <v>10</v>
      </c>
    </row>
    <row r="557" spans="1:5" x14ac:dyDescent="0.25">
      <c r="A557" s="316" t="s">
        <v>2495</v>
      </c>
      <c r="B557" s="313">
        <v>38622</v>
      </c>
      <c r="C557" s="316" t="s">
        <v>2475</v>
      </c>
      <c r="D557" s="314">
        <v>10</v>
      </c>
      <c r="E557" s="314">
        <v>20</v>
      </c>
    </row>
    <row r="558" spans="1:5" x14ac:dyDescent="0.25">
      <c r="A558" s="316" t="s">
        <v>2495</v>
      </c>
      <c r="B558" s="313">
        <v>38622</v>
      </c>
      <c r="C558" s="316" t="s">
        <v>2475</v>
      </c>
      <c r="D558" s="314">
        <v>20</v>
      </c>
      <c r="E558" s="314">
        <v>30</v>
      </c>
    </row>
    <row r="559" spans="1:5" x14ac:dyDescent="0.25">
      <c r="A559" s="316" t="s">
        <v>2495</v>
      </c>
      <c r="B559" s="313">
        <v>38622</v>
      </c>
      <c r="C559" s="316" t="s">
        <v>2475</v>
      </c>
      <c r="D559" s="314">
        <v>30</v>
      </c>
      <c r="E559" s="314">
        <v>60</v>
      </c>
    </row>
    <row r="560" spans="1:5" x14ac:dyDescent="0.25">
      <c r="A560" s="316" t="s">
        <v>2495</v>
      </c>
      <c r="B560" s="313">
        <v>38622</v>
      </c>
      <c r="C560" s="316" t="s">
        <v>2475</v>
      </c>
      <c r="D560" s="314">
        <v>60</v>
      </c>
      <c r="E560" s="314">
        <v>100</v>
      </c>
    </row>
    <row r="561" spans="1:5" x14ac:dyDescent="0.25">
      <c r="A561" s="316" t="s">
        <v>2496</v>
      </c>
      <c r="B561" s="313">
        <v>38622</v>
      </c>
      <c r="C561" s="316" t="s">
        <v>2463</v>
      </c>
      <c r="D561" s="314">
        <v>0</v>
      </c>
      <c r="E561" s="314">
        <v>5</v>
      </c>
    </row>
    <row r="562" spans="1:5" x14ac:dyDescent="0.25">
      <c r="A562" s="316" t="s">
        <v>2496</v>
      </c>
      <c r="B562" s="313">
        <v>38622</v>
      </c>
      <c r="C562" s="316" t="s">
        <v>2463</v>
      </c>
      <c r="D562" s="314">
        <v>5</v>
      </c>
      <c r="E562" s="314">
        <v>10</v>
      </c>
    </row>
    <row r="563" spans="1:5" x14ac:dyDescent="0.25">
      <c r="A563" s="316" t="s">
        <v>2496</v>
      </c>
      <c r="B563" s="313">
        <v>38622</v>
      </c>
      <c r="C563" s="316" t="s">
        <v>2463</v>
      </c>
      <c r="D563" s="314">
        <v>10</v>
      </c>
      <c r="E563" s="314">
        <v>20</v>
      </c>
    </row>
    <row r="564" spans="1:5" x14ac:dyDescent="0.25">
      <c r="A564" s="316" t="s">
        <v>2496</v>
      </c>
      <c r="B564" s="313">
        <v>38622</v>
      </c>
      <c r="C564" s="316" t="s">
        <v>2463</v>
      </c>
      <c r="D564" s="314">
        <v>20</v>
      </c>
      <c r="E564" s="314">
        <v>30</v>
      </c>
    </row>
    <row r="565" spans="1:5" x14ac:dyDescent="0.25">
      <c r="A565" s="316" t="s">
        <v>2496</v>
      </c>
      <c r="B565" s="313">
        <v>38622</v>
      </c>
      <c r="C565" s="316" t="s">
        <v>2463</v>
      </c>
      <c r="D565" s="314">
        <v>30</v>
      </c>
      <c r="E565" s="314">
        <v>60</v>
      </c>
    </row>
    <row r="566" spans="1:5" x14ac:dyDescent="0.25">
      <c r="A566" s="316" t="s">
        <v>2496</v>
      </c>
      <c r="B566" s="313">
        <v>38622</v>
      </c>
      <c r="C566" s="316" t="s">
        <v>2463</v>
      </c>
      <c r="D566" s="314">
        <v>60</v>
      </c>
      <c r="E566" s="314">
        <v>100</v>
      </c>
    </row>
    <row r="567" spans="1:5" x14ac:dyDescent="0.25">
      <c r="A567" s="316" t="s">
        <v>2497</v>
      </c>
      <c r="B567" s="313">
        <v>38622</v>
      </c>
      <c r="C567" s="316" t="s">
        <v>2473</v>
      </c>
      <c r="D567" s="314">
        <v>0</v>
      </c>
      <c r="E567" s="314">
        <v>5</v>
      </c>
    </row>
    <row r="568" spans="1:5" x14ac:dyDescent="0.25">
      <c r="A568" s="316" t="s">
        <v>2497</v>
      </c>
      <c r="B568" s="313">
        <v>38622</v>
      </c>
      <c r="C568" s="316" t="s">
        <v>2473</v>
      </c>
      <c r="D568" s="314">
        <v>5</v>
      </c>
      <c r="E568" s="314">
        <v>10</v>
      </c>
    </row>
    <row r="569" spans="1:5" x14ac:dyDescent="0.25">
      <c r="A569" s="316" t="s">
        <v>2497</v>
      </c>
      <c r="B569" s="313">
        <v>38622</v>
      </c>
      <c r="C569" s="316" t="s">
        <v>2473</v>
      </c>
      <c r="D569" s="314">
        <v>10</v>
      </c>
      <c r="E569" s="314">
        <v>20</v>
      </c>
    </row>
    <row r="570" spans="1:5" x14ac:dyDescent="0.25">
      <c r="A570" s="316" t="s">
        <v>2497</v>
      </c>
      <c r="B570" s="313">
        <v>38622</v>
      </c>
      <c r="C570" s="316" t="s">
        <v>2473</v>
      </c>
      <c r="D570" s="314">
        <v>20</v>
      </c>
      <c r="E570" s="314">
        <v>30</v>
      </c>
    </row>
    <row r="571" spans="1:5" x14ac:dyDescent="0.25">
      <c r="A571" s="316" t="s">
        <v>2497</v>
      </c>
      <c r="B571" s="313">
        <v>38622</v>
      </c>
      <c r="C571" s="316" t="s">
        <v>2473</v>
      </c>
      <c r="D571" s="314">
        <v>30</v>
      </c>
      <c r="E571" s="314">
        <v>60</v>
      </c>
    </row>
    <row r="572" spans="1:5" x14ac:dyDescent="0.25">
      <c r="A572" s="316" t="s">
        <v>2497</v>
      </c>
      <c r="B572" s="313">
        <v>38622</v>
      </c>
      <c r="C572" s="316" t="s">
        <v>2473</v>
      </c>
      <c r="D572" s="314">
        <v>60</v>
      </c>
      <c r="E572" s="314">
        <v>100</v>
      </c>
    </row>
    <row r="573" spans="1:5" x14ac:dyDescent="0.25">
      <c r="A573" s="316" t="s">
        <v>2498</v>
      </c>
      <c r="B573" s="313">
        <v>38622</v>
      </c>
      <c r="C573" s="316" t="s">
        <v>2467</v>
      </c>
      <c r="D573" s="314">
        <v>0</v>
      </c>
      <c r="E573" s="314">
        <v>5</v>
      </c>
    </row>
    <row r="574" spans="1:5" x14ac:dyDescent="0.25">
      <c r="A574" s="316" t="s">
        <v>2498</v>
      </c>
      <c r="B574" s="313">
        <v>38622</v>
      </c>
      <c r="C574" s="316" t="s">
        <v>2467</v>
      </c>
      <c r="D574" s="314">
        <v>5</v>
      </c>
      <c r="E574" s="314">
        <v>10</v>
      </c>
    </row>
    <row r="575" spans="1:5" x14ac:dyDescent="0.25">
      <c r="A575" s="316" t="s">
        <v>2498</v>
      </c>
      <c r="B575" s="313">
        <v>38622</v>
      </c>
      <c r="C575" s="316" t="s">
        <v>2467</v>
      </c>
      <c r="D575" s="314">
        <v>10</v>
      </c>
      <c r="E575" s="314">
        <v>20</v>
      </c>
    </row>
    <row r="576" spans="1:5" x14ac:dyDescent="0.25">
      <c r="A576" s="316" t="s">
        <v>2498</v>
      </c>
      <c r="B576" s="313">
        <v>38622</v>
      </c>
      <c r="C576" s="316" t="s">
        <v>2467</v>
      </c>
      <c r="D576" s="314">
        <v>20</v>
      </c>
      <c r="E576" s="314">
        <v>30</v>
      </c>
    </row>
    <row r="577" spans="1:5" x14ac:dyDescent="0.25">
      <c r="A577" s="316" t="s">
        <v>2498</v>
      </c>
      <c r="B577" s="313">
        <v>38622</v>
      </c>
      <c r="C577" s="316" t="s">
        <v>2467</v>
      </c>
      <c r="D577" s="314">
        <v>30</v>
      </c>
      <c r="E577" s="314">
        <v>60</v>
      </c>
    </row>
    <row r="578" spans="1:5" x14ac:dyDescent="0.25">
      <c r="A578" s="316" t="s">
        <v>2498</v>
      </c>
      <c r="B578" s="313">
        <v>38622</v>
      </c>
      <c r="C578" s="316" t="s">
        <v>2467</v>
      </c>
      <c r="D578" s="314">
        <v>60</v>
      </c>
      <c r="E578" s="314">
        <v>100</v>
      </c>
    </row>
    <row r="579" spans="1:5" x14ac:dyDescent="0.25">
      <c r="A579" s="316" t="s">
        <v>2499</v>
      </c>
      <c r="B579" s="313">
        <v>38622</v>
      </c>
      <c r="C579" s="316" t="s">
        <v>2461</v>
      </c>
      <c r="D579" s="314">
        <v>0</v>
      </c>
      <c r="E579" s="314">
        <v>5</v>
      </c>
    </row>
    <row r="580" spans="1:5" x14ac:dyDescent="0.25">
      <c r="A580" s="316" t="s">
        <v>2499</v>
      </c>
      <c r="B580" s="313">
        <v>38622</v>
      </c>
      <c r="C580" s="316" t="s">
        <v>2461</v>
      </c>
      <c r="D580" s="314">
        <v>5</v>
      </c>
      <c r="E580" s="314">
        <v>10</v>
      </c>
    </row>
    <row r="581" spans="1:5" x14ac:dyDescent="0.25">
      <c r="A581" s="316" t="s">
        <v>2499</v>
      </c>
      <c r="B581" s="313">
        <v>38622</v>
      </c>
      <c r="C581" s="316" t="s">
        <v>2461</v>
      </c>
      <c r="D581" s="314">
        <v>10</v>
      </c>
      <c r="E581" s="314">
        <v>20</v>
      </c>
    </row>
    <row r="582" spans="1:5" x14ac:dyDescent="0.25">
      <c r="A582" s="316" t="s">
        <v>2499</v>
      </c>
      <c r="B582" s="313">
        <v>38622</v>
      </c>
      <c r="C582" s="316" t="s">
        <v>2461</v>
      </c>
      <c r="D582" s="314">
        <v>20</v>
      </c>
      <c r="E582" s="314">
        <v>30</v>
      </c>
    </row>
    <row r="583" spans="1:5" x14ac:dyDescent="0.25">
      <c r="A583" s="316" t="s">
        <v>2499</v>
      </c>
      <c r="B583" s="313">
        <v>38622</v>
      </c>
      <c r="C583" s="316" t="s">
        <v>2461</v>
      </c>
      <c r="D583" s="314">
        <v>30</v>
      </c>
      <c r="E583" s="314">
        <v>60</v>
      </c>
    </row>
    <row r="584" spans="1:5" x14ac:dyDescent="0.25">
      <c r="A584" s="316" t="s">
        <v>2499</v>
      </c>
      <c r="B584" s="313">
        <v>38622</v>
      </c>
      <c r="C584" s="316" t="s">
        <v>2461</v>
      </c>
      <c r="D584" s="314">
        <v>60</v>
      </c>
      <c r="E584" s="314">
        <v>100</v>
      </c>
    </row>
    <row r="585" spans="1:5" x14ac:dyDescent="0.25">
      <c r="A585" s="316" t="s">
        <v>2380</v>
      </c>
      <c r="B585" s="313">
        <v>40485</v>
      </c>
      <c r="C585" s="316" t="s">
        <v>2381</v>
      </c>
      <c r="D585" s="314">
        <v>0</v>
      </c>
      <c r="E585" s="314">
        <v>5</v>
      </c>
    </row>
    <row r="586" spans="1:5" x14ac:dyDescent="0.25">
      <c r="A586" s="316" t="s">
        <v>2380</v>
      </c>
      <c r="B586" s="313">
        <v>40485</v>
      </c>
      <c r="C586" s="316" t="s">
        <v>2381</v>
      </c>
      <c r="D586" s="314">
        <v>5</v>
      </c>
      <c r="E586" s="314">
        <v>10</v>
      </c>
    </row>
    <row r="587" spans="1:5" x14ac:dyDescent="0.25">
      <c r="A587" s="316" t="s">
        <v>2380</v>
      </c>
      <c r="B587" s="313">
        <v>40485</v>
      </c>
      <c r="C587" s="316" t="s">
        <v>2381</v>
      </c>
      <c r="D587" s="314">
        <v>10</v>
      </c>
      <c r="E587" s="314">
        <v>20</v>
      </c>
    </row>
    <row r="588" spans="1:5" x14ac:dyDescent="0.25">
      <c r="A588" s="316" t="s">
        <v>2380</v>
      </c>
      <c r="B588" s="313">
        <v>40485</v>
      </c>
      <c r="C588" s="316" t="s">
        <v>2381</v>
      </c>
      <c r="D588" s="314">
        <v>20</v>
      </c>
      <c r="E588" s="314">
        <v>30</v>
      </c>
    </row>
    <row r="589" spans="1:5" x14ac:dyDescent="0.25">
      <c r="A589" s="316" t="s">
        <v>2380</v>
      </c>
      <c r="B589" s="313">
        <v>40485</v>
      </c>
      <c r="C589" s="316" t="s">
        <v>2381</v>
      </c>
      <c r="D589" s="314">
        <v>30</v>
      </c>
      <c r="E589" s="314">
        <v>60</v>
      </c>
    </row>
    <row r="590" spans="1:5" x14ac:dyDescent="0.25">
      <c r="A590" s="316" t="s">
        <v>2380</v>
      </c>
      <c r="B590" s="313">
        <v>40485</v>
      </c>
      <c r="C590" s="316" t="s">
        <v>2381</v>
      </c>
      <c r="D590" s="314">
        <v>60</v>
      </c>
      <c r="E590" s="314">
        <v>100</v>
      </c>
    </row>
    <row r="591" spans="1:5" x14ac:dyDescent="0.25">
      <c r="A591" s="316" t="s">
        <v>2382</v>
      </c>
      <c r="B591" s="313">
        <v>40485</v>
      </c>
      <c r="C591" s="316" t="s">
        <v>2383</v>
      </c>
      <c r="D591" s="314">
        <v>0</v>
      </c>
      <c r="E591" s="314">
        <v>5</v>
      </c>
    </row>
    <row r="592" spans="1:5" x14ac:dyDescent="0.25">
      <c r="A592" s="316" t="s">
        <v>2382</v>
      </c>
      <c r="B592" s="313">
        <v>40485</v>
      </c>
      <c r="C592" s="316" t="s">
        <v>2383</v>
      </c>
      <c r="D592" s="314">
        <v>5</v>
      </c>
      <c r="E592" s="314">
        <v>10</v>
      </c>
    </row>
    <row r="593" spans="1:5" x14ac:dyDescent="0.25">
      <c r="A593" s="316" t="s">
        <v>2382</v>
      </c>
      <c r="B593" s="313">
        <v>40485</v>
      </c>
      <c r="C593" s="316" t="s">
        <v>2383</v>
      </c>
      <c r="D593" s="314">
        <v>10</v>
      </c>
      <c r="E593" s="314">
        <v>20</v>
      </c>
    </row>
    <row r="594" spans="1:5" x14ac:dyDescent="0.25">
      <c r="A594" s="316" t="s">
        <v>2382</v>
      </c>
      <c r="B594" s="313">
        <v>40485</v>
      </c>
      <c r="C594" s="316" t="s">
        <v>2383</v>
      </c>
      <c r="D594" s="314">
        <v>20</v>
      </c>
      <c r="E594" s="314">
        <v>30</v>
      </c>
    </row>
    <row r="595" spans="1:5" x14ac:dyDescent="0.25">
      <c r="A595" s="316" t="s">
        <v>2382</v>
      </c>
      <c r="B595" s="313">
        <v>40485</v>
      </c>
      <c r="C595" s="316" t="s">
        <v>2383</v>
      </c>
      <c r="D595" s="314">
        <v>30</v>
      </c>
      <c r="E595" s="314">
        <v>60</v>
      </c>
    </row>
    <row r="596" spans="1:5" x14ac:dyDescent="0.25">
      <c r="A596" s="316" t="s">
        <v>2382</v>
      </c>
      <c r="B596" s="313">
        <v>40485</v>
      </c>
      <c r="C596" s="316" t="s">
        <v>2383</v>
      </c>
      <c r="D596" s="314">
        <v>60</v>
      </c>
      <c r="E596" s="314">
        <v>100</v>
      </c>
    </row>
    <row r="597" spans="1:5" x14ac:dyDescent="0.25">
      <c r="A597" s="316" t="s">
        <v>2384</v>
      </c>
      <c r="B597" s="313">
        <v>40485</v>
      </c>
      <c r="C597" s="316" t="s">
        <v>2385</v>
      </c>
      <c r="D597" s="314">
        <v>0</v>
      </c>
      <c r="E597" s="314">
        <v>5</v>
      </c>
    </row>
    <row r="598" spans="1:5" x14ac:dyDescent="0.25">
      <c r="A598" s="316" t="s">
        <v>2384</v>
      </c>
      <c r="B598" s="313">
        <v>40485</v>
      </c>
      <c r="C598" s="316" t="s">
        <v>2385</v>
      </c>
      <c r="D598" s="314">
        <v>5</v>
      </c>
      <c r="E598" s="314">
        <v>10</v>
      </c>
    </row>
    <row r="599" spans="1:5" x14ac:dyDescent="0.25">
      <c r="A599" s="316" t="s">
        <v>2384</v>
      </c>
      <c r="B599" s="313">
        <v>40485</v>
      </c>
      <c r="C599" s="316" t="s">
        <v>2385</v>
      </c>
      <c r="D599" s="314">
        <v>10</v>
      </c>
      <c r="E599" s="314">
        <v>20</v>
      </c>
    </row>
    <row r="600" spans="1:5" x14ac:dyDescent="0.25">
      <c r="A600" s="316" t="s">
        <v>2384</v>
      </c>
      <c r="B600" s="313">
        <v>40485</v>
      </c>
      <c r="C600" s="316" t="s">
        <v>2385</v>
      </c>
      <c r="D600" s="314">
        <v>20</v>
      </c>
      <c r="E600" s="314">
        <v>30</v>
      </c>
    </row>
    <row r="601" spans="1:5" x14ac:dyDescent="0.25">
      <c r="A601" s="316" t="s">
        <v>2384</v>
      </c>
      <c r="B601" s="313">
        <v>40485</v>
      </c>
      <c r="C601" s="316" t="s">
        <v>2385</v>
      </c>
      <c r="D601" s="314">
        <v>30</v>
      </c>
      <c r="E601" s="314">
        <v>60</v>
      </c>
    </row>
    <row r="602" spans="1:5" x14ac:dyDescent="0.25">
      <c r="A602" s="316" t="s">
        <v>2384</v>
      </c>
      <c r="B602" s="313">
        <v>40485</v>
      </c>
      <c r="C602" s="316" t="s">
        <v>2385</v>
      </c>
      <c r="D602" s="314">
        <v>60</v>
      </c>
      <c r="E602" s="314">
        <v>100</v>
      </c>
    </row>
    <row r="603" spans="1:5" x14ac:dyDescent="0.25">
      <c r="A603" s="316" t="s">
        <v>2386</v>
      </c>
      <c r="B603" s="313">
        <v>40485</v>
      </c>
      <c r="C603" s="316" t="s">
        <v>2387</v>
      </c>
      <c r="D603" s="314">
        <v>0</v>
      </c>
      <c r="E603" s="314">
        <v>5</v>
      </c>
    </row>
    <row r="604" spans="1:5" x14ac:dyDescent="0.25">
      <c r="A604" s="316" t="s">
        <v>2386</v>
      </c>
      <c r="B604" s="313">
        <v>40485</v>
      </c>
      <c r="C604" s="316" t="s">
        <v>2387</v>
      </c>
      <c r="D604" s="314">
        <v>5</v>
      </c>
      <c r="E604" s="314">
        <v>10</v>
      </c>
    </row>
    <row r="605" spans="1:5" x14ac:dyDescent="0.25">
      <c r="A605" s="316" t="s">
        <v>2386</v>
      </c>
      <c r="B605" s="313">
        <v>40485</v>
      </c>
      <c r="C605" s="316" t="s">
        <v>2387</v>
      </c>
      <c r="D605" s="314">
        <v>10</v>
      </c>
      <c r="E605" s="314">
        <v>20</v>
      </c>
    </row>
    <row r="606" spans="1:5" x14ac:dyDescent="0.25">
      <c r="A606" s="316" t="s">
        <v>2386</v>
      </c>
      <c r="B606" s="313">
        <v>40485</v>
      </c>
      <c r="C606" s="316" t="s">
        <v>2387</v>
      </c>
      <c r="D606" s="314">
        <v>20</v>
      </c>
      <c r="E606" s="314">
        <v>30</v>
      </c>
    </row>
    <row r="607" spans="1:5" x14ac:dyDescent="0.25">
      <c r="A607" s="316" t="s">
        <v>2386</v>
      </c>
      <c r="B607" s="313">
        <v>40485</v>
      </c>
      <c r="C607" s="316" t="s">
        <v>2387</v>
      </c>
      <c r="D607" s="314">
        <v>30</v>
      </c>
      <c r="E607" s="314">
        <v>60</v>
      </c>
    </row>
    <row r="608" spans="1:5" x14ac:dyDescent="0.25">
      <c r="A608" s="316" t="s">
        <v>2386</v>
      </c>
      <c r="B608" s="313">
        <v>40485</v>
      </c>
      <c r="C608" s="316" t="s">
        <v>2387</v>
      </c>
      <c r="D608" s="314">
        <v>60</v>
      </c>
      <c r="E608" s="314">
        <v>100</v>
      </c>
    </row>
    <row r="609" spans="1:5" x14ac:dyDescent="0.25">
      <c r="A609" s="316" t="s">
        <v>2388</v>
      </c>
      <c r="B609" s="313">
        <v>40485</v>
      </c>
      <c r="C609" s="316" t="s">
        <v>2389</v>
      </c>
      <c r="D609" s="314">
        <v>0</v>
      </c>
      <c r="E609" s="314">
        <v>5</v>
      </c>
    </row>
    <row r="610" spans="1:5" x14ac:dyDescent="0.25">
      <c r="A610" s="316" t="s">
        <v>2388</v>
      </c>
      <c r="B610" s="313">
        <v>40485</v>
      </c>
      <c r="C610" s="316" t="s">
        <v>2389</v>
      </c>
      <c r="D610" s="314">
        <v>5</v>
      </c>
      <c r="E610" s="314">
        <v>10</v>
      </c>
    </row>
    <row r="611" spans="1:5" x14ac:dyDescent="0.25">
      <c r="A611" s="316" t="s">
        <v>2388</v>
      </c>
      <c r="B611" s="313">
        <v>40485</v>
      </c>
      <c r="C611" s="316" t="s">
        <v>2389</v>
      </c>
      <c r="D611" s="314">
        <v>10</v>
      </c>
      <c r="E611" s="314">
        <v>20</v>
      </c>
    </row>
    <row r="612" spans="1:5" x14ac:dyDescent="0.25">
      <c r="A612" s="316" t="s">
        <v>2388</v>
      </c>
      <c r="B612" s="313">
        <v>40485</v>
      </c>
      <c r="C612" s="316" t="s">
        <v>2389</v>
      </c>
      <c r="D612" s="314">
        <v>20</v>
      </c>
      <c r="E612" s="314">
        <v>30</v>
      </c>
    </row>
    <row r="613" spans="1:5" x14ac:dyDescent="0.25">
      <c r="A613" s="316" t="s">
        <v>2388</v>
      </c>
      <c r="B613" s="313">
        <v>40485</v>
      </c>
      <c r="C613" s="316" t="s">
        <v>2389</v>
      </c>
      <c r="D613" s="314">
        <v>30</v>
      </c>
      <c r="E613" s="314">
        <v>60</v>
      </c>
    </row>
    <row r="614" spans="1:5" x14ac:dyDescent="0.25">
      <c r="A614" s="316" t="s">
        <v>2388</v>
      </c>
      <c r="B614" s="313">
        <v>40485</v>
      </c>
      <c r="C614" s="316" t="s">
        <v>2389</v>
      </c>
      <c r="D614" s="314">
        <v>60</v>
      </c>
      <c r="E614" s="314">
        <v>100</v>
      </c>
    </row>
    <row r="615" spans="1:5" x14ac:dyDescent="0.25">
      <c r="A615" s="316" t="s">
        <v>2390</v>
      </c>
      <c r="B615" s="313">
        <v>40485</v>
      </c>
      <c r="C615" s="316" t="s">
        <v>2391</v>
      </c>
      <c r="D615" s="314">
        <v>0</v>
      </c>
      <c r="E615" s="314">
        <v>5</v>
      </c>
    </row>
    <row r="616" spans="1:5" x14ac:dyDescent="0.25">
      <c r="A616" s="316" t="s">
        <v>2390</v>
      </c>
      <c r="B616" s="313">
        <v>40485</v>
      </c>
      <c r="C616" s="316" t="s">
        <v>2391</v>
      </c>
      <c r="D616" s="314">
        <v>5</v>
      </c>
      <c r="E616" s="314">
        <v>10</v>
      </c>
    </row>
    <row r="617" spans="1:5" x14ac:dyDescent="0.25">
      <c r="A617" s="316" t="s">
        <v>2390</v>
      </c>
      <c r="B617" s="313">
        <v>40485</v>
      </c>
      <c r="C617" s="316" t="s">
        <v>2391</v>
      </c>
      <c r="D617" s="314">
        <v>10</v>
      </c>
      <c r="E617" s="314">
        <v>20</v>
      </c>
    </row>
    <row r="618" spans="1:5" x14ac:dyDescent="0.25">
      <c r="A618" s="316" t="s">
        <v>2390</v>
      </c>
      <c r="B618" s="313">
        <v>40485</v>
      </c>
      <c r="C618" s="316" t="s">
        <v>2391</v>
      </c>
      <c r="D618" s="314">
        <v>20</v>
      </c>
      <c r="E618" s="314">
        <v>30</v>
      </c>
    </row>
    <row r="619" spans="1:5" x14ac:dyDescent="0.25">
      <c r="A619" s="316" t="s">
        <v>2390</v>
      </c>
      <c r="B619" s="313">
        <v>40485</v>
      </c>
      <c r="C619" s="316" t="s">
        <v>2391</v>
      </c>
      <c r="D619" s="314">
        <v>30</v>
      </c>
      <c r="E619" s="314">
        <v>60</v>
      </c>
    </row>
    <row r="620" spans="1:5" x14ac:dyDescent="0.25">
      <c r="A620" s="316" t="s">
        <v>2390</v>
      </c>
      <c r="B620" s="313">
        <v>40485</v>
      </c>
      <c r="C620" s="316" t="s">
        <v>2391</v>
      </c>
      <c r="D620" s="314">
        <v>60</v>
      </c>
      <c r="E620" s="314">
        <v>100</v>
      </c>
    </row>
    <row r="621" spans="1:5" x14ac:dyDescent="0.25">
      <c r="A621" s="316" t="s">
        <v>2392</v>
      </c>
      <c r="B621" s="313">
        <v>40485</v>
      </c>
      <c r="C621" s="316" t="s">
        <v>2393</v>
      </c>
      <c r="D621" s="314">
        <v>0</v>
      </c>
      <c r="E621" s="314">
        <v>5</v>
      </c>
    </row>
    <row r="622" spans="1:5" x14ac:dyDescent="0.25">
      <c r="A622" s="316" t="s">
        <v>2392</v>
      </c>
      <c r="B622" s="313">
        <v>40485</v>
      </c>
      <c r="C622" s="316" t="s">
        <v>2393</v>
      </c>
      <c r="D622" s="314">
        <v>5</v>
      </c>
      <c r="E622" s="314">
        <v>10</v>
      </c>
    </row>
    <row r="623" spans="1:5" x14ac:dyDescent="0.25">
      <c r="A623" s="316" t="s">
        <v>2392</v>
      </c>
      <c r="B623" s="313">
        <v>40485</v>
      </c>
      <c r="C623" s="316" t="s">
        <v>2393</v>
      </c>
      <c r="D623" s="314">
        <v>10</v>
      </c>
      <c r="E623" s="314">
        <v>20</v>
      </c>
    </row>
    <row r="624" spans="1:5" x14ac:dyDescent="0.25">
      <c r="A624" s="316" t="s">
        <v>2392</v>
      </c>
      <c r="B624" s="313">
        <v>40485</v>
      </c>
      <c r="C624" s="316" t="s">
        <v>2393</v>
      </c>
      <c r="D624" s="314">
        <v>20</v>
      </c>
      <c r="E624" s="314">
        <v>30</v>
      </c>
    </row>
    <row r="625" spans="1:5" x14ac:dyDescent="0.25">
      <c r="A625" s="316" t="s">
        <v>2392</v>
      </c>
      <c r="B625" s="313">
        <v>40485</v>
      </c>
      <c r="C625" s="316" t="s">
        <v>2393</v>
      </c>
      <c r="D625" s="314">
        <v>30</v>
      </c>
      <c r="E625" s="314">
        <v>60</v>
      </c>
    </row>
    <row r="626" spans="1:5" x14ac:dyDescent="0.25">
      <c r="A626" s="316" t="s">
        <v>2392</v>
      </c>
      <c r="B626" s="313">
        <v>40485</v>
      </c>
      <c r="C626" s="316" t="s">
        <v>2393</v>
      </c>
      <c r="D626" s="314">
        <v>60</v>
      </c>
      <c r="E626" s="314">
        <v>100</v>
      </c>
    </row>
    <row r="627" spans="1:5" x14ac:dyDescent="0.25">
      <c r="A627" s="316" t="s">
        <v>2394</v>
      </c>
      <c r="B627" s="313">
        <v>40485</v>
      </c>
      <c r="C627" s="316" t="s">
        <v>2395</v>
      </c>
      <c r="D627" s="314">
        <v>0</v>
      </c>
      <c r="E627" s="314">
        <v>5</v>
      </c>
    </row>
    <row r="628" spans="1:5" x14ac:dyDescent="0.25">
      <c r="A628" s="316" t="s">
        <v>2394</v>
      </c>
      <c r="B628" s="313">
        <v>40485</v>
      </c>
      <c r="C628" s="316" t="s">
        <v>2395</v>
      </c>
      <c r="D628" s="314">
        <v>5</v>
      </c>
      <c r="E628" s="314">
        <v>10</v>
      </c>
    </row>
    <row r="629" spans="1:5" x14ac:dyDescent="0.25">
      <c r="A629" s="316" t="s">
        <v>2394</v>
      </c>
      <c r="B629" s="313">
        <v>40485</v>
      </c>
      <c r="C629" s="316" t="s">
        <v>2395</v>
      </c>
      <c r="D629" s="314">
        <v>10</v>
      </c>
      <c r="E629" s="314">
        <v>20</v>
      </c>
    </row>
    <row r="630" spans="1:5" x14ac:dyDescent="0.25">
      <c r="A630" s="316" t="s">
        <v>2394</v>
      </c>
      <c r="B630" s="313">
        <v>40485</v>
      </c>
      <c r="C630" s="316" t="s">
        <v>2395</v>
      </c>
      <c r="D630" s="314">
        <v>20</v>
      </c>
      <c r="E630" s="314">
        <v>30</v>
      </c>
    </row>
    <row r="631" spans="1:5" x14ac:dyDescent="0.25">
      <c r="A631" s="316" t="s">
        <v>2394</v>
      </c>
      <c r="B631" s="313">
        <v>40485</v>
      </c>
      <c r="C631" s="316" t="s">
        <v>2395</v>
      </c>
      <c r="D631" s="314">
        <v>30</v>
      </c>
      <c r="E631" s="314">
        <v>60</v>
      </c>
    </row>
    <row r="632" spans="1:5" x14ac:dyDescent="0.25">
      <c r="A632" s="316" t="s">
        <v>2394</v>
      </c>
      <c r="B632" s="313">
        <v>40485</v>
      </c>
      <c r="C632" s="316" t="s">
        <v>2395</v>
      </c>
      <c r="D632" s="314">
        <v>60</v>
      </c>
      <c r="E632" s="314">
        <v>100</v>
      </c>
    </row>
    <row r="633" spans="1:5" x14ac:dyDescent="0.25">
      <c r="A633" s="316" t="s">
        <v>2396</v>
      </c>
      <c r="B633" s="313">
        <v>40472</v>
      </c>
      <c r="C633" s="316" t="s">
        <v>2397</v>
      </c>
      <c r="D633" s="314">
        <v>0</v>
      </c>
      <c r="E633" s="314">
        <v>5</v>
      </c>
    </row>
    <row r="634" spans="1:5" x14ac:dyDescent="0.25">
      <c r="A634" s="316" t="s">
        <v>2396</v>
      </c>
      <c r="B634" s="313">
        <v>40472</v>
      </c>
      <c r="C634" s="316" t="s">
        <v>2397</v>
      </c>
      <c r="D634" s="314">
        <v>5</v>
      </c>
      <c r="E634" s="314">
        <v>10</v>
      </c>
    </row>
    <row r="635" spans="1:5" x14ac:dyDescent="0.25">
      <c r="A635" s="316" t="s">
        <v>2396</v>
      </c>
      <c r="B635" s="313">
        <v>40472</v>
      </c>
      <c r="C635" s="316" t="s">
        <v>2397</v>
      </c>
      <c r="D635" s="314">
        <v>10</v>
      </c>
      <c r="E635" s="314">
        <v>20</v>
      </c>
    </row>
    <row r="636" spans="1:5" x14ac:dyDescent="0.25">
      <c r="A636" s="316" t="s">
        <v>2396</v>
      </c>
      <c r="B636" s="313">
        <v>40472</v>
      </c>
      <c r="C636" s="316" t="s">
        <v>2397</v>
      </c>
      <c r="D636" s="314">
        <v>20</v>
      </c>
      <c r="E636" s="314">
        <v>30</v>
      </c>
    </row>
    <row r="637" spans="1:5" x14ac:dyDescent="0.25">
      <c r="A637" s="316" t="s">
        <v>2396</v>
      </c>
      <c r="B637" s="313">
        <v>40472</v>
      </c>
      <c r="C637" s="316" t="s">
        <v>2397</v>
      </c>
      <c r="D637" s="314">
        <v>30</v>
      </c>
      <c r="E637" s="314">
        <v>60</v>
      </c>
    </row>
    <row r="638" spans="1:5" x14ac:dyDescent="0.25">
      <c r="A638" s="316" t="s">
        <v>2396</v>
      </c>
      <c r="B638" s="313">
        <v>40472</v>
      </c>
      <c r="C638" s="316" t="s">
        <v>2397</v>
      </c>
      <c r="D638" s="314">
        <v>60</v>
      </c>
      <c r="E638" s="314">
        <v>100</v>
      </c>
    </row>
    <row r="639" spans="1:5" x14ac:dyDescent="0.25">
      <c r="A639" s="316" t="s">
        <v>2398</v>
      </c>
      <c r="B639" s="313">
        <v>40472</v>
      </c>
      <c r="C639" s="316" t="s">
        <v>2399</v>
      </c>
      <c r="D639" s="314">
        <v>0</v>
      </c>
      <c r="E639" s="314">
        <v>5</v>
      </c>
    </row>
    <row r="640" spans="1:5" x14ac:dyDescent="0.25">
      <c r="A640" s="316" t="s">
        <v>2398</v>
      </c>
      <c r="B640" s="313">
        <v>40472</v>
      </c>
      <c r="C640" s="316" t="s">
        <v>2399</v>
      </c>
      <c r="D640" s="314">
        <v>5</v>
      </c>
      <c r="E640" s="314">
        <v>10</v>
      </c>
    </row>
    <row r="641" spans="1:5" x14ac:dyDescent="0.25">
      <c r="A641" s="316" t="s">
        <v>2398</v>
      </c>
      <c r="B641" s="313">
        <v>40472</v>
      </c>
      <c r="C641" s="316" t="s">
        <v>2399</v>
      </c>
      <c r="D641" s="314">
        <v>10</v>
      </c>
      <c r="E641" s="314">
        <v>20</v>
      </c>
    </row>
    <row r="642" spans="1:5" x14ac:dyDescent="0.25">
      <c r="A642" s="316" t="s">
        <v>2398</v>
      </c>
      <c r="B642" s="313">
        <v>40472</v>
      </c>
      <c r="C642" s="316" t="s">
        <v>2399</v>
      </c>
      <c r="D642" s="314">
        <v>20</v>
      </c>
      <c r="E642" s="314">
        <v>30</v>
      </c>
    </row>
    <row r="643" spans="1:5" x14ac:dyDescent="0.25">
      <c r="A643" s="316" t="s">
        <v>2398</v>
      </c>
      <c r="B643" s="313">
        <v>40472</v>
      </c>
      <c r="C643" s="316" t="s">
        <v>2399</v>
      </c>
      <c r="D643" s="314">
        <v>30</v>
      </c>
      <c r="E643" s="314">
        <v>60</v>
      </c>
    </row>
    <row r="644" spans="1:5" x14ac:dyDescent="0.25">
      <c r="A644" s="316" t="s">
        <v>2398</v>
      </c>
      <c r="B644" s="313">
        <v>40472</v>
      </c>
      <c r="C644" s="316" t="s">
        <v>2399</v>
      </c>
      <c r="D644" s="314">
        <v>60</v>
      </c>
      <c r="E644" s="314">
        <v>100</v>
      </c>
    </row>
    <row r="645" spans="1:5" x14ac:dyDescent="0.25">
      <c r="A645" s="316" t="s">
        <v>2400</v>
      </c>
      <c r="B645" s="313">
        <v>40472</v>
      </c>
      <c r="C645" s="316" t="s">
        <v>2401</v>
      </c>
      <c r="D645" s="314">
        <v>0</v>
      </c>
      <c r="E645" s="314">
        <v>5</v>
      </c>
    </row>
    <row r="646" spans="1:5" x14ac:dyDescent="0.25">
      <c r="A646" s="316" t="s">
        <v>2400</v>
      </c>
      <c r="B646" s="313">
        <v>40472</v>
      </c>
      <c r="C646" s="316" t="s">
        <v>2401</v>
      </c>
      <c r="D646" s="314">
        <v>5</v>
      </c>
      <c r="E646" s="314">
        <v>10</v>
      </c>
    </row>
    <row r="647" spans="1:5" x14ac:dyDescent="0.25">
      <c r="A647" s="316" t="s">
        <v>2400</v>
      </c>
      <c r="B647" s="313">
        <v>40472</v>
      </c>
      <c r="C647" s="316" t="s">
        <v>2401</v>
      </c>
      <c r="D647" s="314">
        <v>10</v>
      </c>
      <c r="E647" s="314">
        <v>20</v>
      </c>
    </row>
    <row r="648" spans="1:5" x14ac:dyDescent="0.25">
      <c r="A648" s="316" t="s">
        <v>2400</v>
      </c>
      <c r="B648" s="313">
        <v>40472</v>
      </c>
      <c r="C648" s="316" t="s">
        <v>2401</v>
      </c>
      <c r="D648" s="314">
        <v>20</v>
      </c>
      <c r="E648" s="314">
        <v>30</v>
      </c>
    </row>
    <row r="649" spans="1:5" x14ac:dyDescent="0.25">
      <c r="A649" s="316" t="s">
        <v>2400</v>
      </c>
      <c r="B649" s="313">
        <v>40472</v>
      </c>
      <c r="C649" s="316" t="s">
        <v>2401</v>
      </c>
      <c r="D649" s="314">
        <v>30</v>
      </c>
      <c r="E649" s="314">
        <v>60</v>
      </c>
    </row>
    <row r="650" spans="1:5" x14ac:dyDescent="0.25">
      <c r="A650" s="316" t="s">
        <v>2400</v>
      </c>
      <c r="B650" s="313">
        <v>40472</v>
      </c>
      <c r="C650" s="316" t="s">
        <v>2401</v>
      </c>
      <c r="D650" s="314">
        <v>60</v>
      </c>
      <c r="E650" s="314">
        <v>100</v>
      </c>
    </row>
    <row r="651" spans="1:5" x14ac:dyDescent="0.25">
      <c r="A651" s="316" t="s">
        <v>2402</v>
      </c>
      <c r="B651" s="313">
        <v>40472</v>
      </c>
      <c r="C651" s="316" t="s">
        <v>2403</v>
      </c>
      <c r="D651" s="314">
        <v>0</v>
      </c>
      <c r="E651" s="314">
        <v>5</v>
      </c>
    </row>
    <row r="652" spans="1:5" x14ac:dyDescent="0.25">
      <c r="A652" s="316" t="s">
        <v>2402</v>
      </c>
      <c r="B652" s="313">
        <v>40472</v>
      </c>
      <c r="C652" s="316" t="s">
        <v>2403</v>
      </c>
      <c r="D652" s="314">
        <v>5</v>
      </c>
      <c r="E652" s="314">
        <v>10</v>
      </c>
    </row>
    <row r="653" spans="1:5" x14ac:dyDescent="0.25">
      <c r="A653" s="316" t="s">
        <v>2402</v>
      </c>
      <c r="B653" s="313">
        <v>40472</v>
      </c>
      <c r="C653" s="316" t="s">
        <v>2403</v>
      </c>
      <c r="D653" s="314">
        <v>10</v>
      </c>
      <c r="E653" s="314">
        <v>20</v>
      </c>
    </row>
    <row r="654" spans="1:5" x14ac:dyDescent="0.25">
      <c r="A654" s="316" t="s">
        <v>2402</v>
      </c>
      <c r="B654" s="313">
        <v>40472</v>
      </c>
      <c r="C654" s="316" t="s">
        <v>2403</v>
      </c>
      <c r="D654" s="314">
        <v>20</v>
      </c>
      <c r="E654" s="314">
        <v>30</v>
      </c>
    </row>
    <row r="655" spans="1:5" x14ac:dyDescent="0.25">
      <c r="A655" s="316" t="s">
        <v>2402</v>
      </c>
      <c r="B655" s="313">
        <v>40472</v>
      </c>
      <c r="C655" s="316" t="s">
        <v>2403</v>
      </c>
      <c r="D655" s="314">
        <v>30</v>
      </c>
      <c r="E655" s="314">
        <v>60</v>
      </c>
    </row>
    <row r="656" spans="1:5" x14ac:dyDescent="0.25">
      <c r="A656" s="316" t="s">
        <v>2402</v>
      </c>
      <c r="B656" s="313">
        <v>40472</v>
      </c>
      <c r="C656" s="316" t="s">
        <v>2403</v>
      </c>
      <c r="D656" s="314">
        <v>60</v>
      </c>
      <c r="E656" s="314">
        <v>100</v>
      </c>
    </row>
    <row r="657" spans="1:5" x14ac:dyDescent="0.25">
      <c r="A657" s="316" t="s">
        <v>2404</v>
      </c>
      <c r="B657" s="313">
        <v>40472</v>
      </c>
      <c r="C657" s="316" t="s">
        <v>2405</v>
      </c>
      <c r="D657" s="314">
        <v>0</v>
      </c>
      <c r="E657" s="314">
        <v>5</v>
      </c>
    </row>
    <row r="658" spans="1:5" x14ac:dyDescent="0.25">
      <c r="A658" s="316" t="s">
        <v>2404</v>
      </c>
      <c r="B658" s="313">
        <v>40472</v>
      </c>
      <c r="C658" s="316" t="s">
        <v>2405</v>
      </c>
      <c r="D658" s="314">
        <v>5</v>
      </c>
      <c r="E658" s="314">
        <v>10</v>
      </c>
    </row>
    <row r="659" spans="1:5" x14ac:dyDescent="0.25">
      <c r="A659" s="316" t="s">
        <v>2404</v>
      </c>
      <c r="B659" s="313">
        <v>40472</v>
      </c>
      <c r="C659" s="316" t="s">
        <v>2405</v>
      </c>
      <c r="D659" s="314">
        <v>10</v>
      </c>
      <c r="E659" s="314">
        <v>20</v>
      </c>
    </row>
    <row r="660" spans="1:5" x14ac:dyDescent="0.25">
      <c r="A660" s="316" t="s">
        <v>2404</v>
      </c>
      <c r="B660" s="313">
        <v>40472</v>
      </c>
      <c r="C660" s="316" t="s">
        <v>2405</v>
      </c>
      <c r="D660" s="314">
        <v>20</v>
      </c>
      <c r="E660" s="314">
        <v>30</v>
      </c>
    </row>
    <row r="661" spans="1:5" x14ac:dyDescent="0.25">
      <c r="A661" s="316" t="s">
        <v>2404</v>
      </c>
      <c r="B661" s="313">
        <v>40472</v>
      </c>
      <c r="C661" s="316" t="s">
        <v>2405</v>
      </c>
      <c r="D661" s="314">
        <v>30</v>
      </c>
      <c r="E661" s="314">
        <v>60</v>
      </c>
    </row>
    <row r="662" spans="1:5" x14ac:dyDescent="0.25">
      <c r="A662" s="316" t="s">
        <v>2404</v>
      </c>
      <c r="B662" s="313">
        <v>40472</v>
      </c>
      <c r="C662" s="316" t="s">
        <v>2405</v>
      </c>
      <c r="D662" s="314">
        <v>60</v>
      </c>
      <c r="E662" s="314">
        <v>100</v>
      </c>
    </row>
    <row r="663" spans="1:5" x14ac:dyDescent="0.25">
      <c r="A663" s="316" t="s">
        <v>2406</v>
      </c>
      <c r="B663" s="313">
        <v>40472</v>
      </c>
      <c r="C663" s="316" t="s">
        <v>2407</v>
      </c>
      <c r="D663" s="314">
        <v>0</v>
      </c>
      <c r="E663" s="314">
        <v>5</v>
      </c>
    </row>
    <row r="664" spans="1:5" x14ac:dyDescent="0.25">
      <c r="A664" s="316" t="s">
        <v>2406</v>
      </c>
      <c r="B664" s="313">
        <v>40472</v>
      </c>
      <c r="C664" s="316" t="s">
        <v>2407</v>
      </c>
      <c r="D664" s="314">
        <v>5</v>
      </c>
      <c r="E664" s="314">
        <v>10</v>
      </c>
    </row>
    <row r="665" spans="1:5" x14ac:dyDescent="0.25">
      <c r="A665" s="316" t="s">
        <v>2406</v>
      </c>
      <c r="B665" s="313">
        <v>40472</v>
      </c>
      <c r="C665" s="316" t="s">
        <v>2407</v>
      </c>
      <c r="D665" s="314">
        <v>10</v>
      </c>
      <c r="E665" s="314">
        <v>20</v>
      </c>
    </row>
    <row r="666" spans="1:5" x14ac:dyDescent="0.25">
      <c r="A666" s="316" t="s">
        <v>2406</v>
      </c>
      <c r="B666" s="313">
        <v>40472</v>
      </c>
      <c r="C666" s="316" t="s">
        <v>2407</v>
      </c>
      <c r="D666" s="314">
        <v>20</v>
      </c>
      <c r="E666" s="314">
        <v>30</v>
      </c>
    </row>
    <row r="667" spans="1:5" x14ac:dyDescent="0.25">
      <c r="A667" s="316" t="s">
        <v>2406</v>
      </c>
      <c r="B667" s="313">
        <v>40472</v>
      </c>
      <c r="C667" s="316" t="s">
        <v>2407</v>
      </c>
      <c r="D667" s="314">
        <v>30</v>
      </c>
      <c r="E667" s="314">
        <v>60</v>
      </c>
    </row>
    <row r="668" spans="1:5" x14ac:dyDescent="0.25">
      <c r="A668" s="316" t="s">
        <v>2406</v>
      </c>
      <c r="B668" s="313">
        <v>40472</v>
      </c>
      <c r="C668" s="316" t="s">
        <v>2407</v>
      </c>
      <c r="D668" s="314">
        <v>60</v>
      </c>
      <c r="E668" s="314">
        <v>100</v>
      </c>
    </row>
    <row r="669" spans="1:5" x14ac:dyDescent="0.25">
      <c r="A669" s="316" t="s">
        <v>2408</v>
      </c>
      <c r="B669" s="313">
        <v>40472</v>
      </c>
      <c r="C669" s="316" t="s">
        <v>2409</v>
      </c>
      <c r="D669" s="314">
        <v>0</v>
      </c>
      <c r="E669" s="314">
        <v>5</v>
      </c>
    </row>
    <row r="670" spans="1:5" x14ac:dyDescent="0.25">
      <c r="A670" s="316" t="s">
        <v>2408</v>
      </c>
      <c r="B670" s="313">
        <v>40472</v>
      </c>
      <c r="C670" s="316" t="s">
        <v>2409</v>
      </c>
      <c r="D670" s="314">
        <v>5</v>
      </c>
      <c r="E670" s="314">
        <v>10</v>
      </c>
    </row>
    <row r="671" spans="1:5" x14ac:dyDescent="0.25">
      <c r="A671" s="316" t="s">
        <v>2408</v>
      </c>
      <c r="B671" s="313">
        <v>40472</v>
      </c>
      <c r="C671" s="316" t="s">
        <v>2409</v>
      </c>
      <c r="D671" s="314">
        <v>10</v>
      </c>
      <c r="E671" s="314">
        <v>20</v>
      </c>
    </row>
    <row r="672" spans="1:5" x14ac:dyDescent="0.25">
      <c r="A672" s="316" t="s">
        <v>2408</v>
      </c>
      <c r="B672" s="313">
        <v>40472</v>
      </c>
      <c r="C672" s="316" t="s">
        <v>2409</v>
      </c>
      <c r="D672" s="314">
        <v>20</v>
      </c>
      <c r="E672" s="314">
        <v>30</v>
      </c>
    </row>
    <row r="673" spans="1:5" x14ac:dyDescent="0.25">
      <c r="A673" s="316" t="s">
        <v>2408</v>
      </c>
      <c r="B673" s="313">
        <v>40472</v>
      </c>
      <c r="C673" s="316" t="s">
        <v>2409</v>
      </c>
      <c r="D673" s="314">
        <v>30</v>
      </c>
      <c r="E673" s="314">
        <v>60</v>
      </c>
    </row>
    <row r="674" spans="1:5" x14ac:dyDescent="0.25">
      <c r="A674" s="316" t="s">
        <v>2408</v>
      </c>
      <c r="B674" s="313">
        <v>40472</v>
      </c>
      <c r="C674" s="316" t="s">
        <v>2409</v>
      </c>
      <c r="D674" s="314">
        <v>60</v>
      </c>
      <c r="E674" s="314">
        <v>100</v>
      </c>
    </row>
    <row r="675" spans="1:5" x14ac:dyDescent="0.25">
      <c r="A675" s="316" t="s">
        <v>2410</v>
      </c>
      <c r="B675" s="313">
        <v>40472</v>
      </c>
      <c r="C675" s="316" t="s">
        <v>2411</v>
      </c>
      <c r="D675" s="314">
        <v>0</v>
      </c>
      <c r="E675" s="314">
        <v>5</v>
      </c>
    </row>
    <row r="676" spans="1:5" x14ac:dyDescent="0.25">
      <c r="A676" s="316" t="s">
        <v>2410</v>
      </c>
      <c r="B676" s="313">
        <v>40472</v>
      </c>
      <c r="C676" s="316" t="s">
        <v>2411</v>
      </c>
      <c r="D676" s="314">
        <v>5</v>
      </c>
      <c r="E676" s="314">
        <v>10</v>
      </c>
    </row>
    <row r="677" spans="1:5" x14ac:dyDescent="0.25">
      <c r="A677" s="316" t="s">
        <v>2410</v>
      </c>
      <c r="B677" s="313">
        <v>40472</v>
      </c>
      <c r="C677" s="316" t="s">
        <v>2411</v>
      </c>
      <c r="D677" s="314">
        <v>10</v>
      </c>
      <c r="E677" s="314">
        <v>20</v>
      </c>
    </row>
    <row r="678" spans="1:5" x14ac:dyDescent="0.25">
      <c r="A678" s="316" t="s">
        <v>2410</v>
      </c>
      <c r="B678" s="313">
        <v>40472</v>
      </c>
      <c r="C678" s="316" t="s">
        <v>2411</v>
      </c>
      <c r="D678" s="314">
        <v>20</v>
      </c>
      <c r="E678" s="314">
        <v>30</v>
      </c>
    </row>
    <row r="679" spans="1:5" x14ac:dyDescent="0.25">
      <c r="A679" s="316" t="s">
        <v>2410</v>
      </c>
      <c r="B679" s="313">
        <v>40472</v>
      </c>
      <c r="C679" s="316" t="s">
        <v>2411</v>
      </c>
      <c r="D679" s="314">
        <v>30</v>
      </c>
      <c r="E679" s="314">
        <v>60</v>
      </c>
    </row>
    <row r="680" spans="1:5" x14ac:dyDescent="0.25">
      <c r="A680" s="316" t="s">
        <v>2410</v>
      </c>
      <c r="B680" s="313">
        <v>40472</v>
      </c>
      <c r="C680" s="316" t="s">
        <v>2411</v>
      </c>
      <c r="D680" s="314">
        <v>60</v>
      </c>
      <c r="E680" s="314">
        <v>100</v>
      </c>
    </row>
    <row r="681" spans="1:5" x14ac:dyDescent="0.25">
      <c r="A681" s="316" t="s">
        <v>2412</v>
      </c>
      <c r="B681" s="313">
        <v>40485</v>
      </c>
      <c r="C681" s="316" t="s">
        <v>2381</v>
      </c>
      <c r="D681" s="314">
        <v>0</v>
      </c>
      <c r="E681" s="314">
        <v>5</v>
      </c>
    </row>
    <row r="682" spans="1:5" x14ac:dyDescent="0.25">
      <c r="A682" s="316" t="s">
        <v>2412</v>
      </c>
      <c r="B682" s="313">
        <v>40485</v>
      </c>
      <c r="C682" s="316" t="s">
        <v>2381</v>
      </c>
      <c r="D682" s="314">
        <v>5</v>
      </c>
      <c r="E682" s="314">
        <v>10</v>
      </c>
    </row>
    <row r="683" spans="1:5" x14ac:dyDescent="0.25">
      <c r="A683" s="316" t="s">
        <v>2412</v>
      </c>
      <c r="B683" s="313">
        <v>40485</v>
      </c>
      <c r="C683" s="316" t="s">
        <v>2381</v>
      </c>
      <c r="D683" s="314">
        <v>10</v>
      </c>
      <c r="E683" s="314">
        <v>20</v>
      </c>
    </row>
    <row r="684" spans="1:5" x14ac:dyDescent="0.25">
      <c r="A684" s="316" t="s">
        <v>2412</v>
      </c>
      <c r="B684" s="313">
        <v>40485</v>
      </c>
      <c r="C684" s="316" t="s">
        <v>2381</v>
      </c>
      <c r="D684" s="314">
        <v>20</v>
      </c>
      <c r="E684" s="314">
        <v>30</v>
      </c>
    </row>
    <row r="685" spans="1:5" x14ac:dyDescent="0.25">
      <c r="A685" s="316" t="s">
        <v>2412</v>
      </c>
      <c r="B685" s="313">
        <v>40485</v>
      </c>
      <c r="C685" s="316" t="s">
        <v>2381</v>
      </c>
      <c r="D685" s="314">
        <v>30</v>
      </c>
      <c r="E685" s="314">
        <v>60</v>
      </c>
    </row>
    <row r="686" spans="1:5" x14ac:dyDescent="0.25">
      <c r="A686" s="316" t="s">
        <v>2412</v>
      </c>
      <c r="B686" s="313">
        <v>40485</v>
      </c>
      <c r="C686" s="316" t="s">
        <v>2381</v>
      </c>
      <c r="D686" s="314">
        <v>60</v>
      </c>
      <c r="E686" s="314">
        <v>100</v>
      </c>
    </row>
    <row r="687" spans="1:5" x14ac:dyDescent="0.25">
      <c r="A687" s="316" t="s">
        <v>2413</v>
      </c>
      <c r="B687" s="313">
        <v>40485</v>
      </c>
      <c r="C687" s="316" t="s">
        <v>2389</v>
      </c>
      <c r="D687" s="314">
        <v>0</v>
      </c>
      <c r="E687" s="314">
        <v>5</v>
      </c>
    </row>
    <row r="688" spans="1:5" x14ac:dyDescent="0.25">
      <c r="A688" s="316" t="s">
        <v>2413</v>
      </c>
      <c r="B688" s="313">
        <v>40485</v>
      </c>
      <c r="C688" s="316" t="s">
        <v>2389</v>
      </c>
      <c r="D688" s="314">
        <v>5</v>
      </c>
      <c r="E688" s="314">
        <v>10</v>
      </c>
    </row>
    <row r="689" spans="1:5" x14ac:dyDescent="0.25">
      <c r="A689" s="316" t="s">
        <v>2413</v>
      </c>
      <c r="B689" s="313">
        <v>40485</v>
      </c>
      <c r="C689" s="316" t="s">
        <v>2389</v>
      </c>
      <c r="D689" s="314">
        <v>10</v>
      </c>
      <c r="E689" s="314">
        <v>20</v>
      </c>
    </row>
    <row r="690" spans="1:5" x14ac:dyDescent="0.25">
      <c r="A690" s="316" t="s">
        <v>2413</v>
      </c>
      <c r="B690" s="313">
        <v>40485</v>
      </c>
      <c r="C690" s="316" t="s">
        <v>2389</v>
      </c>
      <c r="D690" s="314">
        <v>20</v>
      </c>
      <c r="E690" s="314">
        <v>30</v>
      </c>
    </row>
    <row r="691" spans="1:5" x14ac:dyDescent="0.25">
      <c r="A691" s="316" t="s">
        <v>2413</v>
      </c>
      <c r="B691" s="313">
        <v>40485</v>
      </c>
      <c r="C691" s="316" t="s">
        <v>2389</v>
      </c>
      <c r="D691" s="314">
        <v>30</v>
      </c>
      <c r="E691" s="314">
        <v>60</v>
      </c>
    </row>
    <row r="692" spans="1:5" x14ac:dyDescent="0.25">
      <c r="A692" s="316" t="s">
        <v>2413</v>
      </c>
      <c r="B692" s="313">
        <v>40485</v>
      </c>
      <c r="C692" s="316" t="s">
        <v>2389</v>
      </c>
      <c r="D692" s="314">
        <v>60</v>
      </c>
      <c r="E692" s="314">
        <v>100</v>
      </c>
    </row>
    <row r="693" spans="1:5" x14ac:dyDescent="0.25">
      <c r="A693" s="316" t="s">
        <v>2414</v>
      </c>
      <c r="B693" s="313">
        <v>40485</v>
      </c>
      <c r="C693" s="316" t="s">
        <v>2387</v>
      </c>
      <c r="D693" s="314">
        <v>0</v>
      </c>
      <c r="E693" s="314">
        <v>5</v>
      </c>
    </row>
    <row r="694" spans="1:5" x14ac:dyDescent="0.25">
      <c r="A694" s="316" t="s">
        <v>2414</v>
      </c>
      <c r="B694" s="313">
        <v>40485</v>
      </c>
      <c r="C694" s="316" t="s">
        <v>2387</v>
      </c>
      <c r="D694" s="314">
        <v>5</v>
      </c>
      <c r="E694" s="314">
        <v>10</v>
      </c>
    </row>
    <row r="695" spans="1:5" x14ac:dyDescent="0.25">
      <c r="A695" s="316" t="s">
        <v>2414</v>
      </c>
      <c r="B695" s="313">
        <v>40485</v>
      </c>
      <c r="C695" s="316" t="s">
        <v>2387</v>
      </c>
      <c r="D695" s="314">
        <v>10</v>
      </c>
      <c r="E695" s="314">
        <v>20</v>
      </c>
    </row>
    <row r="696" spans="1:5" x14ac:dyDescent="0.25">
      <c r="A696" s="316" t="s">
        <v>2414</v>
      </c>
      <c r="B696" s="313">
        <v>40485</v>
      </c>
      <c r="C696" s="316" t="s">
        <v>2387</v>
      </c>
      <c r="D696" s="314">
        <v>20</v>
      </c>
      <c r="E696" s="314">
        <v>30</v>
      </c>
    </row>
    <row r="697" spans="1:5" x14ac:dyDescent="0.25">
      <c r="A697" s="316" t="s">
        <v>2414</v>
      </c>
      <c r="B697" s="313">
        <v>40485</v>
      </c>
      <c r="C697" s="316" t="s">
        <v>2387</v>
      </c>
      <c r="D697" s="314">
        <v>30</v>
      </c>
      <c r="E697" s="314">
        <v>60</v>
      </c>
    </row>
    <row r="698" spans="1:5" x14ac:dyDescent="0.25">
      <c r="A698" s="316" t="s">
        <v>2414</v>
      </c>
      <c r="B698" s="313">
        <v>40485</v>
      </c>
      <c r="C698" s="316" t="s">
        <v>2387</v>
      </c>
      <c r="D698" s="314">
        <v>60</v>
      </c>
      <c r="E698" s="314">
        <v>100</v>
      </c>
    </row>
    <row r="699" spans="1:5" x14ac:dyDescent="0.25">
      <c r="A699" s="316" t="s">
        <v>2415</v>
      </c>
      <c r="B699" s="313">
        <v>40485</v>
      </c>
      <c r="C699" s="316" t="s">
        <v>2391</v>
      </c>
      <c r="D699" s="314">
        <v>0</v>
      </c>
      <c r="E699" s="314">
        <v>5</v>
      </c>
    </row>
    <row r="700" spans="1:5" x14ac:dyDescent="0.25">
      <c r="A700" s="316" t="s">
        <v>2415</v>
      </c>
      <c r="B700" s="313">
        <v>40485</v>
      </c>
      <c r="C700" s="316" t="s">
        <v>2391</v>
      </c>
      <c r="D700" s="314">
        <v>5</v>
      </c>
      <c r="E700" s="314">
        <v>10</v>
      </c>
    </row>
    <row r="701" spans="1:5" x14ac:dyDescent="0.25">
      <c r="A701" s="316" t="s">
        <v>2415</v>
      </c>
      <c r="B701" s="313">
        <v>40485</v>
      </c>
      <c r="C701" s="316" t="s">
        <v>2391</v>
      </c>
      <c r="D701" s="314">
        <v>10</v>
      </c>
      <c r="E701" s="314">
        <v>20</v>
      </c>
    </row>
    <row r="702" spans="1:5" x14ac:dyDescent="0.25">
      <c r="A702" s="316" t="s">
        <v>2415</v>
      </c>
      <c r="B702" s="313">
        <v>40485</v>
      </c>
      <c r="C702" s="316" t="s">
        <v>2391</v>
      </c>
      <c r="D702" s="314">
        <v>20</v>
      </c>
      <c r="E702" s="314">
        <v>30</v>
      </c>
    </row>
    <row r="703" spans="1:5" x14ac:dyDescent="0.25">
      <c r="A703" s="316" t="s">
        <v>2415</v>
      </c>
      <c r="B703" s="313">
        <v>40485</v>
      </c>
      <c r="C703" s="316" t="s">
        <v>2391</v>
      </c>
      <c r="D703" s="314">
        <v>30</v>
      </c>
      <c r="E703" s="314">
        <v>60</v>
      </c>
    </row>
    <row r="704" spans="1:5" x14ac:dyDescent="0.25">
      <c r="A704" s="316" t="s">
        <v>2415</v>
      </c>
      <c r="B704" s="313">
        <v>40485</v>
      </c>
      <c r="C704" s="316" t="s">
        <v>2391</v>
      </c>
      <c r="D704" s="314">
        <v>60</v>
      </c>
      <c r="E704" s="314">
        <v>100</v>
      </c>
    </row>
    <row r="705" spans="1:5" x14ac:dyDescent="0.25">
      <c r="A705" s="316" t="s">
        <v>2416</v>
      </c>
      <c r="B705" s="313">
        <v>40485</v>
      </c>
      <c r="C705" s="316" t="s">
        <v>2393</v>
      </c>
      <c r="D705" s="314">
        <v>0</v>
      </c>
      <c r="E705" s="314">
        <v>5</v>
      </c>
    </row>
    <row r="706" spans="1:5" x14ac:dyDescent="0.25">
      <c r="A706" s="316" t="s">
        <v>2416</v>
      </c>
      <c r="B706" s="313">
        <v>40485</v>
      </c>
      <c r="C706" s="316" t="s">
        <v>2393</v>
      </c>
      <c r="D706" s="314">
        <v>5</v>
      </c>
      <c r="E706" s="314">
        <v>10</v>
      </c>
    </row>
    <row r="707" spans="1:5" x14ac:dyDescent="0.25">
      <c r="A707" s="316" t="s">
        <v>2416</v>
      </c>
      <c r="B707" s="313">
        <v>40485</v>
      </c>
      <c r="C707" s="316" t="s">
        <v>2393</v>
      </c>
      <c r="D707" s="314">
        <v>10</v>
      </c>
      <c r="E707" s="314">
        <v>20</v>
      </c>
    </row>
    <row r="708" spans="1:5" x14ac:dyDescent="0.25">
      <c r="A708" s="316" t="s">
        <v>2416</v>
      </c>
      <c r="B708" s="313">
        <v>40485</v>
      </c>
      <c r="C708" s="316" t="s">
        <v>2393</v>
      </c>
      <c r="D708" s="314">
        <v>20</v>
      </c>
      <c r="E708" s="314">
        <v>30</v>
      </c>
    </row>
    <row r="709" spans="1:5" x14ac:dyDescent="0.25">
      <c r="A709" s="316" t="s">
        <v>2416</v>
      </c>
      <c r="B709" s="313">
        <v>40485</v>
      </c>
      <c r="C709" s="316" t="s">
        <v>2393</v>
      </c>
      <c r="D709" s="314">
        <v>30</v>
      </c>
      <c r="E709" s="314">
        <v>60</v>
      </c>
    </row>
    <row r="710" spans="1:5" x14ac:dyDescent="0.25">
      <c r="A710" s="316" t="s">
        <v>2416</v>
      </c>
      <c r="B710" s="313">
        <v>40485</v>
      </c>
      <c r="C710" s="316" t="s">
        <v>2393</v>
      </c>
      <c r="D710" s="314">
        <v>60</v>
      </c>
      <c r="E710" s="314">
        <v>100</v>
      </c>
    </row>
    <row r="711" spans="1:5" x14ac:dyDescent="0.25">
      <c r="A711" s="316" t="s">
        <v>2417</v>
      </c>
      <c r="B711" s="313">
        <v>40485</v>
      </c>
      <c r="C711" s="316" t="s">
        <v>2395</v>
      </c>
      <c r="D711" s="314">
        <v>0</v>
      </c>
      <c r="E711" s="314">
        <v>5</v>
      </c>
    </row>
    <row r="712" spans="1:5" x14ac:dyDescent="0.25">
      <c r="A712" s="316" t="s">
        <v>2417</v>
      </c>
      <c r="B712" s="313">
        <v>40485</v>
      </c>
      <c r="C712" s="316" t="s">
        <v>2395</v>
      </c>
      <c r="D712" s="314">
        <v>5</v>
      </c>
      <c r="E712" s="314">
        <v>10</v>
      </c>
    </row>
    <row r="713" spans="1:5" x14ac:dyDescent="0.25">
      <c r="A713" s="316" t="s">
        <v>2417</v>
      </c>
      <c r="B713" s="313">
        <v>40485</v>
      </c>
      <c r="C713" s="316" t="s">
        <v>2395</v>
      </c>
      <c r="D713" s="314">
        <v>10</v>
      </c>
      <c r="E713" s="314">
        <v>20</v>
      </c>
    </row>
    <row r="714" spans="1:5" x14ac:dyDescent="0.25">
      <c r="A714" s="316" t="s">
        <v>2417</v>
      </c>
      <c r="B714" s="313">
        <v>40485</v>
      </c>
      <c r="C714" s="316" t="s">
        <v>2395</v>
      </c>
      <c r="D714" s="314">
        <v>20</v>
      </c>
      <c r="E714" s="314">
        <v>30</v>
      </c>
    </row>
    <row r="715" spans="1:5" x14ac:dyDescent="0.25">
      <c r="A715" s="316" t="s">
        <v>2417</v>
      </c>
      <c r="B715" s="313">
        <v>40485</v>
      </c>
      <c r="C715" s="316" t="s">
        <v>2395</v>
      </c>
      <c r="D715" s="314">
        <v>30</v>
      </c>
      <c r="E715" s="314">
        <v>60</v>
      </c>
    </row>
    <row r="716" spans="1:5" x14ac:dyDescent="0.25">
      <c r="A716" s="316" t="s">
        <v>2417</v>
      </c>
      <c r="B716" s="313">
        <v>40485</v>
      </c>
      <c r="C716" s="316" t="s">
        <v>2395</v>
      </c>
      <c r="D716" s="314">
        <v>60</v>
      </c>
      <c r="E716" s="314">
        <v>100</v>
      </c>
    </row>
    <row r="717" spans="1:5" x14ac:dyDescent="0.25">
      <c r="A717" s="316" t="s">
        <v>2418</v>
      </c>
      <c r="B717" s="313">
        <v>40485</v>
      </c>
      <c r="C717" s="316" t="s">
        <v>2385</v>
      </c>
      <c r="D717" s="314">
        <v>0</v>
      </c>
      <c r="E717" s="314">
        <v>5</v>
      </c>
    </row>
    <row r="718" spans="1:5" x14ac:dyDescent="0.25">
      <c r="A718" s="316" t="s">
        <v>2418</v>
      </c>
      <c r="B718" s="313">
        <v>40485</v>
      </c>
      <c r="C718" s="316" t="s">
        <v>2385</v>
      </c>
      <c r="D718" s="314">
        <v>5</v>
      </c>
      <c r="E718" s="314">
        <v>10</v>
      </c>
    </row>
    <row r="719" spans="1:5" x14ac:dyDescent="0.25">
      <c r="A719" s="316" t="s">
        <v>2418</v>
      </c>
      <c r="B719" s="313">
        <v>40485</v>
      </c>
      <c r="C719" s="316" t="s">
        <v>2385</v>
      </c>
      <c r="D719" s="314">
        <v>10</v>
      </c>
      <c r="E719" s="314">
        <v>20</v>
      </c>
    </row>
    <row r="720" spans="1:5" x14ac:dyDescent="0.25">
      <c r="A720" s="316" t="s">
        <v>2418</v>
      </c>
      <c r="B720" s="313">
        <v>40485</v>
      </c>
      <c r="C720" s="316" t="s">
        <v>2385</v>
      </c>
      <c r="D720" s="314">
        <v>20</v>
      </c>
      <c r="E720" s="314">
        <v>30</v>
      </c>
    </row>
    <row r="721" spans="1:5" x14ac:dyDescent="0.25">
      <c r="A721" s="316" t="s">
        <v>2418</v>
      </c>
      <c r="B721" s="313">
        <v>40485</v>
      </c>
      <c r="C721" s="316" t="s">
        <v>2385</v>
      </c>
      <c r="D721" s="314">
        <v>30</v>
      </c>
      <c r="E721" s="314">
        <v>60</v>
      </c>
    </row>
    <row r="722" spans="1:5" x14ac:dyDescent="0.25">
      <c r="A722" s="316" t="s">
        <v>2418</v>
      </c>
      <c r="B722" s="313">
        <v>40485</v>
      </c>
      <c r="C722" s="316" t="s">
        <v>2385</v>
      </c>
      <c r="D722" s="314">
        <v>60</v>
      </c>
      <c r="E722" s="314">
        <v>100</v>
      </c>
    </row>
    <row r="723" spans="1:5" x14ac:dyDescent="0.25">
      <c r="A723" s="316" t="s">
        <v>2419</v>
      </c>
      <c r="B723" s="313">
        <v>40485</v>
      </c>
      <c r="C723" s="316" t="s">
        <v>2383</v>
      </c>
      <c r="D723" s="314">
        <v>0</v>
      </c>
      <c r="E723" s="314">
        <v>5</v>
      </c>
    </row>
    <row r="724" spans="1:5" x14ac:dyDescent="0.25">
      <c r="A724" s="316" t="s">
        <v>2419</v>
      </c>
      <c r="B724" s="313">
        <v>40485</v>
      </c>
      <c r="C724" s="316" t="s">
        <v>2383</v>
      </c>
      <c r="D724" s="314">
        <v>5</v>
      </c>
      <c r="E724" s="314">
        <v>10</v>
      </c>
    </row>
    <row r="725" spans="1:5" x14ac:dyDescent="0.25">
      <c r="A725" s="316" t="s">
        <v>2419</v>
      </c>
      <c r="B725" s="313">
        <v>40485</v>
      </c>
      <c r="C725" s="316" t="s">
        <v>2383</v>
      </c>
      <c r="D725" s="314">
        <v>10</v>
      </c>
      <c r="E725" s="314">
        <v>20</v>
      </c>
    </row>
    <row r="726" spans="1:5" x14ac:dyDescent="0.25">
      <c r="A726" s="316" t="s">
        <v>2419</v>
      </c>
      <c r="B726" s="313">
        <v>40485</v>
      </c>
      <c r="C726" s="316" t="s">
        <v>2383</v>
      </c>
      <c r="D726" s="314">
        <v>20</v>
      </c>
      <c r="E726" s="314">
        <v>30</v>
      </c>
    </row>
    <row r="727" spans="1:5" x14ac:dyDescent="0.25">
      <c r="A727" s="316" t="s">
        <v>2419</v>
      </c>
      <c r="B727" s="313">
        <v>40485</v>
      </c>
      <c r="C727" s="316" t="s">
        <v>2383</v>
      </c>
      <c r="D727" s="314">
        <v>30</v>
      </c>
      <c r="E727" s="314">
        <v>60</v>
      </c>
    </row>
    <row r="728" spans="1:5" x14ac:dyDescent="0.25">
      <c r="A728" s="316" t="s">
        <v>2419</v>
      </c>
      <c r="B728" s="313">
        <v>40485</v>
      </c>
      <c r="C728" s="316" t="s">
        <v>2383</v>
      </c>
      <c r="D728" s="314">
        <v>60</v>
      </c>
      <c r="E728" s="314">
        <v>100</v>
      </c>
    </row>
    <row r="729" spans="1:5" x14ac:dyDescent="0.25">
      <c r="A729" s="316" t="s">
        <v>2420</v>
      </c>
      <c r="B729" s="313">
        <v>40472</v>
      </c>
      <c r="C729" s="316" t="s">
        <v>2411</v>
      </c>
      <c r="D729" s="314">
        <v>0</v>
      </c>
      <c r="E729" s="314">
        <v>5</v>
      </c>
    </row>
    <row r="730" spans="1:5" x14ac:dyDescent="0.25">
      <c r="A730" s="316" t="s">
        <v>2420</v>
      </c>
      <c r="B730" s="313">
        <v>40472</v>
      </c>
      <c r="C730" s="316" t="s">
        <v>2411</v>
      </c>
      <c r="D730" s="314">
        <v>5</v>
      </c>
      <c r="E730" s="314">
        <v>10</v>
      </c>
    </row>
    <row r="731" spans="1:5" x14ac:dyDescent="0.25">
      <c r="A731" s="316" t="s">
        <v>2420</v>
      </c>
      <c r="B731" s="313">
        <v>40472</v>
      </c>
      <c r="C731" s="316" t="s">
        <v>2411</v>
      </c>
      <c r="D731" s="314">
        <v>10</v>
      </c>
      <c r="E731" s="314">
        <v>20</v>
      </c>
    </row>
    <row r="732" spans="1:5" x14ac:dyDescent="0.25">
      <c r="A732" s="316" t="s">
        <v>2420</v>
      </c>
      <c r="B732" s="313">
        <v>40472</v>
      </c>
      <c r="C732" s="316" t="s">
        <v>2411</v>
      </c>
      <c r="D732" s="314">
        <v>20</v>
      </c>
      <c r="E732" s="314">
        <v>30</v>
      </c>
    </row>
    <row r="733" spans="1:5" x14ac:dyDescent="0.25">
      <c r="A733" s="316" t="s">
        <v>2420</v>
      </c>
      <c r="B733" s="313">
        <v>40472</v>
      </c>
      <c r="C733" s="316" t="s">
        <v>2411</v>
      </c>
      <c r="D733" s="314">
        <v>30</v>
      </c>
      <c r="E733" s="314">
        <v>60</v>
      </c>
    </row>
    <row r="734" spans="1:5" x14ac:dyDescent="0.25">
      <c r="A734" s="316" t="s">
        <v>2420</v>
      </c>
      <c r="B734" s="313">
        <v>40472</v>
      </c>
      <c r="C734" s="316" t="s">
        <v>2411</v>
      </c>
      <c r="D734" s="314">
        <v>60</v>
      </c>
      <c r="E734" s="314">
        <v>100</v>
      </c>
    </row>
    <row r="735" spans="1:5" x14ac:dyDescent="0.25">
      <c r="A735" s="316" t="s">
        <v>2421</v>
      </c>
      <c r="B735" s="313">
        <v>40472</v>
      </c>
      <c r="C735" s="316" t="s">
        <v>2407</v>
      </c>
      <c r="D735" s="314">
        <v>0</v>
      </c>
      <c r="E735" s="314">
        <v>5</v>
      </c>
    </row>
    <row r="736" spans="1:5" x14ac:dyDescent="0.25">
      <c r="A736" s="316" t="s">
        <v>2421</v>
      </c>
      <c r="B736" s="313">
        <v>40472</v>
      </c>
      <c r="C736" s="316" t="s">
        <v>2407</v>
      </c>
      <c r="D736" s="314">
        <v>5</v>
      </c>
      <c r="E736" s="314">
        <v>10</v>
      </c>
    </row>
    <row r="737" spans="1:5" x14ac:dyDescent="0.25">
      <c r="A737" s="316" t="s">
        <v>2421</v>
      </c>
      <c r="B737" s="313">
        <v>40472</v>
      </c>
      <c r="C737" s="316" t="s">
        <v>2407</v>
      </c>
      <c r="D737" s="314">
        <v>10</v>
      </c>
      <c r="E737" s="314">
        <v>20</v>
      </c>
    </row>
    <row r="738" spans="1:5" x14ac:dyDescent="0.25">
      <c r="A738" s="316" t="s">
        <v>2421</v>
      </c>
      <c r="B738" s="313">
        <v>40472</v>
      </c>
      <c r="C738" s="316" t="s">
        <v>2407</v>
      </c>
      <c r="D738" s="314">
        <v>20</v>
      </c>
      <c r="E738" s="314">
        <v>30</v>
      </c>
    </row>
    <row r="739" spans="1:5" x14ac:dyDescent="0.25">
      <c r="A739" s="316" t="s">
        <v>2421</v>
      </c>
      <c r="B739" s="313">
        <v>40472</v>
      </c>
      <c r="C739" s="316" t="s">
        <v>2407</v>
      </c>
      <c r="D739" s="314">
        <v>30</v>
      </c>
      <c r="E739" s="314">
        <v>60</v>
      </c>
    </row>
    <row r="740" spans="1:5" x14ac:dyDescent="0.25">
      <c r="A740" s="316" t="s">
        <v>2421</v>
      </c>
      <c r="B740" s="313">
        <v>40472</v>
      </c>
      <c r="C740" s="316" t="s">
        <v>2407</v>
      </c>
      <c r="D740" s="314">
        <v>60</v>
      </c>
      <c r="E740" s="314">
        <v>100</v>
      </c>
    </row>
    <row r="741" spans="1:5" x14ac:dyDescent="0.25">
      <c r="A741" s="316" t="s">
        <v>2422</v>
      </c>
      <c r="B741" s="313">
        <v>40472</v>
      </c>
      <c r="C741" s="316" t="s">
        <v>2409</v>
      </c>
      <c r="D741" s="314">
        <v>0</v>
      </c>
      <c r="E741" s="314">
        <v>5</v>
      </c>
    </row>
    <row r="742" spans="1:5" x14ac:dyDescent="0.25">
      <c r="A742" s="316" t="s">
        <v>2422</v>
      </c>
      <c r="B742" s="313">
        <v>40472</v>
      </c>
      <c r="C742" s="316" t="s">
        <v>2409</v>
      </c>
      <c r="D742" s="314">
        <v>5</v>
      </c>
      <c r="E742" s="314">
        <v>10</v>
      </c>
    </row>
    <row r="743" spans="1:5" x14ac:dyDescent="0.25">
      <c r="A743" s="316" t="s">
        <v>2422</v>
      </c>
      <c r="B743" s="313">
        <v>40472</v>
      </c>
      <c r="C743" s="316" t="s">
        <v>2409</v>
      </c>
      <c r="D743" s="314">
        <v>10</v>
      </c>
      <c r="E743" s="314">
        <v>20</v>
      </c>
    </row>
    <row r="744" spans="1:5" x14ac:dyDescent="0.25">
      <c r="A744" s="316" t="s">
        <v>2422</v>
      </c>
      <c r="B744" s="313">
        <v>40472</v>
      </c>
      <c r="C744" s="316" t="s">
        <v>2409</v>
      </c>
      <c r="D744" s="314">
        <v>20</v>
      </c>
      <c r="E744" s="314">
        <v>30</v>
      </c>
    </row>
    <row r="745" spans="1:5" x14ac:dyDescent="0.25">
      <c r="A745" s="316" t="s">
        <v>2422</v>
      </c>
      <c r="B745" s="313">
        <v>40472</v>
      </c>
      <c r="C745" s="316" t="s">
        <v>2409</v>
      </c>
      <c r="D745" s="314">
        <v>30</v>
      </c>
      <c r="E745" s="314">
        <v>60</v>
      </c>
    </row>
    <row r="746" spans="1:5" x14ac:dyDescent="0.25">
      <c r="A746" s="316" t="s">
        <v>2422</v>
      </c>
      <c r="B746" s="313">
        <v>40472</v>
      </c>
      <c r="C746" s="316" t="s">
        <v>2409</v>
      </c>
      <c r="D746" s="314">
        <v>60</v>
      </c>
      <c r="E746" s="314">
        <v>100</v>
      </c>
    </row>
    <row r="747" spans="1:5" x14ac:dyDescent="0.25">
      <c r="A747" s="316" t="s">
        <v>2423</v>
      </c>
      <c r="B747" s="313">
        <v>40472</v>
      </c>
      <c r="C747" s="316" t="s">
        <v>2405</v>
      </c>
      <c r="D747" s="314">
        <v>0</v>
      </c>
      <c r="E747" s="314">
        <v>5</v>
      </c>
    </row>
    <row r="748" spans="1:5" x14ac:dyDescent="0.25">
      <c r="A748" s="316" t="s">
        <v>2423</v>
      </c>
      <c r="B748" s="313">
        <v>40472</v>
      </c>
      <c r="C748" s="316" t="s">
        <v>2405</v>
      </c>
      <c r="D748" s="314">
        <v>5</v>
      </c>
      <c r="E748" s="314">
        <v>10</v>
      </c>
    </row>
    <row r="749" spans="1:5" x14ac:dyDescent="0.25">
      <c r="A749" s="316" t="s">
        <v>2423</v>
      </c>
      <c r="B749" s="313">
        <v>40472</v>
      </c>
      <c r="C749" s="316" t="s">
        <v>2405</v>
      </c>
      <c r="D749" s="314">
        <v>10</v>
      </c>
      <c r="E749" s="314">
        <v>20</v>
      </c>
    </row>
    <row r="750" spans="1:5" x14ac:dyDescent="0.25">
      <c r="A750" s="316" t="s">
        <v>2423</v>
      </c>
      <c r="B750" s="313">
        <v>40472</v>
      </c>
      <c r="C750" s="316" t="s">
        <v>2405</v>
      </c>
      <c r="D750" s="314">
        <v>20</v>
      </c>
      <c r="E750" s="314">
        <v>30</v>
      </c>
    </row>
    <row r="751" spans="1:5" x14ac:dyDescent="0.25">
      <c r="A751" s="316" t="s">
        <v>2423</v>
      </c>
      <c r="B751" s="313">
        <v>40472</v>
      </c>
      <c r="C751" s="316" t="s">
        <v>2405</v>
      </c>
      <c r="D751" s="314">
        <v>30</v>
      </c>
      <c r="E751" s="314">
        <v>60</v>
      </c>
    </row>
    <row r="752" spans="1:5" x14ac:dyDescent="0.25">
      <c r="A752" s="316" t="s">
        <v>2423</v>
      </c>
      <c r="B752" s="313">
        <v>40472</v>
      </c>
      <c r="C752" s="316" t="s">
        <v>2405</v>
      </c>
      <c r="D752" s="314">
        <v>60</v>
      </c>
      <c r="E752" s="314">
        <v>100</v>
      </c>
    </row>
    <row r="753" spans="1:5" x14ac:dyDescent="0.25">
      <c r="A753" s="316" t="s">
        <v>2424</v>
      </c>
      <c r="B753" s="313">
        <v>40472</v>
      </c>
      <c r="C753" s="316" t="s">
        <v>2403</v>
      </c>
      <c r="D753" s="314">
        <v>0</v>
      </c>
      <c r="E753" s="314">
        <v>5</v>
      </c>
    </row>
    <row r="754" spans="1:5" x14ac:dyDescent="0.25">
      <c r="A754" s="316" t="s">
        <v>2424</v>
      </c>
      <c r="B754" s="313">
        <v>40472</v>
      </c>
      <c r="C754" s="316" t="s">
        <v>2403</v>
      </c>
      <c r="D754" s="314">
        <v>5</v>
      </c>
      <c r="E754" s="314">
        <v>10</v>
      </c>
    </row>
    <row r="755" spans="1:5" x14ac:dyDescent="0.25">
      <c r="A755" s="316" t="s">
        <v>2424</v>
      </c>
      <c r="B755" s="313">
        <v>40472</v>
      </c>
      <c r="C755" s="316" t="s">
        <v>2403</v>
      </c>
      <c r="D755" s="314">
        <v>10</v>
      </c>
      <c r="E755" s="314">
        <v>20</v>
      </c>
    </row>
    <row r="756" spans="1:5" x14ac:dyDescent="0.25">
      <c r="A756" s="316" t="s">
        <v>2424</v>
      </c>
      <c r="B756" s="313">
        <v>40472</v>
      </c>
      <c r="C756" s="316" t="s">
        <v>2403</v>
      </c>
      <c r="D756" s="314">
        <v>20</v>
      </c>
      <c r="E756" s="314">
        <v>30</v>
      </c>
    </row>
    <row r="757" spans="1:5" x14ac:dyDescent="0.25">
      <c r="A757" s="316" t="s">
        <v>2424</v>
      </c>
      <c r="B757" s="313">
        <v>40472</v>
      </c>
      <c r="C757" s="316" t="s">
        <v>2403</v>
      </c>
      <c r="D757" s="314">
        <v>30</v>
      </c>
      <c r="E757" s="314">
        <v>60</v>
      </c>
    </row>
    <row r="758" spans="1:5" x14ac:dyDescent="0.25">
      <c r="A758" s="316" t="s">
        <v>2424</v>
      </c>
      <c r="B758" s="313">
        <v>40472</v>
      </c>
      <c r="C758" s="316" t="s">
        <v>2403</v>
      </c>
      <c r="D758" s="314">
        <v>60</v>
      </c>
      <c r="E758" s="314">
        <v>100</v>
      </c>
    </row>
    <row r="759" spans="1:5" x14ac:dyDescent="0.25">
      <c r="A759" s="316" t="s">
        <v>2425</v>
      </c>
      <c r="B759" s="313">
        <v>40472</v>
      </c>
      <c r="C759" s="316" t="s">
        <v>2399</v>
      </c>
      <c r="D759" s="314">
        <v>0</v>
      </c>
      <c r="E759" s="314">
        <v>5</v>
      </c>
    </row>
    <row r="760" spans="1:5" x14ac:dyDescent="0.25">
      <c r="A760" s="316" t="s">
        <v>2425</v>
      </c>
      <c r="B760" s="313">
        <v>40472</v>
      </c>
      <c r="C760" s="316" t="s">
        <v>2399</v>
      </c>
      <c r="D760" s="314">
        <v>5</v>
      </c>
      <c r="E760" s="314">
        <v>10</v>
      </c>
    </row>
    <row r="761" spans="1:5" x14ac:dyDescent="0.25">
      <c r="A761" s="316" t="s">
        <v>2425</v>
      </c>
      <c r="B761" s="313">
        <v>40472</v>
      </c>
      <c r="C761" s="316" t="s">
        <v>2399</v>
      </c>
      <c r="D761" s="314">
        <v>10</v>
      </c>
      <c r="E761" s="314">
        <v>20</v>
      </c>
    </row>
    <row r="762" spans="1:5" x14ac:dyDescent="0.25">
      <c r="A762" s="316" t="s">
        <v>2425</v>
      </c>
      <c r="B762" s="313">
        <v>40472</v>
      </c>
      <c r="C762" s="316" t="s">
        <v>2399</v>
      </c>
      <c r="D762" s="314">
        <v>20</v>
      </c>
      <c r="E762" s="314">
        <v>30</v>
      </c>
    </row>
    <row r="763" spans="1:5" x14ac:dyDescent="0.25">
      <c r="A763" s="316" t="s">
        <v>2425</v>
      </c>
      <c r="B763" s="313">
        <v>40472</v>
      </c>
      <c r="C763" s="316" t="s">
        <v>2399</v>
      </c>
      <c r="D763" s="314">
        <v>30</v>
      </c>
      <c r="E763" s="314">
        <v>60</v>
      </c>
    </row>
    <row r="764" spans="1:5" x14ac:dyDescent="0.25">
      <c r="A764" s="316" t="s">
        <v>2425</v>
      </c>
      <c r="B764" s="313">
        <v>40472</v>
      </c>
      <c r="C764" s="316" t="s">
        <v>2399</v>
      </c>
      <c r="D764" s="314">
        <v>60</v>
      </c>
      <c r="E764" s="314">
        <v>100</v>
      </c>
    </row>
    <row r="765" spans="1:5" x14ac:dyDescent="0.25">
      <c r="A765" s="316" t="s">
        <v>2426</v>
      </c>
      <c r="B765" s="313">
        <v>40472</v>
      </c>
      <c r="C765" s="316" t="s">
        <v>2397</v>
      </c>
      <c r="D765" s="314">
        <v>0</v>
      </c>
      <c r="E765" s="314">
        <v>5</v>
      </c>
    </row>
    <row r="766" spans="1:5" x14ac:dyDescent="0.25">
      <c r="A766" s="316" t="s">
        <v>2426</v>
      </c>
      <c r="B766" s="313">
        <v>40472</v>
      </c>
      <c r="C766" s="316" t="s">
        <v>2397</v>
      </c>
      <c r="D766" s="314">
        <v>5</v>
      </c>
      <c r="E766" s="314">
        <v>10</v>
      </c>
    </row>
    <row r="767" spans="1:5" x14ac:dyDescent="0.25">
      <c r="A767" s="316" t="s">
        <v>2426</v>
      </c>
      <c r="B767" s="313">
        <v>40472</v>
      </c>
      <c r="C767" s="316" t="s">
        <v>2397</v>
      </c>
      <c r="D767" s="314">
        <v>10</v>
      </c>
      <c r="E767" s="314">
        <v>20</v>
      </c>
    </row>
    <row r="768" spans="1:5" x14ac:dyDescent="0.25">
      <c r="A768" s="316" t="s">
        <v>2426</v>
      </c>
      <c r="B768" s="313">
        <v>40472</v>
      </c>
      <c r="C768" s="316" t="s">
        <v>2397</v>
      </c>
      <c r="D768" s="314">
        <v>20</v>
      </c>
      <c r="E768" s="314">
        <v>30</v>
      </c>
    </row>
    <row r="769" spans="1:5" x14ac:dyDescent="0.25">
      <c r="A769" s="316" t="s">
        <v>2426</v>
      </c>
      <c r="B769" s="313">
        <v>40472</v>
      </c>
      <c r="C769" s="316" t="s">
        <v>2397</v>
      </c>
      <c r="D769" s="314">
        <v>30</v>
      </c>
      <c r="E769" s="314">
        <v>60</v>
      </c>
    </row>
    <row r="770" spans="1:5" x14ac:dyDescent="0.25">
      <c r="A770" s="316" t="s">
        <v>2426</v>
      </c>
      <c r="B770" s="313">
        <v>40472</v>
      </c>
      <c r="C770" s="316" t="s">
        <v>2397</v>
      </c>
      <c r="D770" s="314">
        <v>60</v>
      </c>
      <c r="E770" s="314">
        <v>100</v>
      </c>
    </row>
    <row r="771" spans="1:5" x14ac:dyDescent="0.25">
      <c r="A771" s="316" t="s">
        <v>2427</v>
      </c>
      <c r="B771" s="313">
        <v>40472</v>
      </c>
      <c r="C771" s="316" t="s">
        <v>2401</v>
      </c>
      <c r="D771" s="314">
        <v>0</v>
      </c>
      <c r="E771" s="314">
        <v>5</v>
      </c>
    </row>
    <row r="772" spans="1:5" x14ac:dyDescent="0.25">
      <c r="A772" s="316" t="s">
        <v>2427</v>
      </c>
      <c r="B772" s="313">
        <v>40472</v>
      </c>
      <c r="C772" s="316" t="s">
        <v>2401</v>
      </c>
      <c r="D772" s="314">
        <v>5</v>
      </c>
      <c r="E772" s="314">
        <v>10</v>
      </c>
    </row>
    <row r="773" spans="1:5" x14ac:dyDescent="0.25">
      <c r="A773" s="316" t="s">
        <v>2427</v>
      </c>
      <c r="B773" s="313">
        <v>40472</v>
      </c>
      <c r="C773" s="316" t="s">
        <v>2401</v>
      </c>
      <c r="D773" s="314">
        <v>10</v>
      </c>
      <c r="E773" s="314">
        <v>20</v>
      </c>
    </row>
    <row r="774" spans="1:5" x14ac:dyDescent="0.25">
      <c r="A774" s="316" t="s">
        <v>2427</v>
      </c>
      <c r="B774" s="313">
        <v>40472</v>
      </c>
      <c r="C774" s="316" t="s">
        <v>2401</v>
      </c>
      <c r="D774" s="314">
        <v>20</v>
      </c>
      <c r="E774" s="314">
        <v>30</v>
      </c>
    </row>
    <row r="775" spans="1:5" x14ac:dyDescent="0.25">
      <c r="A775" s="316" t="s">
        <v>2427</v>
      </c>
      <c r="B775" s="313">
        <v>40472</v>
      </c>
      <c r="C775" s="316" t="s">
        <v>2401</v>
      </c>
      <c r="D775" s="314">
        <v>30</v>
      </c>
      <c r="E775" s="314">
        <v>60</v>
      </c>
    </row>
    <row r="776" spans="1:5" x14ac:dyDescent="0.25">
      <c r="A776" s="316" t="s">
        <v>2427</v>
      </c>
      <c r="B776" s="313">
        <v>40472</v>
      </c>
      <c r="C776" s="316" t="s">
        <v>2401</v>
      </c>
      <c r="D776" s="314">
        <v>60</v>
      </c>
      <c r="E776" s="314">
        <v>100</v>
      </c>
    </row>
    <row r="777" spans="1:5" x14ac:dyDescent="0.25">
      <c r="A777" s="316" t="s">
        <v>2428</v>
      </c>
      <c r="B777" s="313">
        <v>40485</v>
      </c>
      <c r="C777" s="316" t="s">
        <v>2389</v>
      </c>
      <c r="D777" s="314">
        <v>0</v>
      </c>
      <c r="E777" s="314">
        <v>5</v>
      </c>
    </row>
    <row r="778" spans="1:5" x14ac:dyDescent="0.25">
      <c r="A778" s="316" t="s">
        <v>2428</v>
      </c>
      <c r="B778" s="313">
        <v>40485</v>
      </c>
      <c r="C778" s="316" t="s">
        <v>2389</v>
      </c>
      <c r="D778" s="314">
        <v>5</v>
      </c>
      <c r="E778" s="314">
        <v>10</v>
      </c>
    </row>
    <row r="779" spans="1:5" x14ac:dyDescent="0.25">
      <c r="A779" s="316" t="s">
        <v>2428</v>
      </c>
      <c r="B779" s="313">
        <v>40485</v>
      </c>
      <c r="C779" s="316" t="s">
        <v>2389</v>
      </c>
      <c r="D779" s="314">
        <v>10</v>
      </c>
      <c r="E779" s="314">
        <v>20</v>
      </c>
    </row>
    <row r="780" spans="1:5" x14ac:dyDescent="0.25">
      <c r="A780" s="316" t="s">
        <v>2428</v>
      </c>
      <c r="B780" s="313">
        <v>40485</v>
      </c>
      <c r="C780" s="316" t="s">
        <v>2389</v>
      </c>
      <c r="D780" s="314">
        <v>20</v>
      </c>
      <c r="E780" s="314">
        <v>30</v>
      </c>
    </row>
    <row r="781" spans="1:5" x14ac:dyDescent="0.25">
      <c r="A781" s="316" t="s">
        <v>2428</v>
      </c>
      <c r="B781" s="313">
        <v>40485</v>
      </c>
      <c r="C781" s="316" t="s">
        <v>2389</v>
      </c>
      <c r="D781" s="314">
        <v>30</v>
      </c>
      <c r="E781" s="314">
        <v>60</v>
      </c>
    </row>
    <row r="782" spans="1:5" x14ac:dyDescent="0.25">
      <c r="A782" s="316" t="s">
        <v>2428</v>
      </c>
      <c r="B782" s="313">
        <v>40485</v>
      </c>
      <c r="C782" s="316" t="s">
        <v>2389</v>
      </c>
      <c r="D782" s="314">
        <v>60</v>
      </c>
      <c r="E782" s="314">
        <v>100</v>
      </c>
    </row>
    <row r="783" spans="1:5" x14ac:dyDescent="0.25">
      <c r="A783" s="316" t="s">
        <v>2429</v>
      </c>
      <c r="B783" s="313">
        <v>40485</v>
      </c>
      <c r="C783" s="316" t="s">
        <v>2381</v>
      </c>
      <c r="D783" s="314">
        <v>0</v>
      </c>
      <c r="E783" s="314">
        <v>5</v>
      </c>
    </row>
    <row r="784" spans="1:5" x14ac:dyDescent="0.25">
      <c r="A784" s="316" t="s">
        <v>2429</v>
      </c>
      <c r="B784" s="313">
        <v>40485</v>
      </c>
      <c r="C784" s="316" t="s">
        <v>2381</v>
      </c>
      <c r="D784" s="314">
        <v>5</v>
      </c>
      <c r="E784" s="314">
        <v>10</v>
      </c>
    </row>
    <row r="785" spans="1:5" x14ac:dyDescent="0.25">
      <c r="A785" s="316" t="s">
        <v>2429</v>
      </c>
      <c r="B785" s="313">
        <v>40485</v>
      </c>
      <c r="C785" s="316" t="s">
        <v>2381</v>
      </c>
      <c r="D785" s="314">
        <v>10</v>
      </c>
      <c r="E785" s="314">
        <v>20</v>
      </c>
    </row>
    <row r="786" spans="1:5" x14ac:dyDescent="0.25">
      <c r="A786" s="316" t="s">
        <v>2429</v>
      </c>
      <c r="B786" s="313">
        <v>40485</v>
      </c>
      <c r="C786" s="316" t="s">
        <v>2381</v>
      </c>
      <c r="D786" s="314">
        <v>20</v>
      </c>
      <c r="E786" s="314">
        <v>30</v>
      </c>
    </row>
    <row r="787" spans="1:5" x14ac:dyDescent="0.25">
      <c r="A787" s="316" t="s">
        <v>2429</v>
      </c>
      <c r="B787" s="313">
        <v>40485</v>
      </c>
      <c r="C787" s="316" t="s">
        <v>2381</v>
      </c>
      <c r="D787" s="314">
        <v>30</v>
      </c>
      <c r="E787" s="314">
        <v>60</v>
      </c>
    </row>
    <row r="788" spans="1:5" x14ac:dyDescent="0.25">
      <c r="A788" s="316" t="s">
        <v>2429</v>
      </c>
      <c r="B788" s="313">
        <v>40485</v>
      </c>
      <c r="C788" s="316" t="s">
        <v>2381</v>
      </c>
      <c r="D788" s="314">
        <v>60</v>
      </c>
      <c r="E788" s="314">
        <v>100</v>
      </c>
    </row>
    <row r="789" spans="1:5" x14ac:dyDescent="0.25">
      <c r="A789" s="316" t="s">
        <v>2430</v>
      </c>
      <c r="B789" s="313">
        <v>40485</v>
      </c>
      <c r="C789" s="316" t="s">
        <v>2395</v>
      </c>
      <c r="D789" s="314">
        <v>0</v>
      </c>
      <c r="E789" s="314">
        <v>5</v>
      </c>
    </row>
    <row r="790" spans="1:5" x14ac:dyDescent="0.25">
      <c r="A790" s="316" t="s">
        <v>2430</v>
      </c>
      <c r="B790" s="313">
        <v>40485</v>
      </c>
      <c r="C790" s="316" t="s">
        <v>2395</v>
      </c>
      <c r="D790" s="314">
        <v>5</v>
      </c>
      <c r="E790" s="314">
        <v>10</v>
      </c>
    </row>
    <row r="791" spans="1:5" x14ac:dyDescent="0.25">
      <c r="A791" s="316" t="s">
        <v>2430</v>
      </c>
      <c r="B791" s="313">
        <v>40485</v>
      </c>
      <c r="C791" s="316" t="s">
        <v>2395</v>
      </c>
      <c r="D791" s="314">
        <v>10</v>
      </c>
      <c r="E791" s="314">
        <v>20</v>
      </c>
    </row>
    <row r="792" spans="1:5" x14ac:dyDescent="0.25">
      <c r="A792" s="316" t="s">
        <v>2430</v>
      </c>
      <c r="B792" s="313">
        <v>40485</v>
      </c>
      <c r="C792" s="316" t="s">
        <v>2395</v>
      </c>
      <c r="D792" s="314">
        <v>20</v>
      </c>
      <c r="E792" s="314">
        <v>30</v>
      </c>
    </row>
    <row r="793" spans="1:5" x14ac:dyDescent="0.25">
      <c r="A793" s="316" t="s">
        <v>2430</v>
      </c>
      <c r="B793" s="313">
        <v>40485</v>
      </c>
      <c r="C793" s="316" t="s">
        <v>2395</v>
      </c>
      <c r="D793" s="314">
        <v>30</v>
      </c>
      <c r="E793" s="314">
        <v>60</v>
      </c>
    </row>
    <row r="794" spans="1:5" x14ac:dyDescent="0.25">
      <c r="A794" s="316" t="s">
        <v>2430</v>
      </c>
      <c r="B794" s="313">
        <v>40485</v>
      </c>
      <c r="C794" s="316" t="s">
        <v>2395</v>
      </c>
      <c r="D794" s="314">
        <v>60</v>
      </c>
      <c r="E794" s="314">
        <v>100</v>
      </c>
    </row>
    <row r="795" spans="1:5" x14ac:dyDescent="0.25">
      <c r="A795" s="316" t="s">
        <v>2431</v>
      </c>
      <c r="B795" s="313">
        <v>40485</v>
      </c>
      <c r="C795" s="316" t="s">
        <v>2393</v>
      </c>
      <c r="D795" s="314">
        <v>0</v>
      </c>
      <c r="E795" s="314">
        <v>5</v>
      </c>
    </row>
    <row r="796" spans="1:5" x14ac:dyDescent="0.25">
      <c r="A796" s="316" t="s">
        <v>2431</v>
      </c>
      <c r="B796" s="313">
        <v>40485</v>
      </c>
      <c r="C796" s="316" t="s">
        <v>2393</v>
      </c>
      <c r="D796" s="314">
        <v>5</v>
      </c>
      <c r="E796" s="314">
        <v>10</v>
      </c>
    </row>
    <row r="797" spans="1:5" x14ac:dyDescent="0.25">
      <c r="A797" s="316" t="s">
        <v>2431</v>
      </c>
      <c r="B797" s="313">
        <v>40485</v>
      </c>
      <c r="C797" s="316" t="s">
        <v>2393</v>
      </c>
      <c r="D797" s="314">
        <v>10</v>
      </c>
      <c r="E797" s="314">
        <v>20</v>
      </c>
    </row>
    <row r="798" spans="1:5" x14ac:dyDescent="0.25">
      <c r="A798" s="316" t="s">
        <v>2431</v>
      </c>
      <c r="B798" s="313">
        <v>40485</v>
      </c>
      <c r="C798" s="316" t="s">
        <v>2393</v>
      </c>
      <c r="D798" s="314">
        <v>20</v>
      </c>
      <c r="E798" s="314">
        <v>30</v>
      </c>
    </row>
    <row r="799" spans="1:5" x14ac:dyDescent="0.25">
      <c r="A799" s="316" t="s">
        <v>2431</v>
      </c>
      <c r="B799" s="313">
        <v>40485</v>
      </c>
      <c r="C799" s="316" t="s">
        <v>2393</v>
      </c>
      <c r="D799" s="314">
        <v>30</v>
      </c>
      <c r="E799" s="314">
        <v>60</v>
      </c>
    </row>
    <row r="800" spans="1:5" x14ac:dyDescent="0.25">
      <c r="A800" s="316" t="s">
        <v>2431</v>
      </c>
      <c r="B800" s="313">
        <v>40485</v>
      </c>
      <c r="C800" s="316" t="s">
        <v>2393</v>
      </c>
      <c r="D800" s="314">
        <v>60</v>
      </c>
      <c r="E800" s="314">
        <v>100</v>
      </c>
    </row>
    <row r="801" spans="1:5" x14ac:dyDescent="0.25">
      <c r="A801" s="316" t="s">
        <v>2432</v>
      </c>
      <c r="B801" s="313">
        <v>40485</v>
      </c>
      <c r="C801" s="316" t="s">
        <v>2387</v>
      </c>
      <c r="D801" s="314">
        <v>0</v>
      </c>
      <c r="E801" s="314">
        <v>5</v>
      </c>
    </row>
    <row r="802" spans="1:5" x14ac:dyDescent="0.25">
      <c r="A802" s="316" t="s">
        <v>2432</v>
      </c>
      <c r="B802" s="313">
        <v>40485</v>
      </c>
      <c r="C802" s="316" t="s">
        <v>2387</v>
      </c>
      <c r="D802" s="314">
        <v>5</v>
      </c>
      <c r="E802" s="314">
        <v>10</v>
      </c>
    </row>
    <row r="803" spans="1:5" x14ac:dyDescent="0.25">
      <c r="A803" s="316" t="s">
        <v>2432</v>
      </c>
      <c r="B803" s="313">
        <v>40485</v>
      </c>
      <c r="C803" s="316" t="s">
        <v>2387</v>
      </c>
      <c r="D803" s="314">
        <v>10</v>
      </c>
      <c r="E803" s="314">
        <v>20</v>
      </c>
    </row>
    <row r="804" spans="1:5" x14ac:dyDescent="0.25">
      <c r="A804" s="316" t="s">
        <v>2432</v>
      </c>
      <c r="B804" s="313">
        <v>40485</v>
      </c>
      <c r="C804" s="316" t="s">
        <v>2387</v>
      </c>
      <c r="D804" s="314">
        <v>20</v>
      </c>
      <c r="E804" s="314">
        <v>30</v>
      </c>
    </row>
    <row r="805" spans="1:5" x14ac:dyDescent="0.25">
      <c r="A805" s="316" t="s">
        <v>2432</v>
      </c>
      <c r="B805" s="313">
        <v>40485</v>
      </c>
      <c r="C805" s="316" t="s">
        <v>2387</v>
      </c>
      <c r="D805" s="314">
        <v>30</v>
      </c>
      <c r="E805" s="314">
        <v>60</v>
      </c>
    </row>
    <row r="806" spans="1:5" x14ac:dyDescent="0.25">
      <c r="A806" s="316" t="s">
        <v>2432</v>
      </c>
      <c r="B806" s="313">
        <v>40485</v>
      </c>
      <c r="C806" s="316" t="s">
        <v>2387</v>
      </c>
      <c r="D806" s="314">
        <v>60</v>
      </c>
      <c r="E806" s="314">
        <v>100</v>
      </c>
    </row>
    <row r="807" spans="1:5" x14ac:dyDescent="0.25">
      <c r="A807" s="316" t="s">
        <v>2433</v>
      </c>
      <c r="B807" s="313">
        <v>40485</v>
      </c>
      <c r="C807" s="316" t="s">
        <v>2391</v>
      </c>
      <c r="D807" s="314">
        <v>0</v>
      </c>
      <c r="E807" s="314">
        <v>5</v>
      </c>
    </row>
    <row r="808" spans="1:5" x14ac:dyDescent="0.25">
      <c r="A808" s="316" t="s">
        <v>2433</v>
      </c>
      <c r="B808" s="313">
        <v>40485</v>
      </c>
      <c r="C808" s="316" t="s">
        <v>2391</v>
      </c>
      <c r="D808" s="314">
        <v>5</v>
      </c>
      <c r="E808" s="314">
        <v>10</v>
      </c>
    </row>
    <row r="809" spans="1:5" x14ac:dyDescent="0.25">
      <c r="A809" s="316" t="s">
        <v>2433</v>
      </c>
      <c r="B809" s="313">
        <v>40485</v>
      </c>
      <c r="C809" s="316" t="s">
        <v>2391</v>
      </c>
      <c r="D809" s="314">
        <v>10</v>
      </c>
      <c r="E809" s="314">
        <v>20</v>
      </c>
    </row>
    <row r="810" spans="1:5" x14ac:dyDescent="0.25">
      <c r="A810" s="316" t="s">
        <v>2433</v>
      </c>
      <c r="B810" s="313">
        <v>40485</v>
      </c>
      <c r="C810" s="316" t="s">
        <v>2391</v>
      </c>
      <c r="D810" s="314">
        <v>20</v>
      </c>
      <c r="E810" s="314">
        <v>30</v>
      </c>
    </row>
    <row r="811" spans="1:5" x14ac:dyDescent="0.25">
      <c r="A811" s="316" t="s">
        <v>2433</v>
      </c>
      <c r="B811" s="313">
        <v>40485</v>
      </c>
      <c r="C811" s="316" t="s">
        <v>2391</v>
      </c>
      <c r="D811" s="314">
        <v>30</v>
      </c>
      <c r="E811" s="314">
        <v>60</v>
      </c>
    </row>
    <row r="812" spans="1:5" x14ac:dyDescent="0.25">
      <c r="A812" s="316" t="s">
        <v>2433</v>
      </c>
      <c r="B812" s="313">
        <v>40485</v>
      </c>
      <c r="C812" s="316" t="s">
        <v>2391</v>
      </c>
      <c r="D812" s="314">
        <v>60</v>
      </c>
      <c r="E812" s="314">
        <v>100</v>
      </c>
    </row>
    <row r="813" spans="1:5" x14ac:dyDescent="0.25">
      <c r="A813" s="316" t="s">
        <v>2434</v>
      </c>
      <c r="B813" s="313">
        <v>40485</v>
      </c>
      <c r="C813" s="316" t="s">
        <v>2383</v>
      </c>
      <c r="D813" s="314">
        <v>0</v>
      </c>
      <c r="E813" s="314">
        <v>5</v>
      </c>
    </row>
    <row r="814" spans="1:5" x14ac:dyDescent="0.25">
      <c r="A814" s="316" t="s">
        <v>2434</v>
      </c>
      <c r="B814" s="313">
        <v>40485</v>
      </c>
      <c r="C814" s="316" t="s">
        <v>2383</v>
      </c>
      <c r="D814" s="314">
        <v>5</v>
      </c>
      <c r="E814" s="314">
        <v>10</v>
      </c>
    </row>
    <row r="815" spans="1:5" x14ac:dyDescent="0.25">
      <c r="A815" s="316" t="s">
        <v>2434</v>
      </c>
      <c r="B815" s="313">
        <v>40485</v>
      </c>
      <c r="C815" s="316" t="s">
        <v>2383</v>
      </c>
      <c r="D815" s="314">
        <v>10</v>
      </c>
      <c r="E815" s="314">
        <v>20</v>
      </c>
    </row>
    <row r="816" spans="1:5" x14ac:dyDescent="0.25">
      <c r="A816" s="316" t="s">
        <v>2434</v>
      </c>
      <c r="B816" s="313">
        <v>40485</v>
      </c>
      <c r="C816" s="316" t="s">
        <v>2383</v>
      </c>
      <c r="D816" s="314">
        <v>20</v>
      </c>
      <c r="E816" s="314">
        <v>30</v>
      </c>
    </row>
    <row r="817" spans="1:5" x14ac:dyDescent="0.25">
      <c r="A817" s="316" t="s">
        <v>2434</v>
      </c>
      <c r="B817" s="313">
        <v>40485</v>
      </c>
      <c r="C817" s="316" t="s">
        <v>2383</v>
      </c>
      <c r="D817" s="314">
        <v>30</v>
      </c>
      <c r="E817" s="314">
        <v>60</v>
      </c>
    </row>
    <row r="818" spans="1:5" x14ac:dyDescent="0.25">
      <c r="A818" s="316" t="s">
        <v>2434</v>
      </c>
      <c r="B818" s="313">
        <v>40485</v>
      </c>
      <c r="C818" s="316" t="s">
        <v>2383</v>
      </c>
      <c r="D818" s="314">
        <v>60</v>
      </c>
      <c r="E818" s="314">
        <v>100</v>
      </c>
    </row>
    <row r="819" spans="1:5" x14ac:dyDescent="0.25">
      <c r="A819" s="316" t="s">
        <v>2435</v>
      </c>
      <c r="B819" s="313">
        <v>40485</v>
      </c>
      <c r="C819" s="316" t="s">
        <v>2385</v>
      </c>
      <c r="D819" s="314">
        <v>0</v>
      </c>
      <c r="E819" s="314">
        <v>5</v>
      </c>
    </row>
    <row r="820" spans="1:5" x14ac:dyDescent="0.25">
      <c r="A820" s="316" t="s">
        <v>2435</v>
      </c>
      <c r="B820" s="313">
        <v>40485</v>
      </c>
      <c r="C820" s="316" t="s">
        <v>2385</v>
      </c>
      <c r="D820" s="314">
        <v>5</v>
      </c>
      <c r="E820" s="314">
        <v>10</v>
      </c>
    </row>
    <row r="821" spans="1:5" x14ac:dyDescent="0.25">
      <c r="A821" s="316" t="s">
        <v>2435</v>
      </c>
      <c r="B821" s="313">
        <v>40485</v>
      </c>
      <c r="C821" s="316" t="s">
        <v>2385</v>
      </c>
      <c r="D821" s="314">
        <v>10</v>
      </c>
      <c r="E821" s="314">
        <v>20</v>
      </c>
    </row>
    <row r="822" spans="1:5" x14ac:dyDescent="0.25">
      <c r="A822" s="316" t="s">
        <v>2435</v>
      </c>
      <c r="B822" s="313">
        <v>40485</v>
      </c>
      <c r="C822" s="316" t="s">
        <v>2385</v>
      </c>
      <c r="D822" s="314">
        <v>20</v>
      </c>
      <c r="E822" s="314">
        <v>30</v>
      </c>
    </row>
    <row r="823" spans="1:5" x14ac:dyDescent="0.25">
      <c r="A823" s="316" t="s">
        <v>2435</v>
      </c>
      <c r="B823" s="313">
        <v>40485</v>
      </c>
      <c r="C823" s="316" t="s">
        <v>2385</v>
      </c>
      <c r="D823" s="314">
        <v>30</v>
      </c>
      <c r="E823" s="314">
        <v>60</v>
      </c>
    </row>
    <row r="824" spans="1:5" x14ac:dyDescent="0.25">
      <c r="A824" s="316" t="s">
        <v>2435</v>
      </c>
      <c r="B824" s="313">
        <v>40485</v>
      </c>
      <c r="C824" s="316" t="s">
        <v>2385</v>
      </c>
      <c r="D824" s="314">
        <v>60</v>
      </c>
      <c r="E824" s="314">
        <v>100</v>
      </c>
    </row>
    <row r="825" spans="1:5" x14ac:dyDescent="0.25">
      <c r="A825" s="316" t="s">
        <v>2436</v>
      </c>
      <c r="B825" s="313">
        <v>40473</v>
      </c>
      <c r="C825" s="316" t="s">
        <v>2407</v>
      </c>
      <c r="D825" s="314">
        <v>0</v>
      </c>
      <c r="E825" s="314">
        <v>5</v>
      </c>
    </row>
    <row r="826" spans="1:5" x14ac:dyDescent="0.25">
      <c r="A826" s="316" t="s">
        <v>2436</v>
      </c>
      <c r="B826" s="313">
        <v>40473</v>
      </c>
      <c r="C826" s="316" t="s">
        <v>2407</v>
      </c>
      <c r="D826" s="314">
        <v>5</v>
      </c>
      <c r="E826" s="314">
        <v>10</v>
      </c>
    </row>
    <row r="827" spans="1:5" x14ac:dyDescent="0.25">
      <c r="A827" s="316" t="s">
        <v>2436</v>
      </c>
      <c r="B827" s="313">
        <v>40473</v>
      </c>
      <c r="C827" s="316" t="s">
        <v>2407</v>
      </c>
      <c r="D827" s="314">
        <v>10</v>
      </c>
      <c r="E827" s="314">
        <v>20</v>
      </c>
    </row>
    <row r="828" spans="1:5" x14ac:dyDescent="0.25">
      <c r="A828" s="316" t="s">
        <v>2436</v>
      </c>
      <c r="B828" s="313">
        <v>40473</v>
      </c>
      <c r="C828" s="316" t="s">
        <v>2407</v>
      </c>
      <c r="D828" s="314">
        <v>20</v>
      </c>
      <c r="E828" s="314">
        <v>30</v>
      </c>
    </row>
    <row r="829" spans="1:5" x14ac:dyDescent="0.25">
      <c r="A829" s="316" t="s">
        <v>2436</v>
      </c>
      <c r="B829" s="313">
        <v>40473</v>
      </c>
      <c r="C829" s="316" t="s">
        <v>2407</v>
      </c>
      <c r="D829" s="314">
        <v>30</v>
      </c>
      <c r="E829" s="314">
        <v>60</v>
      </c>
    </row>
    <row r="830" spans="1:5" x14ac:dyDescent="0.25">
      <c r="A830" s="316" t="s">
        <v>2436</v>
      </c>
      <c r="B830" s="313">
        <v>40473</v>
      </c>
      <c r="C830" s="316" t="s">
        <v>2407</v>
      </c>
      <c r="D830" s="314">
        <v>60</v>
      </c>
      <c r="E830" s="314">
        <v>100</v>
      </c>
    </row>
    <row r="831" spans="1:5" x14ac:dyDescent="0.25">
      <c r="A831" s="316" t="s">
        <v>2437</v>
      </c>
      <c r="B831" s="313">
        <v>40473</v>
      </c>
      <c r="C831" s="316" t="s">
        <v>2397</v>
      </c>
      <c r="D831" s="314">
        <v>0</v>
      </c>
      <c r="E831" s="314">
        <v>5</v>
      </c>
    </row>
    <row r="832" spans="1:5" x14ac:dyDescent="0.25">
      <c r="A832" s="316" t="s">
        <v>2437</v>
      </c>
      <c r="B832" s="313">
        <v>40473</v>
      </c>
      <c r="C832" s="316" t="s">
        <v>2397</v>
      </c>
      <c r="D832" s="314">
        <v>5</v>
      </c>
      <c r="E832" s="314">
        <v>10</v>
      </c>
    </row>
    <row r="833" spans="1:5" x14ac:dyDescent="0.25">
      <c r="A833" s="316" t="s">
        <v>2437</v>
      </c>
      <c r="B833" s="313">
        <v>40473</v>
      </c>
      <c r="C833" s="316" t="s">
        <v>2397</v>
      </c>
      <c r="D833" s="314">
        <v>10</v>
      </c>
      <c r="E833" s="314">
        <v>20</v>
      </c>
    </row>
    <row r="834" spans="1:5" x14ac:dyDescent="0.25">
      <c r="A834" s="316" t="s">
        <v>2437</v>
      </c>
      <c r="B834" s="313">
        <v>40473</v>
      </c>
      <c r="C834" s="316" t="s">
        <v>2397</v>
      </c>
      <c r="D834" s="314">
        <v>20</v>
      </c>
      <c r="E834" s="314">
        <v>30</v>
      </c>
    </row>
    <row r="835" spans="1:5" x14ac:dyDescent="0.25">
      <c r="A835" s="316" t="s">
        <v>2437</v>
      </c>
      <c r="B835" s="313">
        <v>40473</v>
      </c>
      <c r="C835" s="316" t="s">
        <v>2397</v>
      </c>
      <c r="D835" s="314">
        <v>30</v>
      </c>
      <c r="E835" s="314">
        <v>60</v>
      </c>
    </row>
    <row r="836" spans="1:5" x14ac:dyDescent="0.25">
      <c r="A836" s="316" t="s">
        <v>2437</v>
      </c>
      <c r="B836" s="313">
        <v>40473</v>
      </c>
      <c r="C836" s="316" t="s">
        <v>2397</v>
      </c>
      <c r="D836" s="314">
        <v>60</v>
      </c>
      <c r="E836" s="314">
        <v>100</v>
      </c>
    </row>
    <row r="837" spans="1:5" x14ac:dyDescent="0.25">
      <c r="A837" s="316" t="s">
        <v>2438</v>
      </c>
      <c r="B837" s="313">
        <v>40473</v>
      </c>
      <c r="C837" s="316" t="s">
        <v>2401</v>
      </c>
      <c r="D837" s="314">
        <v>0</v>
      </c>
      <c r="E837" s="314">
        <v>5</v>
      </c>
    </row>
    <row r="838" spans="1:5" x14ac:dyDescent="0.25">
      <c r="A838" s="316" t="s">
        <v>2438</v>
      </c>
      <c r="B838" s="313">
        <v>40473</v>
      </c>
      <c r="C838" s="316" t="s">
        <v>2401</v>
      </c>
      <c r="D838" s="314">
        <v>5</v>
      </c>
      <c r="E838" s="314">
        <v>10</v>
      </c>
    </row>
    <row r="839" spans="1:5" x14ac:dyDescent="0.25">
      <c r="A839" s="316" t="s">
        <v>2438</v>
      </c>
      <c r="B839" s="313">
        <v>40473</v>
      </c>
      <c r="C839" s="316" t="s">
        <v>2401</v>
      </c>
      <c r="D839" s="314">
        <v>10</v>
      </c>
      <c r="E839" s="314">
        <v>20</v>
      </c>
    </row>
    <row r="840" spans="1:5" x14ac:dyDescent="0.25">
      <c r="A840" s="316" t="s">
        <v>2438</v>
      </c>
      <c r="B840" s="313">
        <v>40473</v>
      </c>
      <c r="C840" s="316" t="s">
        <v>2401</v>
      </c>
      <c r="D840" s="314">
        <v>20</v>
      </c>
      <c r="E840" s="314">
        <v>30</v>
      </c>
    </row>
    <row r="841" spans="1:5" x14ac:dyDescent="0.25">
      <c r="A841" s="316" t="s">
        <v>2438</v>
      </c>
      <c r="B841" s="313">
        <v>40473</v>
      </c>
      <c r="C841" s="316" t="s">
        <v>2401</v>
      </c>
      <c r="D841" s="314">
        <v>30</v>
      </c>
      <c r="E841" s="314">
        <v>60</v>
      </c>
    </row>
    <row r="842" spans="1:5" x14ac:dyDescent="0.25">
      <c r="A842" s="316" t="s">
        <v>2438</v>
      </c>
      <c r="B842" s="313">
        <v>40473</v>
      </c>
      <c r="C842" s="316" t="s">
        <v>2401</v>
      </c>
      <c r="D842" s="314">
        <v>60</v>
      </c>
      <c r="E842" s="314">
        <v>100</v>
      </c>
    </row>
    <row r="843" spans="1:5" x14ac:dyDescent="0.25">
      <c r="A843" s="316" t="s">
        <v>2439</v>
      </c>
      <c r="B843" s="313">
        <v>40473</v>
      </c>
      <c r="C843" s="316" t="s">
        <v>2399</v>
      </c>
      <c r="D843" s="314">
        <v>0</v>
      </c>
      <c r="E843" s="314">
        <v>5</v>
      </c>
    </row>
    <row r="844" spans="1:5" x14ac:dyDescent="0.25">
      <c r="A844" s="316" t="s">
        <v>2439</v>
      </c>
      <c r="B844" s="313">
        <v>40473</v>
      </c>
      <c r="C844" s="316" t="s">
        <v>2399</v>
      </c>
      <c r="D844" s="314">
        <v>5</v>
      </c>
      <c r="E844" s="314">
        <v>10</v>
      </c>
    </row>
    <row r="845" spans="1:5" x14ac:dyDescent="0.25">
      <c r="A845" s="316" t="s">
        <v>2439</v>
      </c>
      <c r="B845" s="313">
        <v>40473</v>
      </c>
      <c r="C845" s="316" t="s">
        <v>2399</v>
      </c>
      <c r="D845" s="314">
        <v>10</v>
      </c>
      <c r="E845" s="314">
        <v>20</v>
      </c>
    </row>
    <row r="846" spans="1:5" x14ac:dyDescent="0.25">
      <c r="A846" s="316" t="s">
        <v>2439</v>
      </c>
      <c r="B846" s="313">
        <v>40473</v>
      </c>
      <c r="C846" s="316" t="s">
        <v>2399</v>
      </c>
      <c r="D846" s="314">
        <v>20</v>
      </c>
      <c r="E846" s="314">
        <v>30</v>
      </c>
    </row>
    <row r="847" spans="1:5" x14ac:dyDescent="0.25">
      <c r="A847" s="316" t="s">
        <v>2439</v>
      </c>
      <c r="B847" s="313">
        <v>40473</v>
      </c>
      <c r="C847" s="316" t="s">
        <v>2399</v>
      </c>
      <c r="D847" s="314">
        <v>30</v>
      </c>
      <c r="E847" s="314">
        <v>60</v>
      </c>
    </row>
    <row r="848" spans="1:5" x14ac:dyDescent="0.25">
      <c r="A848" s="316" t="s">
        <v>2439</v>
      </c>
      <c r="B848" s="313">
        <v>40473</v>
      </c>
      <c r="C848" s="316" t="s">
        <v>2399</v>
      </c>
      <c r="D848" s="314">
        <v>60</v>
      </c>
      <c r="E848" s="314">
        <v>100</v>
      </c>
    </row>
    <row r="849" spans="1:5" x14ac:dyDescent="0.25">
      <c r="A849" s="316" t="s">
        <v>2440</v>
      </c>
      <c r="B849" s="313">
        <v>40473</v>
      </c>
      <c r="C849" s="316" t="s">
        <v>2411</v>
      </c>
      <c r="D849" s="314">
        <v>0</v>
      </c>
      <c r="E849" s="314">
        <v>5</v>
      </c>
    </row>
    <row r="850" spans="1:5" x14ac:dyDescent="0.25">
      <c r="A850" s="316" t="s">
        <v>2440</v>
      </c>
      <c r="B850" s="313">
        <v>40473</v>
      </c>
      <c r="C850" s="316" t="s">
        <v>2411</v>
      </c>
      <c r="D850" s="314">
        <v>5</v>
      </c>
      <c r="E850" s="314">
        <v>10</v>
      </c>
    </row>
    <row r="851" spans="1:5" x14ac:dyDescent="0.25">
      <c r="A851" s="316" t="s">
        <v>2440</v>
      </c>
      <c r="B851" s="313">
        <v>40473</v>
      </c>
      <c r="C851" s="316" t="s">
        <v>2411</v>
      </c>
      <c r="D851" s="314">
        <v>10</v>
      </c>
      <c r="E851" s="314">
        <v>20</v>
      </c>
    </row>
    <row r="852" spans="1:5" x14ac:dyDescent="0.25">
      <c r="A852" s="316" t="s">
        <v>2440</v>
      </c>
      <c r="B852" s="313">
        <v>40473</v>
      </c>
      <c r="C852" s="316" t="s">
        <v>2411</v>
      </c>
      <c r="D852" s="314">
        <v>20</v>
      </c>
      <c r="E852" s="314">
        <v>30</v>
      </c>
    </row>
    <row r="853" spans="1:5" x14ac:dyDescent="0.25">
      <c r="A853" s="316" t="s">
        <v>2440</v>
      </c>
      <c r="B853" s="313">
        <v>40473</v>
      </c>
      <c r="C853" s="316" t="s">
        <v>2411</v>
      </c>
      <c r="D853" s="314">
        <v>30</v>
      </c>
      <c r="E853" s="314">
        <v>60</v>
      </c>
    </row>
    <row r="854" spans="1:5" x14ac:dyDescent="0.25">
      <c r="A854" s="316" t="s">
        <v>2440</v>
      </c>
      <c r="B854" s="313">
        <v>40473</v>
      </c>
      <c r="C854" s="316" t="s">
        <v>2411</v>
      </c>
      <c r="D854" s="314">
        <v>60</v>
      </c>
      <c r="E854" s="314">
        <v>100</v>
      </c>
    </row>
    <row r="855" spans="1:5" x14ac:dyDescent="0.25">
      <c r="A855" s="316" t="s">
        <v>2441</v>
      </c>
      <c r="B855" s="313">
        <v>40473</v>
      </c>
      <c r="C855" s="316" t="s">
        <v>2409</v>
      </c>
      <c r="D855" s="314">
        <v>0</v>
      </c>
      <c r="E855" s="314">
        <v>5</v>
      </c>
    </row>
    <row r="856" spans="1:5" x14ac:dyDescent="0.25">
      <c r="A856" s="316" t="s">
        <v>2441</v>
      </c>
      <c r="B856" s="313">
        <v>40473</v>
      </c>
      <c r="C856" s="316" t="s">
        <v>2409</v>
      </c>
      <c r="D856" s="314">
        <v>5</v>
      </c>
      <c r="E856" s="314">
        <v>10</v>
      </c>
    </row>
    <row r="857" spans="1:5" x14ac:dyDescent="0.25">
      <c r="A857" s="316" t="s">
        <v>2441</v>
      </c>
      <c r="B857" s="313">
        <v>40473</v>
      </c>
      <c r="C857" s="316" t="s">
        <v>2409</v>
      </c>
      <c r="D857" s="314">
        <v>10</v>
      </c>
      <c r="E857" s="314">
        <v>20</v>
      </c>
    </row>
    <row r="858" spans="1:5" x14ac:dyDescent="0.25">
      <c r="A858" s="316" t="s">
        <v>2441</v>
      </c>
      <c r="B858" s="313">
        <v>40473</v>
      </c>
      <c r="C858" s="316" t="s">
        <v>2409</v>
      </c>
      <c r="D858" s="314">
        <v>20</v>
      </c>
      <c r="E858" s="314">
        <v>30</v>
      </c>
    </row>
    <row r="859" spans="1:5" x14ac:dyDescent="0.25">
      <c r="A859" s="316" t="s">
        <v>2441</v>
      </c>
      <c r="B859" s="313">
        <v>40473</v>
      </c>
      <c r="C859" s="316" t="s">
        <v>2409</v>
      </c>
      <c r="D859" s="314">
        <v>30</v>
      </c>
      <c r="E859" s="314">
        <v>60</v>
      </c>
    </row>
    <row r="860" spans="1:5" x14ac:dyDescent="0.25">
      <c r="A860" s="316" t="s">
        <v>2441</v>
      </c>
      <c r="B860" s="313">
        <v>40473</v>
      </c>
      <c r="C860" s="316" t="s">
        <v>2409</v>
      </c>
      <c r="D860" s="314">
        <v>60</v>
      </c>
      <c r="E860" s="314">
        <v>100</v>
      </c>
    </row>
    <row r="861" spans="1:5" x14ac:dyDescent="0.25">
      <c r="A861" s="316" t="s">
        <v>2442</v>
      </c>
      <c r="B861" s="313">
        <v>40473</v>
      </c>
      <c r="C861" s="316" t="s">
        <v>2403</v>
      </c>
      <c r="D861" s="314">
        <v>0</v>
      </c>
      <c r="E861" s="314">
        <v>5</v>
      </c>
    </row>
    <row r="862" spans="1:5" x14ac:dyDescent="0.25">
      <c r="A862" s="316" t="s">
        <v>2442</v>
      </c>
      <c r="B862" s="313">
        <v>40473</v>
      </c>
      <c r="C862" s="316" t="s">
        <v>2403</v>
      </c>
      <c r="D862" s="314">
        <v>5</v>
      </c>
      <c r="E862" s="314">
        <v>10</v>
      </c>
    </row>
    <row r="863" spans="1:5" x14ac:dyDescent="0.25">
      <c r="A863" s="316" t="s">
        <v>2442</v>
      </c>
      <c r="B863" s="313">
        <v>40473</v>
      </c>
      <c r="C863" s="316" t="s">
        <v>2403</v>
      </c>
      <c r="D863" s="314">
        <v>10</v>
      </c>
      <c r="E863" s="314">
        <v>20</v>
      </c>
    </row>
    <row r="864" spans="1:5" x14ac:dyDescent="0.25">
      <c r="A864" s="316" t="s">
        <v>2442</v>
      </c>
      <c r="B864" s="313">
        <v>40473</v>
      </c>
      <c r="C864" s="316" t="s">
        <v>2403</v>
      </c>
      <c r="D864" s="314">
        <v>20</v>
      </c>
      <c r="E864" s="314">
        <v>30</v>
      </c>
    </row>
    <row r="865" spans="1:5" x14ac:dyDescent="0.25">
      <c r="A865" s="316" t="s">
        <v>2442</v>
      </c>
      <c r="B865" s="313">
        <v>40473</v>
      </c>
      <c r="C865" s="316" t="s">
        <v>2403</v>
      </c>
      <c r="D865" s="314">
        <v>30</v>
      </c>
      <c r="E865" s="314">
        <v>60</v>
      </c>
    </row>
    <row r="866" spans="1:5" x14ac:dyDescent="0.25">
      <c r="A866" s="316" t="s">
        <v>2442</v>
      </c>
      <c r="B866" s="313">
        <v>40473</v>
      </c>
      <c r="C866" s="316" t="s">
        <v>2403</v>
      </c>
      <c r="D866" s="314">
        <v>60</v>
      </c>
      <c r="E866" s="314">
        <v>100</v>
      </c>
    </row>
    <row r="867" spans="1:5" x14ac:dyDescent="0.25">
      <c r="A867" s="316" t="s">
        <v>2443</v>
      </c>
      <c r="B867" s="313">
        <v>40473</v>
      </c>
      <c r="C867" s="316" t="s">
        <v>2405</v>
      </c>
      <c r="D867" s="314">
        <v>0</v>
      </c>
      <c r="E867" s="314">
        <v>5</v>
      </c>
    </row>
    <row r="868" spans="1:5" x14ac:dyDescent="0.25">
      <c r="A868" s="316" t="s">
        <v>2443</v>
      </c>
      <c r="B868" s="313">
        <v>40473</v>
      </c>
      <c r="C868" s="316" t="s">
        <v>2405</v>
      </c>
      <c r="D868" s="314">
        <v>5</v>
      </c>
      <c r="E868" s="314">
        <v>10</v>
      </c>
    </row>
    <row r="869" spans="1:5" x14ac:dyDescent="0.25">
      <c r="A869" s="316" t="s">
        <v>2443</v>
      </c>
      <c r="B869" s="313">
        <v>40473</v>
      </c>
      <c r="C869" s="316" t="s">
        <v>2405</v>
      </c>
      <c r="D869" s="314">
        <v>10</v>
      </c>
      <c r="E869" s="314">
        <v>20</v>
      </c>
    </row>
    <row r="870" spans="1:5" x14ac:dyDescent="0.25">
      <c r="A870" s="316" t="s">
        <v>2443</v>
      </c>
      <c r="B870" s="313">
        <v>40473</v>
      </c>
      <c r="C870" s="316" t="s">
        <v>2405</v>
      </c>
      <c r="D870" s="314">
        <v>20</v>
      </c>
      <c r="E870" s="314">
        <v>30</v>
      </c>
    </row>
    <row r="871" spans="1:5" x14ac:dyDescent="0.25">
      <c r="A871" s="316" t="s">
        <v>2443</v>
      </c>
      <c r="B871" s="313">
        <v>40473</v>
      </c>
      <c r="C871" s="316" t="s">
        <v>2405</v>
      </c>
      <c r="D871" s="314">
        <v>30</v>
      </c>
      <c r="E871" s="314">
        <v>60</v>
      </c>
    </row>
    <row r="872" spans="1:5" x14ac:dyDescent="0.25">
      <c r="A872" s="316" t="s">
        <v>2443</v>
      </c>
      <c r="B872" s="313">
        <v>40473</v>
      </c>
      <c r="C872" s="316" t="s">
        <v>2405</v>
      </c>
      <c r="D872" s="314">
        <v>60</v>
      </c>
      <c r="E872" s="314">
        <v>100</v>
      </c>
    </row>
    <row r="873" spans="1:5" x14ac:dyDescent="0.25">
      <c r="A873" s="316" t="s">
        <v>2444</v>
      </c>
      <c r="B873" s="313">
        <v>40486</v>
      </c>
      <c r="C873" s="316" t="s">
        <v>2387</v>
      </c>
      <c r="D873" s="314">
        <v>0</v>
      </c>
      <c r="E873" s="314">
        <v>5</v>
      </c>
    </row>
    <row r="874" spans="1:5" x14ac:dyDescent="0.25">
      <c r="A874" s="316" t="s">
        <v>2444</v>
      </c>
      <c r="B874" s="313">
        <v>40486</v>
      </c>
      <c r="C874" s="316" t="s">
        <v>2387</v>
      </c>
      <c r="D874" s="314">
        <v>5</v>
      </c>
      <c r="E874" s="314">
        <v>10</v>
      </c>
    </row>
    <row r="875" spans="1:5" x14ac:dyDescent="0.25">
      <c r="A875" s="316" t="s">
        <v>2444</v>
      </c>
      <c r="B875" s="313">
        <v>40486</v>
      </c>
      <c r="C875" s="316" t="s">
        <v>2387</v>
      </c>
      <c r="D875" s="314">
        <v>10</v>
      </c>
      <c r="E875" s="314">
        <v>20</v>
      </c>
    </row>
    <row r="876" spans="1:5" x14ac:dyDescent="0.25">
      <c r="A876" s="316" t="s">
        <v>2444</v>
      </c>
      <c r="B876" s="313">
        <v>40486</v>
      </c>
      <c r="C876" s="316" t="s">
        <v>2387</v>
      </c>
      <c r="D876" s="314">
        <v>20</v>
      </c>
      <c r="E876" s="314">
        <v>30</v>
      </c>
    </row>
    <row r="877" spans="1:5" x14ac:dyDescent="0.25">
      <c r="A877" s="316" t="s">
        <v>2444</v>
      </c>
      <c r="B877" s="313">
        <v>40486</v>
      </c>
      <c r="C877" s="316" t="s">
        <v>2387</v>
      </c>
      <c r="D877" s="314">
        <v>30</v>
      </c>
      <c r="E877" s="314">
        <v>60</v>
      </c>
    </row>
    <row r="878" spans="1:5" x14ac:dyDescent="0.25">
      <c r="A878" s="316" t="s">
        <v>2444</v>
      </c>
      <c r="B878" s="313">
        <v>40486</v>
      </c>
      <c r="C878" s="316" t="s">
        <v>2387</v>
      </c>
      <c r="D878" s="314">
        <v>60</v>
      </c>
      <c r="E878" s="314">
        <v>100</v>
      </c>
    </row>
    <row r="879" spans="1:5" x14ac:dyDescent="0.25">
      <c r="A879" s="316" t="s">
        <v>2445</v>
      </c>
      <c r="B879" s="313">
        <v>40486</v>
      </c>
      <c r="C879" s="316" t="s">
        <v>2385</v>
      </c>
      <c r="D879" s="314">
        <v>0</v>
      </c>
      <c r="E879" s="314">
        <v>5</v>
      </c>
    </row>
    <row r="880" spans="1:5" x14ac:dyDescent="0.25">
      <c r="A880" s="316" t="s">
        <v>2445</v>
      </c>
      <c r="B880" s="313">
        <v>40486</v>
      </c>
      <c r="C880" s="316" t="s">
        <v>2385</v>
      </c>
      <c r="D880" s="314">
        <v>5</v>
      </c>
      <c r="E880" s="314">
        <v>10</v>
      </c>
    </row>
    <row r="881" spans="1:5" x14ac:dyDescent="0.25">
      <c r="A881" s="316" t="s">
        <v>2445</v>
      </c>
      <c r="B881" s="313">
        <v>40486</v>
      </c>
      <c r="C881" s="316" t="s">
        <v>2385</v>
      </c>
      <c r="D881" s="314">
        <v>10</v>
      </c>
      <c r="E881" s="314">
        <v>20</v>
      </c>
    </row>
    <row r="882" spans="1:5" x14ac:dyDescent="0.25">
      <c r="A882" s="316" t="s">
        <v>2445</v>
      </c>
      <c r="B882" s="313">
        <v>40486</v>
      </c>
      <c r="C882" s="316" t="s">
        <v>2385</v>
      </c>
      <c r="D882" s="314">
        <v>20</v>
      </c>
      <c r="E882" s="314">
        <v>30</v>
      </c>
    </row>
    <row r="883" spans="1:5" x14ac:dyDescent="0.25">
      <c r="A883" s="316" t="s">
        <v>2445</v>
      </c>
      <c r="B883" s="313">
        <v>40486</v>
      </c>
      <c r="C883" s="316" t="s">
        <v>2385</v>
      </c>
      <c r="D883" s="314">
        <v>30</v>
      </c>
      <c r="E883" s="314">
        <v>60</v>
      </c>
    </row>
    <row r="884" spans="1:5" x14ac:dyDescent="0.25">
      <c r="A884" s="316" t="s">
        <v>2445</v>
      </c>
      <c r="B884" s="313">
        <v>40486</v>
      </c>
      <c r="C884" s="316" t="s">
        <v>2385</v>
      </c>
      <c r="D884" s="314">
        <v>60</v>
      </c>
      <c r="E884" s="314">
        <v>100</v>
      </c>
    </row>
    <row r="885" spans="1:5" x14ac:dyDescent="0.25">
      <c r="A885" s="316" t="s">
        <v>2446</v>
      </c>
      <c r="B885" s="313">
        <v>40486</v>
      </c>
      <c r="C885" s="316" t="s">
        <v>2391</v>
      </c>
      <c r="D885" s="314">
        <v>0</v>
      </c>
      <c r="E885" s="314">
        <v>5</v>
      </c>
    </row>
    <row r="886" spans="1:5" x14ac:dyDescent="0.25">
      <c r="A886" s="316" t="s">
        <v>2446</v>
      </c>
      <c r="B886" s="313">
        <v>40486</v>
      </c>
      <c r="C886" s="316" t="s">
        <v>2391</v>
      </c>
      <c r="D886" s="314">
        <v>5</v>
      </c>
      <c r="E886" s="314">
        <v>10</v>
      </c>
    </row>
    <row r="887" spans="1:5" x14ac:dyDescent="0.25">
      <c r="A887" s="316" t="s">
        <v>2446</v>
      </c>
      <c r="B887" s="313">
        <v>40486</v>
      </c>
      <c r="C887" s="316" t="s">
        <v>2391</v>
      </c>
      <c r="D887" s="314">
        <v>10</v>
      </c>
      <c r="E887" s="314">
        <v>20</v>
      </c>
    </row>
    <row r="888" spans="1:5" x14ac:dyDescent="0.25">
      <c r="A888" s="316" t="s">
        <v>2446</v>
      </c>
      <c r="B888" s="313">
        <v>40486</v>
      </c>
      <c r="C888" s="316" t="s">
        <v>2391</v>
      </c>
      <c r="D888" s="314">
        <v>20</v>
      </c>
      <c r="E888" s="314">
        <v>30</v>
      </c>
    </row>
    <row r="889" spans="1:5" x14ac:dyDescent="0.25">
      <c r="A889" s="316" t="s">
        <v>2446</v>
      </c>
      <c r="B889" s="313">
        <v>40486</v>
      </c>
      <c r="C889" s="316" t="s">
        <v>2391</v>
      </c>
      <c r="D889" s="314">
        <v>30</v>
      </c>
      <c r="E889" s="314">
        <v>60</v>
      </c>
    </row>
    <row r="890" spans="1:5" x14ac:dyDescent="0.25">
      <c r="A890" s="316" t="s">
        <v>2446</v>
      </c>
      <c r="B890" s="313">
        <v>40486</v>
      </c>
      <c r="C890" s="316" t="s">
        <v>2391</v>
      </c>
      <c r="D890" s="314">
        <v>60</v>
      </c>
      <c r="E890" s="314">
        <v>100</v>
      </c>
    </row>
    <row r="891" spans="1:5" x14ac:dyDescent="0.25">
      <c r="A891" s="316" t="s">
        <v>2447</v>
      </c>
      <c r="B891" s="313">
        <v>40486</v>
      </c>
      <c r="C891" s="316" t="s">
        <v>2389</v>
      </c>
      <c r="D891" s="314">
        <v>0</v>
      </c>
      <c r="E891" s="314">
        <v>5</v>
      </c>
    </row>
    <row r="892" spans="1:5" x14ac:dyDescent="0.25">
      <c r="A892" s="316" t="s">
        <v>2447</v>
      </c>
      <c r="B892" s="313">
        <v>40486</v>
      </c>
      <c r="C892" s="316" t="s">
        <v>2389</v>
      </c>
      <c r="D892" s="314">
        <v>5</v>
      </c>
      <c r="E892" s="314">
        <v>10</v>
      </c>
    </row>
    <row r="893" spans="1:5" x14ac:dyDescent="0.25">
      <c r="A893" s="316" t="s">
        <v>2447</v>
      </c>
      <c r="B893" s="313">
        <v>40486</v>
      </c>
      <c r="C893" s="316" t="s">
        <v>2389</v>
      </c>
      <c r="D893" s="314">
        <v>10</v>
      </c>
      <c r="E893" s="314">
        <v>20</v>
      </c>
    </row>
    <row r="894" spans="1:5" x14ac:dyDescent="0.25">
      <c r="A894" s="316" t="s">
        <v>2447</v>
      </c>
      <c r="B894" s="313">
        <v>40486</v>
      </c>
      <c r="C894" s="316" t="s">
        <v>2389</v>
      </c>
      <c r="D894" s="314">
        <v>20</v>
      </c>
      <c r="E894" s="314">
        <v>30</v>
      </c>
    </row>
    <row r="895" spans="1:5" x14ac:dyDescent="0.25">
      <c r="A895" s="316" t="s">
        <v>2447</v>
      </c>
      <c r="B895" s="313">
        <v>40486</v>
      </c>
      <c r="C895" s="316" t="s">
        <v>2389</v>
      </c>
      <c r="D895" s="314">
        <v>30</v>
      </c>
      <c r="E895" s="314">
        <v>60</v>
      </c>
    </row>
    <row r="896" spans="1:5" x14ac:dyDescent="0.25">
      <c r="A896" s="316" t="s">
        <v>2447</v>
      </c>
      <c r="B896" s="313">
        <v>40486</v>
      </c>
      <c r="C896" s="316" t="s">
        <v>2389</v>
      </c>
      <c r="D896" s="314">
        <v>60</v>
      </c>
      <c r="E896" s="314">
        <v>100</v>
      </c>
    </row>
    <row r="897" spans="1:5" x14ac:dyDescent="0.25">
      <c r="A897" s="316" t="s">
        <v>2448</v>
      </c>
      <c r="B897" s="313">
        <v>40486</v>
      </c>
      <c r="C897" s="316" t="s">
        <v>2381</v>
      </c>
      <c r="D897" s="314">
        <v>0</v>
      </c>
      <c r="E897" s="314">
        <v>5</v>
      </c>
    </row>
    <row r="898" spans="1:5" x14ac:dyDescent="0.25">
      <c r="A898" s="316" t="s">
        <v>2448</v>
      </c>
      <c r="B898" s="313">
        <v>40486</v>
      </c>
      <c r="C898" s="316" t="s">
        <v>2381</v>
      </c>
      <c r="D898" s="314">
        <v>5</v>
      </c>
      <c r="E898" s="314">
        <v>10</v>
      </c>
    </row>
    <row r="899" spans="1:5" x14ac:dyDescent="0.25">
      <c r="A899" s="316" t="s">
        <v>2448</v>
      </c>
      <c r="B899" s="313">
        <v>40486</v>
      </c>
      <c r="C899" s="316" t="s">
        <v>2381</v>
      </c>
      <c r="D899" s="314">
        <v>10</v>
      </c>
      <c r="E899" s="314">
        <v>20</v>
      </c>
    </row>
    <row r="900" spans="1:5" x14ac:dyDescent="0.25">
      <c r="A900" s="316" t="s">
        <v>2448</v>
      </c>
      <c r="B900" s="313">
        <v>40486</v>
      </c>
      <c r="C900" s="316" t="s">
        <v>2381</v>
      </c>
      <c r="D900" s="314">
        <v>20</v>
      </c>
      <c r="E900" s="314">
        <v>30</v>
      </c>
    </row>
    <row r="901" spans="1:5" x14ac:dyDescent="0.25">
      <c r="A901" s="316" t="s">
        <v>2448</v>
      </c>
      <c r="B901" s="313">
        <v>40486</v>
      </c>
      <c r="C901" s="316" t="s">
        <v>2381</v>
      </c>
      <c r="D901" s="314">
        <v>30</v>
      </c>
      <c r="E901" s="314">
        <v>60</v>
      </c>
    </row>
    <row r="902" spans="1:5" x14ac:dyDescent="0.25">
      <c r="A902" s="316" t="s">
        <v>2448</v>
      </c>
      <c r="B902" s="313">
        <v>40486</v>
      </c>
      <c r="C902" s="316" t="s">
        <v>2381</v>
      </c>
      <c r="D902" s="314">
        <v>60</v>
      </c>
      <c r="E902" s="314">
        <v>100</v>
      </c>
    </row>
    <row r="903" spans="1:5" x14ac:dyDescent="0.25">
      <c r="A903" s="316" t="s">
        <v>2449</v>
      </c>
      <c r="B903" s="313">
        <v>40486</v>
      </c>
      <c r="C903" s="316" t="s">
        <v>2393</v>
      </c>
      <c r="D903" s="314">
        <v>0</v>
      </c>
      <c r="E903" s="314">
        <v>5</v>
      </c>
    </row>
    <row r="904" spans="1:5" x14ac:dyDescent="0.25">
      <c r="A904" s="316" t="s">
        <v>2449</v>
      </c>
      <c r="B904" s="313">
        <v>40486</v>
      </c>
      <c r="C904" s="316" t="s">
        <v>2393</v>
      </c>
      <c r="D904" s="314">
        <v>5</v>
      </c>
      <c r="E904" s="314">
        <v>10</v>
      </c>
    </row>
    <row r="905" spans="1:5" x14ac:dyDescent="0.25">
      <c r="A905" s="316" t="s">
        <v>2449</v>
      </c>
      <c r="B905" s="313">
        <v>40486</v>
      </c>
      <c r="C905" s="316" t="s">
        <v>2393</v>
      </c>
      <c r="D905" s="314">
        <v>10</v>
      </c>
      <c r="E905" s="314">
        <v>20</v>
      </c>
    </row>
    <row r="906" spans="1:5" x14ac:dyDescent="0.25">
      <c r="A906" s="316" t="s">
        <v>2449</v>
      </c>
      <c r="B906" s="313">
        <v>40486</v>
      </c>
      <c r="C906" s="316" t="s">
        <v>2393</v>
      </c>
      <c r="D906" s="314">
        <v>20</v>
      </c>
      <c r="E906" s="314">
        <v>30</v>
      </c>
    </row>
    <row r="907" spans="1:5" x14ac:dyDescent="0.25">
      <c r="A907" s="316" t="s">
        <v>2449</v>
      </c>
      <c r="B907" s="313">
        <v>40486</v>
      </c>
      <c r="C907" s="316" t="s">
        <v>2393</v>
      </c>
      <c r="D907" s="314">
        <v>30</v>
      </c>
      <c r="E907" s="314">
        <v>60</v>
      </c>
    </row>
    <row r="908" spans="1:5" x14ac:dyDescent="0.25">
      <c r="A908" s="316" t="s">
        <v>2449</v>
      </c>
      <c r="B908" s="313">
        <v>40486</v>
      </c>
      <c r="C908" s="316" t="s">
        <v>2393</v>
      </c>
      <c r="D908" s="314">
        <v>60</v>
      </c>
      <c r="E908" s="314">
        <v>100</v>
      </c>
    </row>
    <row r="909" spans="1:5" x14ac:dyDescent="0.25">
      <c r="A909" s="316" t="s">
        <v>2450</v>
      </c>
      <c r="B909" s="313">
        <v>40486</v>
      </c>
      <c r="C909" s="316" t="s">
        <v>2383</v>
      </c>
      <c r="D909" s="314">
        <v>0</v>
      </c>
      <c r="E909" s="314">
        <v>5</v>
      </c>
    </row>
    <row r="910" spans="1:5" x14ac:dyDescent="0.25">
      <c r="A910" s="316" t="s">
        <v>2450</v>
      </c>
      <c r="B910" s="313">
        <v>40486</v>
      </c>
      <c r="C910" s="316" t="s">
        <v>2383</v>
      </c>
      <c r="D910" s="314">
        <v>5</v>
      </c>
      <c r="E910" s="314">
        <v>10</v>
      </c>
    </row>
    <row r="911" spans="1:5" x14ac:dyDescent="0.25">
      <c r="A911" s="316" t="s">
        <v>2450</v>
      </c>
      <c r="B911" s="313">
        <v>40486</v>
      </c>
      <c r="C911" s="316" t="s">
        <v>2383</v>
      </c>
      <c r="D911" s="314">
        <v>10</v>
      </c>
      <c r="E911" s="314">
        <v>20</v>
      </c>
    </row>
    <row r="912" spans="1:5" x14ac:dyDescent="0.25">
      <c r="A912" s="316" t="s">
        <v>2450</v>
      </c>
      <c r="B912" s="313">
        <v>40486</v>
      </c>
      <c r="C912" s="316" t="s">
        <v>2383</v>
      </c>
      <c r="D912" s="314">
        <v>20</v>
      </c>
      <c r="E912" s="314">
        <v>30</v>
      </c>
    </row>
    <row r="913" spans="1:5" x14ac:dyDescent="0.25">
      <c r="A913" s="316" t="s">
        <v>2450</v>
      </c>
      <c r="B913" s="313">
        <v>40486</v>
      </c>
      <c r="C913" s="316" t="s">
        <v>2383</v>
      </c>
      <c r="D913" s="314">
        <v>30</v>
      </c>
      <c r="E913" s="314">
        <v>60</v>
      </c>
    </row>
    <row r="914" spans="1:5" x14ac:dyDescent="0.25">
      <c r="A914" s="316" t="s">
        <v>2450</v>
      </c>
      <c r="B914" s="313">
        <v>40486</v>
      </c>
      <c r="C914" s="316" t="s">
        <v>2383</v>
      </c>
      <c r="D914" s="314">
        <v>60</v>
      </c>
      <c r="E914" s="314">
        <v>100</v>
      </c>
    </row>
    <row r="915" spans="1:5" x14ac:dyDescent="0.25">
      <c r="A915" s="316" t="s">
        <v>2451</v>
      </c>
      <c r="B915" s="313">
        <v>40486</v>
      </c>
      <c r="C915" s="316" t="s">
        <v>2395</v>
      </c>
      <c r="D915" s="314">
        <v>0</v>
      </c>
      <c r="E915" s="314">
        <v>5</v>
      </c>
    </row>
    <row r="916" spans="1:5" x14ac:dyDescent="0.25">
      <c r="A916" s="316" t="s">
        <v>2451</v>
      </c>
      <c r="B916" s="313">
        <v>40486</v>
      </c>
      <c r="C916" s="316" t="s">
        <v>2395</v>
      </c>
      <c r="D916" s="314">
        <v>5</v>
      </c>
      <c r="E916" s="314">
        <v>10</v>
      </c>
    </row>
    <row r="917" spans="1:5" x14ac:dyDescent="0.25">
      <c r="A917" s="316" t="s">
        <v>2451</v>
      </c>
      <c r="B917" s="313">
        <v>40486</v>
      </c>
      <c r="C917" s="316" t="s">
        <v>2395</v>
      </c>
      <c r="D917" s="314">
        <v>10</v>
      </c>
      <c r="E917" s="314">
        <v>20</v>
      </c>
    </row>
    <row r="918" spans="1:5" x14ac:dyDescent="0.25">
      <c r="A918" s="316" t="s">
        <v>2451</v>
      </c>
      <c r="B918" s="313">
        <v>40486</v>
      </c>
      <c r="C918" s="316" t="s">
        <v>2395</v>
      </c>
      <c r="D918" s="314">
        <v>20</v>
      </c>
      <c r="E918" s="314">
        <v>30</v>
      </c>
    </row>
    <row r="919" spans="1:5" x14ac:dyDescent="0.25">
      <c r="A919" s="316" t="s">
        <v>2451</v>
      </c>
      <c r="B919" s="313">
        <v>40486</v>
      </c>
      <c r="C919" s="316" t="s">
        <v>2395</v>
      </c>
      <c r="D919" s="314">
        <v>30</v>
      </c>
      <c r="E919" s="314">
        <v>60</v>
      </c>
    </row>
    <row r="920" spans="1:5" x14ac:dyDescent="0.25">
      <c r="A920" s="316" t="s">
        <v>2451</v>
      </c>
      <c r="B920" s="313">
        <v>40486</v>
      </c>
      <c r="C920" s="316" t="s">
        <v>2395</v>
      </c>
      <c r="D920" s="314">
        <v>60</v>
      </c>
      <c r="E920" s="314">
        <v>100</v>
      </c>
    </row>
    <row r="921" spans="1:5" x14ac:dyDescent="0.25">
      <c r="A921" s="316" t="s">
        <v>2452</v>
      </c>
      <c r="B921" s="313">
        <v>40473</v>
      </c>
      <c r="C921" s="316" t="s">
        <v>2397</v>
      </c>
      <c r="D921" s="314">
        <v>0</v>
      </c>
      <c r="E921" s="314">
        <v>5</v>
      </c>
    </row>
    <row r="922" spans="1:5" x14ac:dyDescent="0.25">
      <c r="A922" s="316" t="s">
        <v>2452</v>
      </c>
      <c r="B922" s="313">
        <v>40473</v>
      </c>
      <c r="C922" s="316" t="s">
        <v>2397</v>
      </c>
      <c r="D922" s="314">
        <v>5</v>
      </c>
      <c r="E922" s="314">
        <v>10</v>
      </c>
    </row>
    <row r="923" spans="1:5" x14ac:dyDescent="0.25">
      <c r="A923" s="316" t="s">
        <v>2452</v>
      </c>
      <c r="B923" s="313">
        <v>40473</v>
      </c>
      <c r="C923" s="316" t="s">
        <v>2397</v>
      </c>
      <c r="D923" s="314">
        <v>10</v>
      </c>
      <c r="E923" s="314">
        <v>20</v>
      </c>
    </row>
    <row r="924" spans="1:5" x14ac:dyDescent="0.25">
      <c r="A924" s="316" t="s">
        <v>2452</v>
      </c>
      <c r="B924" s="313">
        <v>40473</v>
      </c>
      <c r="C924" s="316" t="s">
        <v>2397</v>
      </c>
      <c r="D924" s="314">
        <v>20</v>
      </c>
      <c r="E924" s="314">
        <v>30</v>
      </c>
    </row>
    <row r="925" spans="1:5" x14ac:dyDescent="0.25">
      <c r="A925" s="316" t="s">
        <v>2452</v>
      </c>
      <c r="B925" s="313">
        <v>40473</v>
      </c>
      <c r="C925" s="316" t="s">
        <v>2397</v>
      </c>
      <c r="D925" s="314">
        <v>30</v>
      </c>
      <c r="E925" s="314">
        <v>60</v>
      </c>
    </row>
    <row r="926" spans="1:5" x14ac:dyDescent="0.25">
      <c r="A926" s="316" t="s">
        <v>2452</v>
      </c>
      <c r="B926" s="313">
        <v>40473</v>
      </c>
      <c r="C926" s="316" t="s">
        <v>2397</v>
      </c>
      <c r="D926" s="314">
        <v>60</v>
      </c>
      <c r="E926" s="314">
        <v>100</v>
      </c>
    </row>
    <row r="927" spans="1:5" x14ac:dyDescent="0.25">
      <c r="A927" s="316" t="s">
        <v>2453</v>
      </c>
      <c r="B927" s="313">
        <v>40473</v>
      </c>
      <c r="C927" s="316" t="s">
        <v>2409</v>
      </c>
      <c r="D927" s="314">
        <v>0</v>
      </c>
      <c r="E927" s="314">
        <v>5</v>
      </c>
    </row>
    <row r="928" spans="1:5" x14ac:dyDescent="0.25">
      <c r="A928" s="316" t="s">
        <v>2453</v>
      </c>
      <c r="B928" s="313">
        <v>40473</v>
      </c>
      <c r="C928" s="316" t="s">
        <v>2409</v>
      </c>
      <c r="D928" s="314">
        <v>5</v>
      </c>
      <c r="E928" s="314">
        <v>10</v>
      </c>
    </row>
    <row r="929" spans="1:5" x14ac:dyDescent="0.25">
      <c r="A929" s="316" t="s">
        <v>2453</v>
      </c>
      <c r="B929" s="313">
        <v>40473</v>
      </c>
      <c r="C929" s="316" t="s">
        <v>2409</v>
      </c>
      <c r="D929" s="314">
        <v>10</v>
      </c>
      <c r="E929" s="314">
        <v>20</v>
      </c>
    </row>
    <row r="930" spans="1:5" x14ac:dyDescent="0.25">
      <c r="A930" s="316" t="s">
        <v>2453</v>
      </c>
      <c r="B930" s="313">
        <v>40473</v>
      </c>
      <c r="C930" s="316" t="s">
        <v>2409</v>
      </c>
      <c r="D930" s="314">
        <v>20</v>
      </c>
      <c r="E930" s="314">
        <v>30</v>
      </c>
    </row>
    <row r="931" spans="1:5" x14ac:dyDescent="0.25">
      <c r="A931" s="316" t="s">
        <v>2453</v>
      </c>
      <c r="B931" s="313">
        <v>40473</v>
      </c>
      <c r="C931" s="316" t="s">
        <v>2409</v>
      </c>
      <c r="D931" s="314">
        <v>30</v>
      </c>
      <c r="E931" s="314">
        <v>60</v>
      </c>
    </row>
    <row r="932" spans="1:5" x14ac:dyDescent="0.25">
      <c r="A932" s="316" t="s">
        <v>2453</v>
      </c>
      <c r="B932" s="313">
        <v>40473</v>
      </c>
      <c r="C932" s="316" t="s">
        <v>2409</v>
      </c>
      <c r="D932" s="314">
        <v>60</v>
      </c>
      <c r="E932" s="314">
        <v>100</v>
      </c>
    </row>
    <row r="933" spans="1:5" x14ac:dyDescent="0.25">
      <c r="A933" s="316" t="s">
        <v>2454</v>
      </c>
      <c r="B933" s="313">
        <v>40473</v>
      </c>
      <c r="C933" s="316" t="s">
        <v>2399</v>
      </c>
      <c r="D933" s="314">
        <v>0</v>
      </c>
      <c r="E933" s="314">
        <v>5</v>
      </c>
    </row>
    <row r="934" spans="1:5" x14ac:dyDescent="0.25">
      <c r="A934" s="316" t="s">
        <v>2454</v>
      </c>
      <c r="B934" s="313">
        <v>40473</v>
      </c>
      <c r="C934" s="316" t="s">
        <v>2399</v>
      </c>
      <c r="D934" s="314">
        <v>5</v>
      </c>
      <c r="E934" s="314">
        <v>10</v>
      </c>
    </row>
    <row r="935" spans="1:5" x14ac:dyDescent="0.25">
      <c r="A935" s="316" t="s">
        <v>2454</v>
      </c>
      <c r="B935" s="313">
        <v>40473</v>
      </c>
      <c r="C935" s="316" t="s">
        <v>2399</v>
      </c>
      <c r="D935" s="314">
        <v>10</v>
      </c>
      <c r="E935" s="314">
        <v>20</v>
      </c>
    </row>
    <row r="936" spans="1:5" x14ac:dyDescent="0.25">
      <c r="A936" s="316" t="s">
        <v>2454</v>
      </c>
      <c r="B936" s="313">
        <v>40473</v>
      </c>
      <c r="C936" s="316" t="s">
        <v>2399</v>
      </c>
      <c r="D936" s="314">
        <v>20</v>
      </c>
      <c r="E936" s="314">
        <v>30</v>
      </c>
    </row>
    <row r="937" spans="1:5" x14ac:dyDescent="0.25">
      <c r="A937" s="316" t="s">
        <v>2454</v>
      </c>
      <c r="B937" s="313">
        <v>40473</v>
      </c>
      <c r="C937" s="316" t="s">
        <v>2399</v>
      </c>
      <c r="D937" s="314">
        <v>30</v>
      </c>
      <c r="E937" s="314">
        <v>60</v>
      </c>
    </row>
    <row r="938" spans="1:5" x14ac:dyDescent="0.25">
      <c r="A938" s="316" t="s">
        <v>2454</v>
      </c>
      <c r="B938" s="313">
        <v>40473</v>
      </c>
      <c r="C938" s="316" t="s">
        <v>2399</v>
      </c>
      <c r="D938" s="314">
        <v>60</v>
      </c>
      <c r="E938" s="314">
        <v>100</v>
      </c>
    </row>
    <row r="939" spans="1:5" x14ac:dyDescent="0.25">
      <c r="A939" s="316" t="s">
        <v>2455</v>
      </c>
      <c r="B939" s="313">
        <v>40473</v>
      </c>
      <c r="C939" s="316" t="s">
        <v>2401</v>
      </c>
      <c r="D939" s="314">
        <v>0</v>
      </c>
      <c r="E939" s="314">
        <v>5</v>
      </c>
    </row>
    <row r="940" spans="1:5" x14ac:dyDescent="0.25">
      <c r="A940" s="316" t="s">
        <v>2455</v>
      </c>
      <c r="B940" s="313">
        <v>40473</v>
      </c>
      <c r="C940" s="316" t="s">
        <v>2401</v>
      </c>
      <c r="D940" s="314">
        <v>5</v>
      </c>
      <c r="E940" s="314">
        <v>10</v>
      </c>
    </row>
    <row r="941" spans="1:5" x14ac:dyDescent="0.25">
      <c r="A941" s="316" t="s">
        <v>2455</v>
      </c>
      <c r="B941" s="313">
        <v>40473</v>
      </c>
      <c r="C941" s="316" t="s">
        <v>2401</v>
      </c>
      <c r="D941" s="314">
        <v>10</v>
      </c>
      <c r="E941" s="314">
        <v>20</v>
      </c>
    </row>
    <row r="942" spans="1:5" x14ac:dyDescent="0.25">
      <c r="A942" s="316" t="s">
        <v>2455</v>
      </c>
      <c r="B942" s="313">
        <v>40473</v>
      </c>
      <c r="C942" s="316" t="s">
        <v>2401</v>
      </c>
      <c r="D942" s="314">
        <v>20</v>
      </c>
      <c r="E942" s="314">
        <v>30</v>
      </c>
    </row>
    <row r="943" spans="1:5" x14ac:dyDescent="0.25">
      <c r="A943" s="316" t="s">
        <v>2455</v>
      </c>
      <c r="B943" s="313">
        <v>40473</v>
      </c>
      <c r="C943" s="316" t="s">
        <v>2401</v>
      </c>
      <c r="D943" s="314">
        <v>30</v>
      </c>
      <c r="E943" s="314">
        <v>60</v>
      </c>
    </row>
    <row r="944" spans="1:5" x14ac:dyDescent="0.25">
      <c r="A944" s="316" t="s">
        <v>2455</v>
      </c>
      <c r="B944" s="313">
        <v>40473</v>
      </c>
      <c r="C944" s="316" t="s">
        <v>2401</v>
      </c>
      <c r="D944" s="314">
        <v>60</v>
      </c>
      <c r="E944" s="314">
        <v>100</v>
      </c>
    </row>
    <row r="945" spans="1:5" x14ac:dyDescent="0.25">
      <c r="A945" s="316" t="s">
        <v>2456</v>
      </c>
      <c r="B945" s="313">
        <v>40473</v>
      </c>
      <c r="C945" s="316" t="s">
        <v>2407</v>
      </c>
      <c r="D945" s="314">
        <v>0</v>
      </c>
      <c r="E945" s="314">
        <v>5</v>
      </c>
    </row>
    <row r="946" spans="1:5" x14ac:dyDescent="0.25">
      <c r="A946" s="316" t="s">
        <v>2456</v>
      </c>
      <c r="B946" s="313">
        <v>40473</v>
      </c>
      <c r="C946" s="316" t="s">
        <v>2407</v>
      </c>
      <c r="D946" s="314">
        <v>5</v>
      </c>
      <c r="E946" s="314">
        <v>10</v>
      </c>
    </row>
    <row r="947" spans="1:5" x14ac:dyDescent="0.25">
      <c r="A947" s="316" t="s">
        <v>2456</v>
      </c>
      <c r="B947" s="313">
        <v>40473</v>
      </c>
      <c r="C947" s="316" t="s">
        <v>2407</v>
      </c>
      <c r="D947" s="314">
        <v>10</v>
      </c>
      <c r="E947" s="314">
        <v>20</v>
      </c>
    </row>
    <row r="948" spans="1:5" x14ac:dyDescent="0.25">
      <c r="A948" s="316" t="s">
        <v>2456</v>
      </c>
      <c r="B948" s="313">
        <v>40473</v>
      </c>
      <c r="C948" s="316" t="s">
        <v>2407</v>
      </c>
      <c r="D948" s="314">
        <v>20</v>
      </c>
      <c r="E948" s="314">
        <v>30</v>
      </c>
    </row>
    <row r="949" spans="1:5" x14ac:dyDescent="0.25">
      <c r="A949" s="316" t="s">
        <v>2456</v>
      </c>
      <c r="B949" s="313">
        <v>40473</v>
      </c>
      <c r="C949" s="316" t="s">
        <v>2407</v>
      </c>
      <c r="D949" s="314">
        <v>30</v>
      </c>
      <c r="E949" s="314">
        <v>60</v>
      </c>
    </row>
    <row r="950" spans="1:5" x14ac:dyDescent="0.25">
      <c r="A950" s="316" t="s">
        <v>2456</v>
      </c>
      <c r="B950" s="313">
        <v>40473</v>
      </c>
      <c r="C950" s="316" t="s">
        <v>2407</v>
      </c>
      <c r="D950" s="314">
        <v>60</v>
      </c>
      <c r="E950" s="314">
        <v>100</v>
      </c>
    </row>
    <row r="951" spans="1:5" x14ac:dyDescent="0.25">
      <c r="A951" s="316" t="s">
        <v>2457</v>
      </c>
      <c r="B951" s="313">
        <v>40473</v>
      </c>
      <c r="C951" s="316" t="s">
        <v>2403</v>
      </c>
      <c r="D951" s="314">
        <v>0</v>
      </c>
      <c r="E951" s="314">
        <v>5</v>
      </c>
    </row>
    <row r="952" spans="1:5" x14ac:dyDescent="0.25">
      <c r="A952" s="316" t="s">
        <v>2457</v>
      </c>
      <c r="B952" s="313">
        <v>40473</v>
      </c>
      <c r="C952" s="316" t="s">
        <v>2403</v>
      </c>
      <c r="D952" s="314">
        <v>5</v>
      </c>
      <c r="E952" s="314">
        <v>10</v>
      </c>
    </row>
    <row r="953" spans="1:5" x14ac:dyDescent="0.25">
      <c r="A953" s="316" t="s">
        <v>2457</v>
      </c>
      <c r="B953" s="313">
        <v>40473</v>
      </c>
      <c r="C953" s="316" t="s">
        <v>2403</v>
      </c>
      <c r="D953" s="314">
        <v>10</v>
      </c>
      <c r="E953" s="314">
        <v>20</v>
      </c>
    </row>
    <row r="954" spans="1:5" x14ac:dyDescent="0.25">
      <c r="A954" s="316" t="s">
        <v>2457</v>
      </c>
      <c r="B954" s="313">
        <v>40473</v>
      </c>
      <c r="C954" s="316" t="s">
        <v>2403</v>
      </c>
      <c r="D954" s="314">
        <v>20</v>
      </c>
      <c r="E954" s="314">
        <v>30</v>
      </c>
    </row>
    <row r="955" spans="1:5" x14ac:dyDescent="0.25">
      <c r="A955" s="316" t="s">
        <v>2457</v>
      </c>
      <c r="B955" s="313">
        <v>40473</v>
      </c>
      <c r="C955" s="316" t="s">
        <v>2403</v>
      </c>
      <c r="D955" s="314">
        <v>30</v>
      </c>
      <c r="E955" s="314">
        <v>60</v>
      </c>
    </row>
    <row r="956" spans="1:5" x14ac:dyDescent="0.25">
      <c r="A956" s="316" t="s">
        <v>2457</v>
      </c>
      <c r="B956" s="313">
        <v>40473</v>
      </c>
      <c r="C956" s="316" t="s">
        <v>2403</v>
      </c>
      <c r="D956" s="314">
        <v>60</v>
      </c>
      <c r="E956" s="314">
        <v>100</v>
      </c>
    </row>
    <row r="957" spans="1:5" x14ac:dyDescent="0.25">
      <c r="A957" s="316" t="s">
        <v>2458</v>
      </c>
      <c r="B957" s="313">
        <v>40473</v>
      </c>
      <c r="C957" s="316" t="s">
        <v>2411</v>
      </c>
      <c r="D957" s="314">
        <v>0</v>
      </c>
      <c r="E957" s="314">
        <v>5</v>
      </c>
    </row>
    <row r="958" spans="1:5" x14ac:dyDescent="0.25">
      <c r="A958" s="316" t="s">
        <v>2458</v>
      </c>
      <c r="B958" s="313">
        <v>40473</v>
      </c>
      <c r="C958" s="316" t="s">
        <v>2411</v>
      </c>
      <c r="D958" s="314">
        <v>5</v>
      </c>
      <c r="E958" s="314">
        <v>10</v>
      </c>
    </row>
    <row r="959" spans="1:5" x14ac:dyDescent="0.25">
      <c r="A959" s="316" t="s">
        <v>2458</v>
      </c>
      <c r="B959" s="313">
        <v>40473</v>
      </c>
      <c r="C959" s="316" t="s">
        <v>2411</v>
      </c>
      <c r="D959" s="314">
        <v>10</v>
      </c>
      <c r="E959" s="314">
        <v>20</v>
      </c>
    </row>
    <row r="960" spans="1:5" x14ac:dyDescent="0.25">
      <c r="A960" s="316" t="s">
        <v>2458</v>
      </c>
      <c r="B960" s="313">
        <v>40473</v>
      </c>
      <c r="C960" s="316" t="s">
        <v>2411</v>
      </c>
      <c r="D960" s="314">
        <v>20</v>
      </c>
      <c r="E960" s="314">
        <v>30</v>
      </c>
    </row>
    <row r="961" spans="1:5" x14ac:dyDescent="0.25">
      <c r="A961" s="316" t="s">
        <v>2458</v>
      </c>
      <c r="B961" s="313">
        <v>40473</v>
      </c>
      <c r="C961" s="316" t="s">
        <v>2411</v>
      </c>
      <c r="D961" s="314">
        <v>30</v>
      </c>
      <c r="E961" s="314">
        <v>60</v>
      </c>
    </row>
    <row r="962" spans="1:5" x14ac:dyDescent="0.25">
      <c r="A962" s="316" t="s">
        <v>2458</v>
      </c>
      <c r="B962" s="313">
        <v>40473</v>
      </c>
      <c r="C962" s="316" t="s">
        <v>2411</v>
      </c>
      <c r="D962" s="314">
        <v>60</v>
      </c>
      <c r="E962" s="314">
        <v>100</v>
      </c>
    </row>
    <row r="963" spans="1:5" x14ac:dyDescent="0.25">
      <c r="A963" s="316" t="s">
        <v>2459</v>
      </c>
      <c r="B963" s="313">
        <v>40473</v>
      </c>
      <c r="C963" s="316" t="s">
        <v>2405</v>
      </c>
      <c r="D963" s="314">
        <v>0</v>
      </c>
      <c r="E963" s="314">
        <v>5</v>
      </c>
    </row>
    <row r="964" spans="1:5" x14ac:dyDescent="0.25">
      <c r="A964" s="316" t="s">
        <v>2459</v>
      </c>
      <c r="B964" s="313">
        <v>40473</v>
      </c>
      <c r="C964" s="316" t="s">
        <v>2405</v>
      </c>
      <c r="D964" s="314">
        <v>5</v>
      </c>
      <c r="E964" s="314">
        <v>10</v>
      </c>
    </row>
    <row r="965" spans="1:5" x14ac:dyDescent="0.25">
      <c r="A965" s="316" t="s">
        <v>2459</v>
      </c>
      <c r="B965" s="313">
        <v>40473</v>
      </c>
      <c r="C965" s="316" t="s">
        <v>2405</v>
      </c>
      <c r="D965" s="314">
        <v>10</v>
      </c>
      <c r="E965" s="314">
        <v>20</v>
      </c>
    </row>
    <row r="966" spans="1:5" x14ac:dyDescent="0.25">
      <c r="A966" s="316" t="s">
        <v>2459</v>
      </c>
      <c r="B966" s="313">
        <v>40473</v>
      </c>
      <c r="C966" s="316" t="s">
        <v>2405</v>
      </c>
      <c r="D966" s="314">
        <v>20</v>
      </c>
      <c r="E966" s="314">
        <v>30</v>
      </c>
    </row>
    <row r="967" spans="1:5" x14ac:dyDescent="0.25">
      <c r="A967" s="316" t="s">
        <v>2459</v>
      </c>
      <c r="B967" s="313">
        <v>40473</v>
      </c>
      <c r="C967" s="316" t="s">
        <v>2405</v>
      </c>
      <c r="D967" s="314">
        <v>30</v>
      </c>
      <c r="E967" s="314">
        <v>60</v>
      </c>
    </row>
    <row r="968" spans="1:5" x14ac:dyDescent="0.25">
      <c r="A968" s="316" t="s">
        <v>2459</v>
      </c>
      <c r="B968" s="313">
        <v>40473</v>
      </c>
      <c r="C968" s="316" t="s">
        <v>2405</v>
      </c>
      <c r="D968" s="314">
        <v>60</v>
      </c>
      <c r="E968" s="314">
        <v>100</v>
      </c>
    </row>
    <row r="969" spans="1:5" x14ac:dyDescent="0.25">
      <c r="A969" s="316" t="s">
        <v>2460</v>
      </c>
      <c r="B969" s="313">
        <v>40486</v>
      </c>
      <c r="C969" s="316" t="s">
        <v>2461</v>
      </c>
      <c r="D969" s="314">
        <v>0</v>
      </c>
      <c r="E969" s="314">
        <v>5</v>
      </c>
    </row>
    <row r="970" spans="1:5" x14ac:dyDescent="0.25">
      <c r="A970" s="316" t="s">
        <v>2460</v>
      </c>
      <c r="B970" s="313">
        <v>40486</v>
      </c>
      <c r="C970" s="316" t="s">
        <v>2461</v>
      </c>
      <c r="D970" s="314">
        <v>5</v>
      </c>
      <c r="E970" s="314">
        <v>10</v>
      </c>
    </row>
    <row r="971" spans="1:5" x14ac:dyDescent="0.25">
      <c r="A971" s="316" t="s">
        <v>2460</v>
      </c>
      <c r="B971" s="313">
        <v>40486</v>
      </c>
      <c r="C971" s="316" t="s">
        <v>2461</v>
      </c>
      <c r="D971" s="314">
        <v>10</v>
      </c>
      <c r="E971" s="314">
        <v>20</v>
      </c>
    </row>
    <row r="972" spans="1:5" x14ac:dyDescent="0.25">
      <c r="A972" s="316" t="s">
        <v>2460</v>
      </c>
      <c r="B972" s="313">
        <v>40486</v>
      </c>
      <c r="C972" s="316" t="s">
        <v>2461</v>
      </c>
      <c r="D972" s="314">
        <v>20</v>
      </c>
      <c r="E972" s="314">
        <v>30</v>
      </c>
    </row>
    <row r="973" spans="1:5" x14ac:dyDescent="0.25">
      <c r="A973" s="316" t="s">
        <v>2460</v>
      </c>
      <c r="B973" s="313">
        <v>40486</v>
      </c>
      <c r="C973" s="316" t="s">
        <v>2461</v>
      </c>
      <c r="D973" s="314">
        <v>30</v>
      </c>
      <c r="E973" s="314">
        <v>60</v>
      </c>
    </row>
    <row r="974" spans="1:5" x14ac:dyDescent="0.25">
      <c r="A974" s="316" t="s">
        <v>2460</v>
      </c>
      <c r="B974" s="313">
        <v>40486</v>
      </c>
      <c r="C974" s="316" t="s">
        <v>2461</v>
      </c>
      <c r="D974" s="314">
        <v>60</v>
      </c>
      <c r="E974" s="314">
        <v>100</v>
      </c>
    </row>
    <row r="975" spans="1:5" x14ac:dyDescent="0.25">
      <c r="A975" s="316" t="s">
        <v>2462</v>
      </c>
      <c r="B975" s="313">
        <v>40486</v>
      </c>
      <c r="C975" s="316" t="s">
        <v>2463</v>
      </c>
      <c r="D975" s="314">
        <v>0</v>
      </c>
      <c r="E975" s="314">
        <v>5</v>
      </c>
    </row>
    <row r="976" spans="1:5" x14ac:dyDescent="0.25">
      <c r="A976" s="316" t="s">
        <v>2462</v>
      </c>
      <c r="B976" s="313">
        <v>40486</v>
      </c>
      <c r="C976" s="316" t="s">
        <v>2463</v>
      </c>
      <c r="D976" s="314">
        <v>5</v>
      </c>
      <c r="E976" s="314">
        <v>10</v>
      </c>
    </row>
    <row r="977" spans="1:5" x14ac:dyDescent="0.25">
      <c r="A977" s="316" t="s">
        <v>2462</v>
      </c>
      <c r="B977" s="313">
        <v>40486</v>
      </c>
      <c r="C977" s="316" t="s">
        <v>2463</v>
      </c>
      <c r="D977" s="314">
        <v>10</v>
      </c>
      <c r="E977" s="314">
        <v>20</v>
      </c>
    </row>
    <row r="978" spans="1:5" x14ac:dyDescent="0.25">
      <c r="A978" s="316" t="s">
        <v>2462</v>
      </c>
      <c r="B978" s="313">
        <v>40486</v>
      </c>
      <c r="C978" s="316" t="s">
        <v>2463</v>
      </c>
      <c r="D978" s="314">
        <v>20</v>
      </c>
      <c r="E978" s="314">
        <v>30</v>
      </c>
    </row>
    <row r="979" spans="1:5" x14ac:dyDescent="0.25">
      <c r="A979" s="316" t="s">
        <v>2462</v>
      </c>
      <c r="B979" s="313">
        <v>40486</v>
      </c>
      <c r="C979" s="316" t="s">
        <v>2463</v>
      </c>
      <c r="D979" s="314">
        <v>30</v>
      </c>
      <c r="E979" s="314">
        <v>60</v>
      </c>
    </row>
    <row r="980" spans="1:5" x14ac:dyDescent="0.25">
      <c r="A980" s="316" t="s">
        <v>2462</v>
      </c>
      <c r="B980" s="313">
        <v>40486</v>
      </c>
      <c r="C980" s="316" t="s">
        <v>2463</v>
      </c>
      <c r="D980" s="314">
        <v>60</v>
      </c>
      <c r="E980" s="314">
        <v>100</v>
      </c>
    </row>
    <row r="981" spans="1:5" x14ac:dyDescent="0.25">
      <c r="A981" s="316" t="s">
        <v>2464</v>
      </c>
      <c r="B981" s="313">
        <v>40486</v>
      </c>
      <c r="C981" s="316" t="s">
        <v>2465</v>
      </c>
      <c r="D981" s="314">
        <v>0</v>
      </c>
      <c r="E981" s="314">
        <v>5</v>
      </c>
    </row>
    <row r="982" spans="1:5" x14ac:dyDescent="0.25">
      <c r="A982" s="316" t="s">
        <v>2464</v>
      </c>
      <c r="B982" s="313">
        <v>40486</v>
      </c>
      <c r="C982" s="316" t="s">
        <v>2465</v>
      </c>
      <c r="D982" s="314">
        <v>5</v>
      </c>
      <c r="E982" s="314">
        <v>10</v>
      </c>
    </row>
    <row r="983" spans="1:5" x14ac:dyDescent="0.25">
      <c r="A983" s="316" t="s">
        <v>2464</v>
      </c>
      <c r="B983" s="313">
        <v>40486</v>
      </c>
      <c r="C983" s="316" t="s">
        <v>2465</v>
      </c>
      <c r="D983" s="314">
        <v>10</v>
      </c>
      <c r="E983" s="314">
        <v>20</v>
      </c>
    </row>
    <row r="984" spans="1:5" x14ac:dyDescent="0.25">
      <c r="A984" s="316" t="s">
        <v>2464</v>
      </c>
      <c r="B984" s="313">
        <v>40486</v>
      </c>
      <c r="C984" s="316" t="s">
        <v>2465</v>
      </c>
      <c r="D984" s="314">
        <v>20</v>
      </c>
      <c r="E984" s="314">
        <v>30</v>
      </c>
    </row>
    <row r="985" spans="1:5" x14ac:dyDescent="0.25">
      <c r="A985" s="316" t="s">
        <v>2464</v>
      </c>
      <c r="B985" s="313">
        <v>40486</v>
      </c>
      <c r="C985" s="316" t="s">
        <v>2465</v>
      </c>
      <c r="D985" s="314">
        <v>30</v>
      </c>
      <c r="E985" s="314">
        <v>60</v>
      </c>
    </row>
    <row r="986" spans="1:5" x14ac:dyDescent="0.25">
      <c r="A986" s="316" t="s">
        <v>2464</v>
      </c>
      <c r="B986" s="313">
        <v>40486</v>
      </c>
      <c r="C986" s="316" t="s">
        <v>2465</v>
      </c>
      <c r="D986" s="314">
        <v>60</v>
      </c>
      <c r="E986" s="314">
        <v>100</v>
      </c>
    </row>
    <row r="987" spans="1:5" x14ac:dyDescent="0.25">
      <c r="A987" s="316" t="s">
        <v>2466</v>
      </c>
      <c r="B987" s="313">
        <v>40486</v>
      </c>
      <c r="C987" s="316" t="s">
        <v>2467</v>
      </c>
      <c r="D987" s="314">
        <v>0</v>
      </c>
      <c r="E987" s="314">
        <v>5</v>
      </c>
    </row>
    <row r="988" spans="1:5" x14ac:dyDescent="0.25">
      <c r="A988" s="316" t="s">
        <v>2466</v>
      </c>
      <c r="B988" s="313">
        <v>40486</v>
      </c>
      <c r="C988" s="316" t="s">
        <v>2467</v>
      </c>
      <c r="D988" s="314">
        <v>5</v>
      </c>
      <c r="E988" s="314">
        <v>10</v>
      </c>
    </row>
    <row r="989" spans="1:5" x14ac:dyDescent="0.25">
      <c r="A989" s="316" t="s">
        <v>2466</v>
      </c>
      <c r="B989" s="313">
        <v>40486</v>
      </c>
      <c r="C989" s="316" t="s">
        <v>2467</v>
      </c>
      <c r="D989" s="314">
        <v>10</v>
      </c>
      <c r="E989" s="314">
        <v>20</v>
      </c>
    </row>
    <row r="990" spans="1:5" x14ac:dyDescent="0.25">
      <c r="A990" s="316" t="s">
        <v>2466</v>
      </c>
      <c r="B990" s="313">
        <v>40486</v>
      </c>
      <c r="C990" s="316" t="s">
        <v>2467</v>
      </c>
      <c r="D990" s="314">
        <v>20</v>
      </c>
      <c r="E990" s="314">
        <v>30</v>
      </c>
    </row>
    <row r="991" spans="1:5" x14ac:dyDescent="0.25">
      <c r="A991" s="316" t="s">
        <v>2466</v>
      </c>
      <c r="B991" s="313">
        <v>40486</v>
      </c>
      <c r="C991" s="316" t="s">
        <v>2467</v>
      </c>
      <c r="D991" s="314">
        <v>30</v>
      </c>
      <c r="E991" s="314">
        <v>60</v>
      </c>
    </row>
    <row r="992" spans="1:5" x14ac:dyDescent="0.25">
      <c r="A992" s="316" t="s">
        <v>2466</v>
      </c>
      <c r="B992" s="313">
        <v>40486</v>
      </c>
      <c r="C992" s="316" t="s">
        <v>2467</v>
      </c>
      <c r="D992" s="314">
        <v>60</v>
      </c>
      <c r="E992" s="314">
        <v>100</v>
      </c>
    </row>
    <row r="993" spans="1:5" x14ac:dyDescent="0.25">
      <c r="A993" s="316" t="s">
        <v>2468</v>
      </c>
      <c r="B993" s="313">
        <v>40486</v>
      </c>
      <c r="C993" s="316" t="s">
        <v>2469</v>
      </c>
      <c r="D993" s="314">
        <v>0</v>
      </c>
      <c r="E993" s="314">
        <v>5</v>
      </c>
    </row>
    <row r="994" spans="1:5" x14ac:dyDescent="0.25">
      <c r="A994" s="316" t="s">
        <v>2468</v>
      </c>
      <c r="B994" s="313">
        <v>40486</v>
      </c>
      <c r="C994" s="316" t="s">
        <v>2469</v>
      </c>
      <c r="D994" s="314">
        <v>5</v>
      </c>
      <c r="E994" s="314">
        <v>10</v>
      </c>
    </row>
    <row r="995" spans="1:5" x14ac:dyDescent="0.25">
      <c r="A995" s="316" t="s">
        <v>2468</v>
      </c>
      <c r="B995" s="313">
        <v>40486</v>
      </c>
      <c r="C995" s="316" t="s">
        <v>2469</v>
      </c>
      <c r="D995" s="314">
        <v>10</v>
      </c>
      <c r="E995" s="314">
        <v>20</v>
      </c>
    </row>
    <row r="996" spans="1:5" x14ac:dyDescent="0.25">
      <c r="A996" s="316" t="s">
        <v>2468</v>
      </c>
      <c r="B996" s="313">
        <v>40486</v>
      </c>
      <c r="C996" s="316" t="s">
        <v>2469</v>
      </c>
      <c r="D996" s="314">
        <v>20</v>
      </c>
      <c r="E996" s="314">
        <v>30</v>
      </c>
    </row>
    <row r="997" spans="1:5" x14ac:dyDescent="0.25">
      <c r="A997" s="316" t="s">
        <v>2468</v>
      </c>
      <c r="B997" s="313">
        <v>40486</v>
      </c>
      <c r="C997" s="316" t="s">
        <v>2469</v>
      </c>
      <c r="D997" s="314">
        <v>30</v>
      </c>
      <c r="E997" s="314">
        <v>60</v>
      </c>
    </row>
    <row r="998" spans="1:5" x14ac:dyDescent="0.25">
      <c r="A998" s="316" t="s">
        <v>2468</v>
      </c>
      <c r="B998" s="313">
        <v>40486</v>
      </c>
      <c r="C998" s="316" t="s">
        <v>2469</v>
      </c>
      <c r="D998" s="314">
        <v>60</v>
      </c>
      <c r="E998" s="314">
        <v>100</v>
      </c>
    </row>
    <row r="999" spans="1:5" x14ac:dyDescent="0.25">
      <c r="A999" s="316" t="s">
        <v>2470</v>
      </c>
      <c r="B999" s="313">
        <v>40486</v>
      </c>
      <c r="C999" s="316" t="s">
        <v>2471</v>
      </c>
      <c r="D999" s="314">
        <v>0</v>
      </c>
      <c r="E999" s="314">
        <v>5</v>
      </c>
    </row>
    <row r="1000" spans="1:5" x14ac:dyDescent="0.25">
      <c r="A1000" s="316" t="s">
        <v>2470</v>
      </c>
      <c r="B1000" s="313">
        <v>40486</v>
      </c>
      <c r="C1000" s="316" t="s">
        <v>2471</v>
      </c>
      <c r="D1000" s="314">
        <v>5</v>
      </c>
      <c r="E1000" s="314">
        <v>10</v>
      </c>
    </row>
    <row r="1001" spans="1:5" x14ac:dyDescent="0.25">
      <c r="A1001" s="316" t="s">
        <v>2470</v>
      </c>
      <c r="B1001" s="313">
        <v>40486</v>
      </c>
      <c r="C1001" s="316" t="s">
        <v>2471</v>
      </c>
      <c r="D1001" s="314">
        <v>10</v>
      </c>
      <c r="E1001" s="314">
        <v>20</v>
      </c>
    </row>
    <row r="1002" spans="1:5" x14ac:dyDescent="0.25">
      <c r="A1002" s="316" t="s">
        <v>2470</v>
      </c>
      <c r="B1002" s="313">
        <v>40486</v>
      </c>
      <c r="C1002" s="316" t="s">
        <v>2471</v>
      </c>
      <c r="D1002" s="314">
        <v>20</v>
      </c>
      <c r="E1002" s="314">
        <v>30</v>
      </c>
    </row>
    <row r="1003" spans="1:5" x14ac:dyDescent="0.25">
      <c r="A1003" s="316" t="s">
        <v>2470</v>
      </c>
      <c r="B1003" s="313">
        <v>40486</v>
      </c>
      <c r="C1003" s="316" t="s">
        <v>2471</v>
      </c>
      <c r="D1003" s="314">
        <v>30</v>
      </c>
      <c r="E1003" s="314">
        <v>60</v>
      </c>
    </row>
    <row r="1004" spans="1:5" x14ac:dyDescent="0.25">
      <c r="A1004" s="316" t="s">
        <v>2470</v>
      </c>
      <c r="B1004" s="313">
        <v>40486</v>
      </c>
      <c r="C1004" s="316" t="s">
        <v>2471</v>
      </c>
      <c r="D1004" s="314">
        <v>60</v>
      </c>
      <c r="E1004" s="314">
        <v>100</v>
      </c>
    </row>
    <row r="1005" spans="1:5" x14ac:dyDescent="0.25">
      <c r="A1005" s="316" t="s">
        <v>2472</v>
      </c>
      <c r="B1005" s="313">
        <v>40486</v>
      </c>
      <c r="C1005" s="316" t="s">
        <v>2473</v>
      </c>
      <c r="D1005" s="314">
        <v>0</v>
      </c>
      <c r="E1005" s="314">
        <v>5</v>
      </c>
    </row>
    <row r="1006" spans="1:5" x14ac:dyDescent="0.25">
      <c r="A1006" s="316" t="s">
        <v>2472</v>
      </c>
      <c r="B1006" s="313">
        <v>40486</v>
      </c>
      <c r="C1006" s="316" t="s">
        <v>2473</v>
      </c>
      <c r="D1006" s="314">
        <v>5</v>
      </c>
      <c r="E1006" s="314">
        <v>10</v>
      </c>
    </row>
    <row r="1007" spans="1:5" x14ac:dyDescent="0.25">
      <c r="A1007" s="316" t="s">
        <v>2472</v>
      </c>
      <c r="B1007" s="313">
        <v>40486</v>
      </c>
      <c r="C1007" s="316" t="s">
        <v>2473</v>
      </c>
      <c r="D1007" s="314">
        <v>10</v>
      </c>
      <c r="E1007" s="314">
        <v>20</v>
      </c>
    </row>
    <row r="1008" spans="1:5" x14ac:dyDescent="0.25">
      <c r="A1008" s="316" t="s">
        <v>2472</v>
      </c>
      <c r="B1008" s="313">
        <v>40486</v>
      </c>
      <c r="C1008" s="316" t="s">
        <v>2473</v>
      </c>
      <c r="D1008" s="314">
        <v>20</v>
      </c>
      <c r="E1008" s="314">
        <v>30</v>
      </c>
    </row>
    <row r="1009" spans="1:5" x14ac:dyDescent="0.25">
      <c r="A1009" s="316" t="s">
        <v>2472</v>
      </c>
      <c r="B1009" s="313">
        <v>40486</v>
      </c>
      <c r="C1009" s="316" t="s">
        <v>2473</v>
      </c>
      <c r="D1009" s="314">
        <v>30</v>
      </c>
      <c r="E1009" s="314">
        <v>60</v>
      </c>
    </row>
    <row r="1010" spans="1:5" x14ac:dyDescent="0.25">
      <c r="A1010" s="316" t="s">
        <v>2472</v>
      </c>
      <c r="B1010" s="313">
        <v>40486</v>
      </c>
      <c r="C1010" s="316" t="s">
        <v>2473</v>
      </c>
      <c r="D1010" s="314">
        <v>60</v>
      </c>
      <c r="E1010" s="314">
        <v>100</v>
      </c>
    </row>
    <row r="1011" spans="1:5" x14ac:dyDescent="0.25">
      <c r="A1011" s="316" t="s">
        <v>2474</v>
      </c>
      <c r="B1011" s="313">
        <v>40486</v>
      </c>
      <c r="C1011" s="316" t="s">
        <v>2475</v>
      </c>
      <c r="D1011" s="314">
        <v>0</v>
      </c>
      <c r="E1011" s="314">
        <v>5</v>
      </c>
    </row>
    <row r="1012" spans="1:5" x14ac:dyDescent="0.25">
      <c r="A1012" s="316" t="s">
        <v>2474</v>
      </c>
      <c r="B1012" s="313">
        <v>40486</v>
      </c>
      <c r="C1012" s="316" t="s">
        <v>2475</v>
      </c>
      <c r="D1012" s="314">
        <v>5</v>
      </c>
      <c r="E1012" s="314">
        <v>10</v>
      </c>
    </row>
    <row r="1013" spans="1:5" x14ac:dyDescent="0.25">
      <c r="A1013" s="316" t="s">
        <v>2474</v>
      </c>
      <c r="B1013" s="313">
        <v>40486</v>
      </c>
      <c r="C1013" s="316" t="s">
        <v>2475</v>
      </c>
      <c r="D1013" s="314">
        <v>10</v>
      </c>
      <c r="E1013" s="314">
        <v>20</v>
      </c>
    </row>
    <row r="1014" spans="1:5" x14ac:dyDescent="0.25">
      <c r="A1014" s="316" t="s">
        <v>2474</v>
      </c>
      <c r="B1014" s="313">
        <v>40486</v>
      </c>
      <c r="C1014" s="316" t="s">
        <v>2475</v>
      </c>
      <c r="D1014" s="314">
        <v>20</v>
      </c>
      <c r="E1014" s="314">
        <v>30</v>
      </c>
    </row>
    <row r="1015" spans="1:5" x14ac:dyDescent="0.25">
      <c r="A1015" s="316" t="s">
        <v>2474</v>
      </c>
      <c r="B1015" s="313">
        <v>40486</v>
      </c>
      <c r="C1015" s="316" t="s">
        <v>2475</v>
      </c>
      <c r="D1015" s="314">
        <v>30</v>
      </c>
      <c r="E1015" s="314">
        <v>60</v>
      </c>
    </row>
    <row r="1016" spans="1:5" x14ac:dyDescent="0.25">
      <c r="A1016" s="316" t="s">
        <v>2474</v>
      </c>
      <c r="B1016" s="313">
        <v>40486</v>
      </c>
      <c r="C1016" s="316" t="s">
        <v>2475</v>
      </c>
      <c r="D1016" s="314">
        <v>60</v>
      </c>
      <c r="E1016" s="314">
        <v>100</v>
      </c>
    </row>
    <row r="1017" spans="1:5" x14ac:dyDescent="0.25">
      <c r="A1017" s="316" t="s">
        <v>2476</v>
      </c>
      <c r="B1017" s="313">
        <v>40486</v>
      </c>
      <c r="C1017" s="316" t="s">
        <v>2471</v>
      </c>
      <c r="D1017" s="314">
        <v>0</v>
      </c>
      <c r="E1017" s="314">
        <v>5</v>
      </c>
    </row>
    <row r="1018" spans="1:5" x14ac:dyDescent="0.25">
      <c r="A1018" s="316" t="s">
        <v>2476</v>
      </c>
      <c r="B1018" s="313">
        <v>40486</v>
      </c>
      <c r="C1018" s="316" t="s">
        <v>2471</v>
      </c>
      <c r="D1018" s="314">
        <v>5</v>
      </c>
      <c r="E1018" s="314">
        <v>10</v>
      </c>
    </row>
    <row r="1019" spans="1:5" x14ac:dyDescent="0.25">
      <c r="A1019" s="316" t="s">
        <v>2476</v>
      </c>
      <c r="B1019" s="313">
        <v>40486</v>
      </c>
      <c r="C1019" s="316" t="s">
        <v>2471</v>
      </c>
      <c r="D1019" s="314">
        <v>10</v>
      </c>
      <c r="E1019" s="314">
        <v>20</v>
      </c>
    </row>
    <row r="1020" spans="1:5" x14ac:dyDescent="0.25">
      <c r="A1020" s="316" t="s">
        <v>2476</v>
      </c>
      <c r="B1020" s="313">
        <v>40486</v>
      </c>
      <c r="C1020" s="316" t="s">
        <v>2471</v>
      </c>
      <c r="D1020" s="314">
        <v>20</v>
      </c>
      <c r="E1020" s="314">
        <v>30</v>
      </c>
    </row>
    <row r="1021" spans="1:5" x14ac:dyDescent="0.25">
      <c r="A1021" s="316" t="s">
        <v>2476</v>
      </c>
      <c r="B1021" s="313">
        <v>40486</v>
      </c>
      <c r="C1021" s="316" t="s">
        <v>2471</v>
      </c>
      <c r="D1021" s="314">
        <v>30</v>
      </c>
      <c r="E1021" s="314">
        <v>60</v>
      </c>
    </row>
    <row r="1022" spans="1:5" x14ac:dyDescent="0.25">
      <c r="A1022" s="316" t="s">
        <v>2476</v>
      </c>
      <c r="B1022" s="313">
        <v>40486</v>
      </c>
      <c r="C1022" s="316" t="s">
        <v>2471</v>
      </c>
      <c r="D1022" s="314">
        <v>60</v>
      </c>
      <c r="E1022" s="314">
        <v>100</v>
      </c>
    </row>
    <row r="1023" spans="1:5" x14ac:dyDescent="0.25">
      <c r="A1023" s="316" t="s">
        <v>2477</v>
      </c>
      <c r="B1023" s="313">
        <v>40486</v>
      </c>
      <c r="C1023" s="316" t="s">
        <v>2463</v>
      </c>
      <c r="D1023" s="314">
        <v>0</v>
      </c>
      <c r="E1023" s="314">
        <v>5</v>
      </c>
    </row>
    <row r="1024" spans="1:5" x14ac:dyDescent="0.25">
      <c r="A1024" s="316" t="s">
        <v>2477</v>
      </c>
      <c r="B1024" s="313">
        <v>40486</v>
      </c>
      <c r="C1024" s="316" t="s">
        <v>2463</v>
      </c>
      <c r="D1024" s="314">
        <v>5</v>
      </c>
      <c r="E1024" s="314">
        <v>10</v>
      </c>
    </row>
    <row r="1025" spans="1:5" x14ac:dyDescent="0.25">
      <c r="A1025" s="316" t="s">
        <v>2477</v>
      </c>
      <c r="B1025" s="313">
        <v>40486</v>
      </c>
      <c r="C1025" s="316" t="s">
        <v>2463</v>
      </c>
      <c r="D1025" s="314">
        <v>10</v>
      </c>
      <c r="E1025" s="314">
        <v>20</v>
      </c>
    </row>
    <row r="1026" spans="1:5" x14ac:dyDescent="0.25">
      <c r="A1026" s="316" t="s">
        <v>2477</v>
      </c>
      <c r="B1026" s="313">
        <v>40486</v>
      </c>
      <c r="C1026" s="316" t="s">
        <v>2463</v>
      </c>
      <c r="D1026" s="314">
        <v>20</v>
      </c>
      <c r="E1026" s="314">
        <v>30</v>
      </c>
    </row>
    <row r="1027" spans="1:5" x14ac:dyDescent="0.25">
      <c r="A1027" s="316" t="s">
        <v>2477</v>
      </c>
      <c r="B1027" s="313">
        <v>40486</v>
      </c>
      <c r="C1027" s="316" t="s">
        <v>2463</v>
      </c>
      <c r="D1027" s="314">
        <v>30</v>
      </c>
      <c r="E1027" s="314">
        <v>60</v>
      </c>
    </row>
    <row r="1028" spans="1:5" x14ac:dyDescent="0.25">
      <c r="A1028" s="316" t="s">
        <v>2477</v>
      </c>
      <c r="B1028" s="313">
        <v>40486</v>
      </c>
      <c r="C1028" s="316" t="s">
        <v>2463</v>
      </c>
      <c r="D1028" s="314">
        <v>60</v>
      </c>
      <c r="E1028" s="314">
        <v>100</v>
      </c>
    </row>
    <row r="1029" spans="1:5" x14ac:dyDescent="0.25">
      <c r="A1029" s="316" t="s">
        <v>2478</v>
      </c>
      <c r="B1029" s="313">
        <v>40486</v>
      </c>
      <c r="C1029" s="316" t="s">
        <v>2465</v>
      </c>
      <c r="D1029" s="314">
        <v>0</v>
      </c>
      <c r="E1029" s="314">
        <v>5</v>
      </c>
    </row>
    <row r="1030" spans="1:5" x14ac:dyDescent="0.25">
      <c r="A1030" s="316" t="s">
        <v>2478</v>
      </c>
      <c r="B1030" s="313">
        <v>40486</v>
      </c>
      <c r="C1030" s="316" t="s">
        <v>2465</v>
      </c>
      <c r="D1030" s="314">
        <v>5</v>
      </c>
      <c r="E1030" s="314">
        <v>10</v>
      </c>
    </row>
    <row r="1031" spans="1:5" x14ac:dyDescent="0.25">
      <c r="A1031" s="316" t="s">
        <v>2478</v>
      </c>
      <c r="B1031" s="313">
        <v>40486</v>
      </c>
      <c r="C1031" s="316" t="s">
        <v>2465</v>
      </c>
      <c r="D1031" s="314">
        <v>10</v>
      </c>
      <c r="E1031" s="314">
        <v>20</v>
      </c>
    </row>
    <row r="1032" spans="1:5" x14ac:dyDescent="0.25">
      <c r="A1032" s="316" t="s">
        <v>2478</v>
      </c>
      <c r="B1032" s="313">
        <v>40486</v>
      </c>
      <c r="C1032" s="316" t="s">
        <v>2465</v>
      </c>
      <c r="D1032" s="314">
        <v>20</v>
      </c>
      <c r="E1032" s="314">
        <v>30</v>
      </c>
    </row>
    <row r="1033" spans="1:5" x14ac:dyDescent="0.25">
      <c r="A1033" s="316" t="s">
        <v>2478</v>
      </c>
      <c r="B1033" s="313">
        <v>40486</v>
      </c>
      <c r="C1033" s="316" t="s">
        <v>2465</v>
      </c>
      <c r="D1033" s="314">
        <v>30</v>
      </c>
      <c r="E1033" s="314">
        <v>60</v>
      </c>
    </row>
    <row r="1034" spans="1:5" x14ac:dyDescent="0.25">
      <c r="A1034" s="316" t="s">
        <v>2478</v>
      </c>
      <c r="B1034" s="313">
        <v>40486</v>
      </c>
      <c r="C1034" s="316" t="s">
        <v>2465</v>
      </c>
      <c r="D1034" s="314">
        <v>60</v>
      </c>
      <c r="E1034" s="314">
        <v>100</v>
      </c>
    </row>
    <row r="1035" spans="1:5" x14ac:dyDescent="0.25">
      <c r="A1035" s="316" t="s">
        <v>2479</v>
      </c>
      <c r="B1035" s="313">
        <v>40486</v>
      </c>
      <c r="C1035" s="316" t="s">
        <v>2469</v>
      </c>
      <c r="D1035" s="314">
        <v>0</v>
      </c>
      <c r="E1035" s="314">
        <v>5</v>
      </c>
    </row>
    <row r="1036" spans="1:5" x14ac:dyDescent="0.25">
      <c r="A1036" s="316" t="s">
        <v>2479</v>
      </c>
      <c r="B1036" s="313">
        <v>40486</v>
      </c>
      <c r="C1036" s="316" t="s">
        <v>2469</v>
      </c>
      <c r="D1036" s="314">
        <v>5</v>
      </c>
      <c r="E1036" s="314">
        <v>10</v>
      </c>
    </row>
    <row r="1037" spans="1:5" x14ac:dyDescent="0.25">
      <c r="A1037" s="316" t="s">
        <v>2479</v>
      </c>
      <c r="B1037" s="313">
        <v>40486</v>
      </c>
      <c r="C1037" s="316" t="s">
        <v>2469</v>
      </c>
      <c r="D1037" s="314">
        <v>10</v>
      </c>
      <c r="E1037" s="314">
        <v>20</v>
      </c>
    </row>
    <row r="1038" spans="1:5" x14ac:dyDescent="0.25">
      <c r="A1038" s="316" t="s">
        <v>2479</v>
      </c>
      <c r="B1038" s="313">
        <v>40486</v>
      </c>
      <c r="C1038" s="316" t="s">
        <v>2469</v>
      </c>
      <c r="D1038" s="314">
        <v>20</v>
      </c>
      <c r="E1038" s="314">
        <v>30</v>
      </c>
    </row>
    <row r="1039" spans="1:5" x14ac:dyDescent="0.25">
      <c r="A1039" s="316" t="s">
        <v>2479</v>
      </c>
      <c r="B1039" s="313">
        <v>40486</v>
      </c>
      <c r="C1039" s="316" t="s">
        <v>2469</v>
      </c>
      <c r="D1039" s="314">
        <v>30</v>
      </c>
      <c r="E1039" s="314">
        <v>60</v>
      </c>
    </row>
    <row r="1040" spans="1:5" x14ac:dyDescent="0.25">
      <c r="A1040" s="316" t="s">
        <v>2479</v>
      </c>
      <c r="B1040" s="313">
        <v>40486</v>
      </c>
      <c r="C1040" s="316" t="s">
        <v>2469</v>
      </c>
      <c r="D1040" s="314">
        <v>60</v>
      </c>
      <c r="E1040" s="314">
        <v>100</v>
      </c>
    </row>
    <row r="1041" spans="1:5" x14ac:dyDescent="0.25">
      <c r="A1041" s="316" t="s">
        <v>2480</v>
      </c>
      <c r="B1041" s="313">
        <v>40486</v>
      </c>
      <c r="C1041" s="316" t="s">
        <v>2467</v>
      </c>
      <c r="D1041" s="314">
        <v>0</v>
      </c>
      <c r="E1041" s="314">
        <v>5</v>
      </c>
    </row>
    <row r="1042" spans="1:5" x14ac:dyDescent="0.25">
      <c r="A1042" s="316" t="s">
        <v>2480</v>
      </c>
      <c r="B1042" s="313">
        <v>40486</v>
      </c>
      <c r="C1042" s="316" t="s">
        <v>2467</v>
      </c>
      <c r="D1042" s="314">
        <v>5</v>
      </c>
      <c r="E1042" s="314">
        <v>10</v>
      </c>
    </row>
    <row r="1043" spans="1:5" x14ac:dyDescent="0.25">
      <c r="A1043" s="316" t="s">
        <v>2480</v>
      </c>
      <c r="B1043" s="313">
        <v>40486</v>
      </c>
      <c r="C1043" s="316" t="s">
        <v>2467</v>
      </c>
      <c r="D1043" s="314">
        <v>10</v>
      </c>
      <c r="E1043" s="314">
        <v>20</v>
      </c>
    </row>
    <row r="1044" spans="1:5" x14ac:dyDescent="0.25">
      <c r="A1044" s="316" t="s">
        <v>2480</v>
      </c>
      <c r="B1044" s="313">
        <v>40486</v>
      </c>
      <c r="C1044" s="316" t="s">
        <v>2467</v>
      </c>
      <c r="D1044" s="314">
        <v>20</v>
      </c>
      <c r="E1044" s="314">
        <v>30</v>
      </c>
    </row>
    <row r="1045" spans="1:5" x14ac:dyDescent="0.25">
      <c r="A1045" s="316" t="s">
        <v>2480</v>
      </c>
      <c r="B1045" s="313">
        <v>40486</v>
      </c>
      <c r="C1045" s="316" t="s">
        <v>2467</v>
      </c>
      <c r="D1045" s="314">
        <v>30</v>
      </c>
      <c r="E1045" s="314">
        <v>60</v>
      </c>
    </row>
    <row r="1046" spans="1:5" x14ac:dyDescent="0.25">
      <c r="A1046" s="316" t="s">
        <v>2480</v>
      </c>
      <c r="B1046" s="313">
        <v>40486</v>
      </c>
      <c r="C1046" s="316" t="s">
        <v>2467</v>
      </c>
      <c r="D1046" s="314">
        <v>60</v>
      </c>
      <c r="E1046" s="314">
        <v>100</v>
      </c>
    </row>
    <row r="1047" spans="1:5" x14ac:dyDescent="0.25">
      <c r="A1047" s="316" t="s">
        <v>2481</v>
      </c>
      <c r="B1047" s="313">
        <v>40486</v>
      </c>
      <c r="C1047" s="316" t="s">
        <v>2473</v>
      </c>
      <c r="D1047" s="314">
        <v>0</v>
      </c>
      <c r="E1047" s="314">
        <v>5</v>
      </c>
    </row>
    <row r="1048" spans="1:5" x14ac:dyDescent="0.25">
      <c r="A1048" s="316" t="s">
        <v>2481</v>
      </c>
      <c r="B1048" s="313">
        <v>40486</v>
      </c>
      <c r="C1048" s="316" t="s">
        <v>2473</v>
      </c>
      <c r="D1048" s="314">
        <v>5</v>
      </c>
      <c r="E1048" s="314">
        <v>10</v>
      </c>
    </row>
    <row r="1049" spans="1:5" x14ac:dyDescent="0.25">
      <c r="A1049" s="316" t="s">
        <v>2481</v>
      </c>
      <c r="B1049" s="313">
        <v>40486</v>
      </c>
      <c r="C1049" s="316" t="s">
        <v>2473</v>
      </c>
      <c r="D1049" s="314">
        <v>10</v>
      </c>
      <c r="E1049" s="314">
        <v>20</v>
      </c>
    </row>
    <row r="1050" spans="1:5" x14ac:dyDescent="0.25">
      <c r="A1050" s="316" t="s">
        <v>2481</v>
      </c>
      <c r="B1050" s="313">
        <v>40486</v>
      </c>
      <c r="C1050" s="316" t="s">
        <v>2473</v>
      </c>
      <c r="D1050" s="314">
        <v>20</v>
      </c>
      <c r="E1050" s="314">
        <v>30</v>
      </c>
    </row>
    <row r="1051" spans="1:5" x14ac:dyDescent="0.25">
      <c r="A1051" s="316" t="s">
        <v>2481</v>
      </c>
      <c r="B1051" s="313">
        <v>40486</v>
      </c>
      <c r="C1051" s="316" t="s">
        <v>2473</v>
      </c>
      <c r="D1051" s="314">
        <v>30</v>
      </c>
      <c r="E1051" s="314">
        <v>60</v>
      </c>
    </row>
    <row r="1052" spans="1:5" x14ac:dyDescent="0.25">
      <c r="A1052" s="316" t="s">
        <v>2481</v>
      </c>
      <c r="B1052" s="313">
        <v>40486</v>
      </c>
      <c r="C1052" s="316" t="s">
        <v>2473</v>
      </c>
      <c r="D1052" s="314">
        <v>60</v>
      </c>
      <c r="E1052" s="314">
        <v>100</v>
      </c>
    </row>
    <row r="1053" spans="1:5" x14ac:dyDescent="0.25">
      <c r="A1053" s="316" t="s">
        <v>2482</v>
      </c>
      <c r="B1053" s="313">
        <v>40486</v>
      </c>
      <c r="C1053" s="316" t="s">
        <v>2461</v>
      </c>
      <c r="D1053" s="314">
        <v>0</v>
      </c>
      <c r="E1053" s="314">
        <v>5</v>
      </c>
    </row>
    <row r="1054" spans="1:5" x14ac:dyDescent="0.25">
      <c r="A1054" s="316" t="s">
        <v>2482</v>
      </c>
      <c r="B1054" s="313">
        <v>40486</v>
      </c>
      <c r="C1054" s="316" t="s">
        <v>2461</v>
      </c>
      <c r="D1054" s="314">
        <v>5</v>
      </c>
      <c r="E1054" s="314">
        <v>10</v>
      </c>
    </row>
    <row r="1055" spans="1:5" x14ac:dyDescent="0.25">
      <c r="A1055" s="316" t="s">
        <v>2482</v>
      </c>
      <c r="B1055" s="313">
        <v>40486</v>
      </c>
      <c r="C1055" s="316" t="s">
        <v>2461</v>
      </c>
      <c r="D1055" s="314">
        <v>10</v>
      </c>
      <c r="E1055" s="314">
        <v>20</v>
      </c>
    </row>
    <row r="1056" spans="1:5" x14ac:dyDescent="0.25">
      <c r="A1056" s="316" t="s">
        <v>2482</v>
      </c>
      <c r="B1056" s="313">
        <v>40486</v>
      </c>
      <c r="C1056" s="316" t="s">
        <v>2461</v>
      </c>
      <c r="D1056" s="314">
        <v>20</v>
      </c>
      <c r="E1056" s="314">
        <v>30</v>
      </c>
    </row>
    <row r="1057" spans="1:5" x14ac:dyDescent="0.25">
      <c r="A1057" s="316" t="s">
        <v>2482</v>
      </c>
      <c r="B1057" s="313">
        <v>40486</v>
      </c>
      <c r="C1057" s="316" t="s">
        <v>2461</v>
      </c>
      <c r="D1057" s="314">
        <v>30</v>
      </c>
      <c r="E1057" s="314">
        <v>60</v>
      </c>
    </row>
    <row r="1058" spans="1:5" x14ac:dyDescent="0.25">
      <c r="A1058" s="316" t="s">
        <v>2482</v>
      </c>
      <c r="B1058" s="313">
        <v>40486</v>
      </c>
      <c r="C1058" s="316" t="s">
        <v>2461</v>
      </c>
      <c r="D1058" s="314">
        <v>60</v>
      </c>
      <c r="E1058" s="314">
        <v>100</v>
      </c>
    </row>
    <row r="1059" spans="1:5" x14ac:dyDescent="0.25">
      <c r="A1059" s="316" t="s">
        <v>2483</v>
      </c>
      <c r="B1059" s="313">
        <v>40486</v>
      </c>
      <c r="C1059" s="316" t="s">
        <v>2475</v>
      </c>
      <c r="D1059" s="314">
        <v>0</v>
      </c>
      <c r="E1059" s="314">
        <v>5</v>
      </c>
    </row>
    <row r="1060" spans="1:5" x14ac:dyDescent="0.25">
      <c r="A1060" s="316" t="s">
        <v>2483</v>
      </c>
      <c r="B1060" s="313">
        <v>40486</v>
      </c>
      <c r="C1060" s="316" t="s">
        <v>2475</v>
      </c>
      <c r="D1060" s="314">
        <v>5</v>
      </c>
      <c r="E1060" s="314">
        <v>10</v>
      </c>
    </row>
    <row r="1061" spans="1:5" x14ac:dyDescent="0.25">
      <c r="A1061" s="316" t="s">
        <v>2483</v>
      </c>
      <c r="B1061" s="313">
        <v>40486</v>
      </c>
      <c r="C1061" s="316" t="s">
        <v>2475</v>
      </c>
      <c r="D1061" s="314">
        <v>10</v>
      </c>
      <c r="E1061" s="314">
        <v>20</v>
      </c>
    </row>
    <row r="1062" spans="1:5" x14ac:dyDescent="0.25">
      <c r="A1062" s="316" t="s">
        <v>2483</v>
      </c>
      <c r="B1062" s="313">
        <v>40486</v>
      </c>
      <c r="C1062" s="316" t="s">
        <v>2475</v>
      </c>
      <c r="D1062" s="314">
        <v>20</v>
      </c>
      <c r="E1062" s="314">
        <v>30</v>
      </c>
    </row>
    <row r="1063" spans="1:5" x14ac:dyDescent="0.25">
      <c r="A1063" s="316" t="s">
        <v>2483</v>
      </c>
      <c r="B1063" s="313">
        <v>40486</v>
      </c>
      <c r="C1063" s="316" t="s">
        <v>2475</v>
      </c>
      <c r="D1063" s="314">
        <v>30</v>
      </c>
      <c r="E1063" s="314">
        <v>60</v>
      </c>
    </row>
    <row r="1064" spans="1:5" x14ac:dyDescent="0.25">
      <c r="A1064" s="316" t="s">
        <v>2483</v>
      </c>
      <c r="B1064" s="313">
        <v>40486</v>
      </c>
      <c r="C1064" s="316" t="s">
        <v>2475</v>
      </c>
      <c r="D1064" s="314">
        <v>60</v>
      </c>
      <c r="E1064" s="314">
        <v>100</v>
      </c>
    </row>
    <row r="1065" spans="1:5" x14ac:dyDescent="0.25">
      <c r="A1065" s="316" t="s">
        <v>2484</v>
      </c>
      <c r="B1065" s="313">
        <v>40486</v>
      </c>
      <c r="C1065" s="316" t="s">
        <v>2465</v>
      </c>
      <c r="D1065" s="314">
        <v>0</v>
      </c>
      <c r="E1065" s="314">
        <v>5</v>
      </c>
    </row>
    <row r="1066" spans="1:5" x14ac:dyDescent="0.25">
      <c r="A1066" s="316" t="s">
        <v>2484</v>
      </c>
      <c r="B1066" s="313">
        <v>40486</v>
      </c>
      <c r="C1066" s="316" t="s">
        <v>2465</v>
      </c>
      <c r="D1066" s="314">
        <v>5</v>
      </c>
      <c r="E1066" s="314">
        <v>10</v>
      </c>
    </row>
    <row r="1067" spans="1:5" x14ac:dyDescent="0.25">
      <c r="A1067" s="316" t="s">
        <v>2484</v>
      </c>
      <c r="B1067" s="313">
        <v>40486</v>
      </c>
      <c r="C1067" s="316" t="s">
        <v>2465</v>
      </c>
      <c r="D1067" s="314">
        <v>10</v>
      </c>
      <c r="E1067" s="314">
        <v>20</v>
      </c>
    </row>
    <row r="1068" spans="1:5" x14ac:dyDescent="0.25">
      <c r="A1068" s="316" t="s">
        <v>2484</v>
      </c>
      <c r="B1068" s="313">
        <v>40486</v>
      </c>
      <c r="C1068" s="316" t="s">
        <v>2465</v>
      </c>
      <c r="D1068" s="314">
        <v>20</v>
      </c>
      <c r="E1068" s="314">
        <v>30</v>
      </c>
    </row>
    <row r="1069" spans="1:5" x14ac:dyDescent="0.25">
      <c r="A1069" s="316" t="s">
        <v>2484</v>
      </c>
      <c r="B1069" s="313">
        <v>40486</v>
      </c>
      <c r="C1069" s="316" t="s">
        <v>2465</v>
      </c>
      <c r="D1069" s="314">
        <v>30</v>
      </c>
      <c r="E1069" s="314">
        <v>60</v>
      </c>
    </row>
    <row r="1070" spans="1:5" x14ac:dyDescent="0.25">
      <c r="A1070" s="316" t="s">
        <v>2484</v>
      </c>
      <c r="B1070" s="313">
        <v>40486</v>
      </c>
      <c r="C1070" s="316" t="s">
        <v>2465</v>
      </c>
      <c r="D1070" s="314">
        <v>60</v>
      </c>
      <c r="E1070" s="314">
        <v>100</v>
      </c>
    </row>
    <row r="1071" spans="1:5" x14ac:dyDescent="0.25">
      <c r="A1071" s="316" t="s">
        <v>2485</v>
      </c>
      <c r="B1071" s="313">
        <v>40486</v>
      </c>
      <c r="C1071" s="316" t="s">
        <v>2463</v>
      </c>
      <c r="D1071" s="314">
        <v>0</v>
      </c>
      <c r="E1071" s="314">
        <v>5</v>
      </c>
    </row>
    <row r="1072" spans="1:5" x14ac:dyDescent="0.25">
      <c r="A1072" s="316" t="s">
        <v>2485</v>
      </c>
      <c r="B1072" s="313">
        <v>40486</v>
      </c>
      <c r="C1072" s="316" t="s">
        <v>2463</v>
      </c>
      <c r="D1072" s="314">
        <v>5</v>
      </c>
      <c r="E1072" s="314">
        <v>10</v>
      </c>
    </row>
    <row r="1073" spans="1:5" x14ac:dyDescent="0.25">
      <c r="A1073" s="316" t="s">
        <v>2485</v>
      </c>
      <c r="B1073" s="313">
        <v>40486</v>
      </c>
      <c r="C1073" s="316" t="s">
        <v>2463</v>
      </c>
      <c r="D1073" s="314">
        <v>10</v>
      </c>
      <c r="E1073" s="314">
        <v>20</v>
      </c>
    </row>
    <row r="1074" spans="1:5" x14ac:dyDescent="0.25">
      <c r="A1074" s="316" t="s">
        <v>2485</v>
      </c>
      <c r="B1074" s="313">
        <v>40486</v>
      </c>
      <c r="C1074" s="316" t="s">
        <v>2463</v>
      </c>
      <c r="D1074" s="314">
        <v>20</v>
      </c>
      <c r="E1074" s="314">
        <v>30</v>
      </c>
    </row>
    <row r="1075" spans="1:5" x14ac:dyDescent="0.25">
      <c r="A1075" s="316" t="s">
        <v>2485</v>
      </c>
      <c r="B1075" s="313">
        <v>40486</v>
      </c>
      <c r="C1075" s="316" t="s">
        <v>2463</v>
      </c>
      <c r="D1075" s="314">
        <v>30</v>
      </c>
      <c r="E1075" s="314">
        <v>60</v>
      </c>
    </row>
    <row r="1076" spans="1:5" x14ac:dyDescent="0.25">
      <c r="A1076" s="316" t="s">
        <v>2485</v>
      </c>
      <c r="B1076" s="313">
        <v>40486</v>
      </c>
      <c r="C1076" s="316" t="s">
        <v>2463</v>
      </c>
      <c r="D1076" s="314">
        <v>60</v>
      </c>
      <c r="E1076" s="314">
        <v>100</v>
      </c>
    </row>
    <row r="1077" spans="1:5" x14ac:dyDescent="0.25">
      <c r="A1077" s="316" t="s">
        <v>2486</v>
      </c>
      <c r="B1077" s="313">
        <v>40486</v>
      </c>
      <c r="C1077" s="316" t="s">
        <v>2469</v>
      </c>
      <c r="D1077" s="314">
        <v>0</v>
      </c>
      <c r="E1077" s="314">
        <v>5</v>
      </c>
    </row>
    <row r="1078" spans="1:5" x14ac:dyDescent="0.25">
      <c r="A1078" s="316" t="s">
        <v>2486</v>
      </c>
      <c r="B1078" s="313">
        <v>40486</v>
      </c>
      <c r="C1078" s="316" t="s">
        <v>2469</v>
      </c>
      <c r="D1078" s="314">
        <v>5</v>
      </c>
      <c r="E1078" s="314">
        <v>10</v>
      </c>
    </row>
    <row r="1079" spans="1:5" x14ac:dyDescent="0.25">
      <c r="A1079" s="316" t="s">
        <v>2486</v>
      </c>
      <c r="B1079" s="313">
        <v>40486</v>
      </c>
      <c r="C1079" s="316" t="s">
        <v>2469</v>
      </c>
      <c r="D1079" s="314">
        <v>10</v>
      </c>
      <c r="E1079" s="314">
        <v>20</v>
      </c>
    </row>
    <row r="1080" spans="1:5" x14ac:dyDescent="0.25">
      <c r="A1080" s="316" t="s">
        <v>2486</v>
      </c>
      <c r="B1080" s="313">
        <v>40486</v>
      </c>
      <c r="C1080" s="316" t="s">
        <v>2469</v>
      </c>
      <c r="D1080" s="314">
        <v>20</v>
      </c>
      <c r="E1080" s="314">
        <v>30</v>
      </c>
    </row>
    <row r="1081" spans="1:5" x14ac:dyDescent="0.25">
      <c r="A1081" s="316" t="s">
        <v>2486</v>
      </c>
      <c r="B1081" s="313">
        <v>40486</v>
      </c>
      <c r="C1081" s="316" t="s">
        <v>2469</v>
      </c>
      <c r="D1081" s="314">
        <v>30</v>
      </c>
      <c r="E1081" s="314">
        <v>60</v>
      </c>
    </row>
    <row r="1082" spans="1:5" x14ac:dyDescent="0.25">
      <c r="A1082" s="316" t="s">
        <v>2486</v>
      </c>
      <c r="B1082" s="313">
        <v>40486</v>
      </c>
      <c r="C1082" s="316" t="s">
        <v>2469</v>
      </c>
      <c r="D1082" s="314">
        <v>60</v>
      </c>
      <c r="E1082" s="314">
        <v>100</v>
      </c>
    </row>
    <row r="1083" spans="1:5" x14ac:dyDescent="0.25">
      <c r="A1083" s="316" t="s">
        <v>2487</v>
      </c>
      <c r="B1083" s="313">
        <v>40486</v>
      </c>
      <c r="C1083" s="316" t="s">
        <v>2475</v>
      </c>
      <c r="D1083" s="314">
        <v>0</v>
      </c>
      <c r="E1083" s="314">
        <v>5</v>
      </c>
    </row>
    <row r="1084" spans="1:5" x14ac:dyDescent="0.25">
      <c r="A1084" s="316" t="s">
        <v>2487</v>
      </c>
      <c r="B1084" s="313">
        <v>40486</v>
      </c>
      <c r="C1084" s="316" t="s">
        <v>2475</v>
      </c>
      <c r="D1084" s="314">
        <v>5</v>
      </c>
      <c r="E1084" s="314">
        <v>10</v>
      </c>
    </row>
    <row r="1085" spans="1:5" x14ac:dyDescent="0.25">
      <c r="A1085" s="316" t="s">
        <v>2487</v>
      </c>
      <c r="B1085" s="313">
        <v>40486</v>
      </c>
      <c r="C1085" s="316" t="s">
        <v>2475</v>
      </c>
      <c r="D1085" s="314">
        <v>10</v>
      </c>
      <c r="E1085" s="314">
        <v>20</v>
      </c>
    </row>
    <row r="1086" spans="1:5" x14ac:dyDescent="0.25">
      <c r="A1086" s="316" t="s">
        <v>2487</v>
      </c>
      <c r="B1086" s="313">
        <v>40486</v>
      </c>
      <c r="C1086" s="316" t="s">
        <v>2475</v>
      </c>
      <c r="D1086" s="314">
        <v>20</v>
      </c>
      <c r="E1086" s="314">
        <v>30</v>
      </c>
    </row>
    <row r="1087" spans="1:5" x14ac:dyDescent="0.25">
      <c r="A1087" s="316" t="s">
        <v>2487</v>
      </c>
      <c r="B1087" s="313">
        <v>40486</v>
      </c>
      <c r="C1087" s="316" t="s">
        <v>2475</v>
      </c>
      <c r="D1087" s="314">
        <v>30</v>
      </c>
      <c r="E1087" s="314">
        <v>60</v>
      </c>
    </row>
    <row r="1088" spans="1:5" x14ac:dyDescent="0.25">
      <c r="A1088" s="316" t="s">
        <v>2487</v>
      </c>
      <c r="B1088" s="313">
        <v>40486</v>
      </c>
      <c r="C1088" s="316" t="s">
        <v>2475</v>
      </c>
      <c r="D1088" s="314">
        <v>60</v>
      </c>
      <c r="E1088" s="314">
        <v>100</v>
      </c>
    </row>
    <row r="1089" spans="1:5" x14ac:dyDescent="0.25">
      <c r="A1089" s="316" t="s">
        <v>2488</v>
      </c>
      <c r="B1089" s="313">
        <v>40486</v>
      </c>
      <c r="C1089" s="316" t="s">
        <v>2461</v>
      </c>
      <c r="D1089" s="314">
        <v>0</v>
      </c>
      <c r="E1089" s="314">
        <v>5</v>
      </c>
    </row>
    <row r="1090" spans="1:5" x14ac:dyDescent="0.25">
      <c r="A1090" s="316" t="s">
        <v>2488</v>
      </c>
      <c r="B1090" s="313">
        <v>40486</v>
      </c>
      <c r="C1090" s="316" t="s">
        <v>2461</v>
      </c>
      <c r="D1090" s="314">
        <v>5</v>
      </c>
      <c r="E1090" s="314">
        <v>10</v>
      </c>
    </row>
    <row r="1091" spans="1:5" x14ac:dyDescent="0.25">
      <c r="A1091" s="316" t="s">
        <v>2488</v>
      </c>
      <c r="B1091" s="313">
        <v>40486</v>
      </c>
      <c r="C1091" s="316" t="s">
        <v>2461</v>
      </c>
      <c r="D1091" s="314">
        <v>10</v>
      </c>
      <c r="E1091" s="314">
        <v>20</v>
      </c>
    </row>
    <row r="1092" spans="1:5" x14ac:dyDescent="0.25">
      <c r="A1092" s="316" t="s">
        <v>2488</v>
      </c>
      <c r="B1092" s="313">
        <v>40486</v>
      </c>
      <c r="C1092" s="316" t="s">
        <v>2461</v>
      </c>
      <c r="D1092" s="314">
        <v>20</v>
      </c>
      <c r="E1092" s="314">
        <v>30</v>
      </c>
    </row>
    <row r="1093" spans="1:5" x14ac:dyDescent="0.25">
      <c r="A1093" s="316" t="s">
        <v>2488</v>
      </c>
      <c r="B1093" s="313">
        <v>40486</v>
      </c>
      <c r="C1093" s="316" t="s">
        <v>2461</v>
      </c>
      <c r="D1093" s="314">
        <v>30</v>
      </c>
      <c r="E1093" s="314">
        <v>60</v>
      </c>
    </row>
    <row r="1094" spans="1:5" x14ac:dyDescent="0.25">
      <c r="A1094" s="316" t="s">
        <v>2488</v>
      </c>
      <c r="B1094" s="313">
        <v>40486</v>
      </c>
      <c r="C1094" s="316" t="s">
        <v>2461</v>
      </c>
      <c r="D1094" s="314">
        <v>60</v>
      </c>
      <c r="E1094" s="314">
        <v>100</v>
      </c>
    </row>
    <row r="1095" spans="1:5" x14ac:dyDescent="0.25">
      <c r="A1095" s="316" t="s">
        <v>2489</v>
      </c>
      <c r="B1095" s="313">
        <v>40486</v>
      </c>
      <c r="C1095" s="316" t="s">
        <v>2473</v>
      </c>
      <c r="D1095" s="314">
        <v>0</v>
      </c>
      <c r="E1095" s="314">
        <v>5</v>
      </c>
    </row>
    <row r="1096" spans="1:5" x14ac:dyDescent="0.25">
      <c r="A1096" s="316" t="s">
        <v>2489</v>
      </c>
      <c r="B1096" s="313">
        <v>40486</v>
      </c>
      <c r="C1096" s="316" t="s">
        <v>2473</v>
      </c>
      <c r="D1096" s="314">
        <v>5</v>
      </c>
      <c r="E1096" s="314">
        <v>10</v>
      </c>
    </row>
    <row r="1097" spans="1:5" x14ac:dyDescent="0.25">
      <c r="A1097" s="316" t="s">
        <v>2489</v>
      </c>
      <c r="B1097" s="313">
        <v>40486</v>
      </c>
      <c r="C1097" s="316" t="s">
        <v>2473</v>
      </c>
      <c r="D1097" s="314">
        <v>10</v>
      </c>
      <c r="E1097" s="314">
        <v>20</v>
      </c>
    </row>
    <row r="1098" spans="1:5" x14ac:dyDescent="0.25">
      <c r="A1098" s="316" t="s">
        <v>2489</v>
      </c>
      <c r="B1098" s="313">
        <v>40486</v>
      </c>
      <c r="C1098" s="316" t="s">
        <v>2473</v>
      </c>
      <c r="D1098" s="314">
        <v>20</v>
      </c>
      <c r="E1098" s="314">
        <v>30</v>
      </c>
    </row>
    <row r="1099" spans="1:5" x14ac:dyDescent="0.25">
      <c r="A1099" s="316" t="s">
        <v>2489</v>
      </c>
      <c r="B1099" s="313">
        <v>40486</v>
      </c>
      <c r="C1099" s="316" t="s">
        <v>2473</v>
      </c>
      <c r="D1099" s="314">
        <v>30</v>
      </c>
      <c r="E1099" s="314">
        <v>60</v>
      </c>
    </row>
    <row r="1100" spans="1:5" x14ac:dyDescent="0.25">
      <c r="A1100" s="316" t="s">
        <v>2489</v>
      </c>
      <c r="B1100" s="313">
        <v>40486</v>
      </c>
      <c r="C1100" s="316" t="s">
        <v>2473</v>
      </c>
      <c r="D1100" s="314">
        <v>60</v>
      </c>
      <c r="E1100" s="314">
        <v>100</v>
      </c>
    </row>
    <row r="1101" spans="1:5" x14ac:dyDescent="0.25">
      <c r="A1101" s="316" t="s">
        <v>2490</v>
      </c>
      <c r="B1101" s="313">
        <v>40486</v>
      </c>
      <c r="C1101" s="316" t="s">
        <v>2467</v>
      </c>
      <c r="D1101" s="314">
        <v>0</v>
      </c>
      <c r="E1101" s="314">
        <v>5</v>
      </c>
    </row>
    <row r="1102" spans="1:5" x14ac:dyDescent="0.25">
      <c r="A1102" s="316" t="s">
        <v>2490</v>
      </c>
      <c r="B1102" s="313">
        <v>40486</v>
      </c>
      <c r="C1102" s="316" t="s">
        <v>2467</v>
      </c>
      <c r="D1102" s="314">
        <v>5</v>
      </c>
      <c r="E1102" s="314">
        <v>10</v>
      </c>
    </row>
    <row r="1103" spans="1:5" x14ac:dyDescent="0.25">
      <c r="A1103" s="316" t="s">
        <v>2490</v>
      </c>
      <c r="B1103" s="313">
        <v>40486</v>
      </c>
      <c r="C1103" s="316" t="s">
        <v>2467</v>
      </c>
      <c r="D1103" s="314">
        <v>10</v>
      </c>
      <c r="E1103" s="314">
        <v>20</v>
      </c>
    </row>
    <row r="1104" spans="1:5" x14ac:dyDescent="0.25">
      <c r="A1104" s="316" t="s">
        <v>2490</v>
      </c>
      <c r="B1104" s="313">
        <v>40486</v>
      </c>
      <c r="C1104" s="316" t="s">
        <v>2467</v>
      </c>
      <c r="D1104" s="314">
        <v>20</v>
      </c>
      <c r="E1104" s="314">
        <v>30</v>
      </c>
    </row>
    <row r="1105" spans="1:5" x14ac:dyDescent="0.25">
      <c r="A1105" s="316" t="s">
        <v>2490</v>
      </c>
      <c r="B1105" s="313">
        <v>40486</v>
      </c>
      <c r="C1105" s="316" t="s">
        <v>2467</v>
      </c>
      <c r="D1105" s="314">
        <v>30</v>
      </c>
      <c r="E1105" s="314">
        <v>60</v>
      </c>
    </row>
    <row r="1106" spans="1:5" x14ac:dyDescent="0.25">
      <c r="A1106" s="316" t="s">
        <v>2490</v>
      </c>
      <c r="B1106" s="313">
        <v>40486</v>
      </c>
      <c r="C1106" s="316" t="s">
        <v>2467</v>
      </c>
      <c r="D1106" s="314">
        <v>60</v>
      </c>
      <c r="E1106" s="314">
        <v>100</v>
      </c>
    </row>
    <row r="1107" spans="1:5" x14ac:dyDescent="0.25">
      <c r="A1107" s="316" t="s">
        <v>2491</v>
      </c>
      <c r="B1107" s="313">
        <v>40486</v>
      </c>
      <c r="C1107" s="316" t="s">
        <v>2471</v>
      </c>
      <c r="D1107" s="314">
        <v>0</v>
      </c>
      <c r="E1107" s="314">
        <v>5</v>
      </c>
    </row>
    <row r="1108" spans="1:5" x14ac:dyDescent="0.25">
      <c r="A1108" s="316" t="s">
        <v>2491</v>
      </c>
      <c r="B1108" s="313">
        <v>40486</v>
      </c>
      <c r="C1108" s="316" t="s">
        <v>2471</v>
      </c>
      <c r="D1108" s="314">
        <v>5</v>
      </c>
      <c r="E1108" s="314">
        <v>10</v>
      </c>
    </row>
    <row r="1109" spans="1:5" x14ac:dyDescent="0.25">
      <c r="A1109" s="316" t="s">
        <v>2491</v>
      </c>
      <c r="B1109" s="313">
        <v>40486</v>
      </c>
      <c r="C1109" s="316" t="s">
        <v>2471</v>
      </c>
      <c r="D1109" s="314">
        <v>10</v>
      </c>
      <c r="E1109" s="314">
        <v>20</v>
      </c>
    </row>
    <row r="1110" spans="1:5" x14ac:dyDescent="0.25">
      <c r="A1110" s="316" t="s">
        <v>2491</v>
      </c>
      <c r="B1110" s="313">
        <v>40486</v>
      </c>
      <c r="C1110" s="316" t="s">
        <v>2471</v>
      </c>
      <c r="D1110" s="314">
        <v>20</v>
      </c>
      <c r="E1110" s="314">
        <v>30</v>
      </c>
    </row>
    <row r="1111" spans="1:5" x14ac:dyDescent="0.25">
      <c r="A1111" s="316" t="s">
        <v>2491</v>
      </c>
      <c r="B1111" s="313">
        <v>40486</v>
      </c>
      <c r="C1111" s="316" t="s">
        <v>2471</v>
      </c>
      <c r="D1111" s="314">
        <v>30</v>
      </c>
      <c r="E1111" s="314">
        <v>60</v>
      </c>
    </row>
    <row r="1112" spans="1:5" x14ac:dyDescent="0.25">
      <c r="A1112" s="316" t="s">
        <v>2491</v>
      </c>
      <c r="B1112" s="313">
        <v>40486</v>
      </c>
      <c r="C1112" s="316" t="s">
        <v>2471</v>
      </c>
      <c r="D1112" s="314">
        <v>60</v>
      </c>
      <c r="E1112" s="314">
        <v>100</v>
      </c>
    </row>
    <row r="1113" spans="1:5" x14ac:dyDescent="0.25">
      <c r="A1113" s="316" t="s">
        <v>2492</v>
      </c>
      <c r="B1113" s="313">
        <v>40487</v>
      </c>
      <c r="C1113" s="316" t="s">
        <v>2471</v>
      </c>
      <c r="D1113" s="314">
        <v>0</v>
      </c>
      <c r="E1113" s="314">
        <v>5</v>
      </c>
    </row>
    <row r="1114" spans="1:5" x14ac:dyDescent="0.25">
      <c r="A1114" s="316" t="s">
        <v>2492</v>
      </c>
      <c r="B1114" s="313">
        <v>40487</v>
      </c>
      <c r="C1114" s="316" t="s">
        <v>2471</v>
      </c>
      <c r="D1114" s="314">
        <v>5</v>
      </c>
      <c r="E1114" s="314">
        <v>10</v>
      </c>
    </row>
    <row r="1115" spans="1:5" x14ac:dyDescent="0.25">
      <c r="A1115" s="316" t="s">
        <v>2492</v>
      </c>
      <c r="B1115" s="313">
        <v>40487</v>
      </c>
      <c r="C1115" s="316" t="s">
        <v>2471</v>
      </c>
      <c r="D1115" s="314">
        <v>10</v>
      </c>
      <c r="E1115" s="314">
        <v>20</v>
      </c>
    </row>
    <row r="1116" spans="1:5" x14ac:dyDescent="0.25">
      <c r="A1116" s="316" t="s">
        <v>2492</v>
      </c>
      <c r="B1116" s="313">
        <v>40487</v>
      </c>
      <c r="C1116" s="316" t="s">
        <v>2471</v>
      </c>
      <c r="D1116" s="314">
        <v>20</v>
      </c>
      <c r="E1116" s="314">
        <v>30</v>
      </c>
    </row>
    <row r="1117" spans="1:5" x14ac:dyDescent="0.25">
      <c r="A1117" s="316" t="s">
        <v>2492</v>
      </c>
      <c r="B1117" s="313">
        <v>40487</v>
      </c>
      <c r="C1117" s="316" t="s">
        <v>2471</v>
      </c>
      <c r="D1117" s="314">
        <v>30</v>
      </c>
      <c r="E1117" s="314">
        <v>60</v>
      </c>
    </row>
    <row r="1118" spans="1:5" x14ac:dyDescent="0.25">
      <c r="A1118" s="316" t="s">
        <v>2492</v>
      </c>
      <c r="B1118" s="313">
        <v>40487</v>
      </c>
      <c r="C1118" s="316" t="s">
        <v>2471</v>
      </c>
      <c r="D1118" s="314">
        <v>60</v>
      </c>
      <c r="E1118" s="314">
        <v>100</v>
      </c>
    </row>
    <row r="1119" spans="1:5" x14ac:dyDescent="0.25">
      <c r="A1119" s="316" t="s">
        <v>2493</v>
      </c>
      <c r="B1119" s="313">
        <v>40487</v>
      </c>
      <c r="C1119" s="316" t="s">
        <v>2469</v>
      </c>
      <c r="D1119" s="314">
        <v>0</v>
      </c>
      <c r="E1119" s="314">
        <v>5</v>
      </c>
    </row>
    <row r="1120" spans="1:5" x14ac:dyDescent="0.25">
      <c r="A1120" s="316" t="s">
        <v>2493</v>
      </c>
      <c r="B1120" s="313">
        <v>40487</v>
      </c>
      <c r="C1120" s="316" t="s">
        <v>2469</v>
      </c>
      <c r="D1120" s="314">
        <v>5</v>
      </c>
      <c r="E1120" s="314">
        <v>10</v>
      </c>
    </row>
    <row r="1121" spans="1:5" x14ac:dyDescent="0.25">
      <c r="A1121" s="316" t="s">
        <v>2493</v>
      </c>
      <c r="B1121" s="313">
        <v>40487</v>
      </c>
      <c r="C1121" s="316" t="s">
        <v>2469</v>
      </c>
      <c r="D1121" s="314">
        <v>10</v>
      </c>
      <c r="E1121" s="314">
        <v>20</v>
      </c>
    </row>
    <row r="1122" spans="1:5" x14ac:dyDescent="0.25">
      <c r="A1122" s="316" t="s">
        <v>2493</v>
      </c>
      <c r="B1122" s="313">
        <v>40487</v>
      </c>
      <c r="C1122" s="316" t="s">
        <v>2469</v>
      </c>
      <c r="D1122" s="314">
        <v>20</v>
      </c>
      <c r="E1122" s="314">
        <v>30</v>
      </c>
    </row>
    <row r="1123" spans="1:5" x14ac:dyDescent="0.25">
      <c r="A1123" s="316" t="s">
        <v>2493</v>
      </c>
      <c r="B1123" s="313">
        <v>40487</v>
      </c>
      <c r="C1123" s="316" t="s">
        <v>2469</v>
      </c>
      <c r="D1123" s="314">
        <v>30</v>
      </c>
      <c r="E1123" s="314">
        <v>60</v>
      </c>
    </row>
    <row r="1124" spans="1:5" x14ac:dyDescent="0.25">
      <c r="A1124" s="316" t="s">
        <v>2493</v>
      </c>
      <c r="B1124" s="313">
        <v>40487</v>
      </c>
      <c r="C1124" s="316" t="s">
        <v>2469</v>
      </c>
      <c r="D1124" s="314">
        <v>60</v>
      </c>
      <c r="E1124" s="314">
        <v>100</v>
      </c>
    </row>
    <row r="1125" spans="1:5" x14ac:dyDescent="0.25">
      <c r="A1125" s="316" t="s">
        <v>2494</v>
      </c>
      <c r="B1125" s="313">
        <v>40487</v>
      </c>
      <c r="C1125" s="316" t="s">
        <v>2465</v>
      </c>
      <c r="D1125" s="314">
        <v>0</v>
      </c>
      <c r="E1125" s="314">
        <v>5</v>
      </c>
    </row>
    <row r="1126" spans="1:5" x14ac:dyDescent="0.25">
      <c r="A1126" s="316" t="s">
        <v>2494</v>
      </c>
      <c r="B1126" s="313">
        <v>40487</v>
      </c>
      <c r="C1126" s="316" t="s">
        <v>2465</v>
      </c>
      <c r="D1126" s="314">
        <v>5</v>
      </c>
      <c r="E1126" s="314">
        <v>10</v>
      </c>
    </row>
    <row r="1127" spans="1:5" x14ac:dyDescent="0.25">
      <c r="A1127" s="316" t="s">
        <v>2494</v>
      </c>
      <c r="B1127" s="313">
        <v>40487</v>
      </c>
      <c r="C1127" s="316" t="s">
        <v>2465</v>
      </c>
      <c r="D1127" s="314">
        <v>10</v>
      </c>
      <c r="E1127" s="314">
        <v>20</v>
      </c>
    </row>
    <row r="1128" spans="1:5" x14ac:dyDescent="0.25">
      <c r="A1128" s="316" t="s">
        <v>2494</v>
      </c>
      <c r="B1128" s="313">
        <v>40487</v>
      </c>
      <c r="C1128" s="316" t="s">
        <v>2465</v>
      </c>
      <c r="D1128" s="314">
        <v>20</v>
      </c>
      <c r="E1128" s="314">
        <v>30</v>
      </c>
    </row>
    <row r="1129" spans="1:5" x14ac:dyDescent="0.25">
      <c r="A1129" s="316" t="s">
        <v>2494</v>
      </c>
      <c r="B1129" s="313">
        <v>40487</v>
      </c>
      <c r="C1129" s="316" t="s">
        <v>2465</v>
      </c>
      <c r="D1129" s="314">
        <v>30</v>
      </c>
      <c r="E1129" s="314">
        <v>60</v>
      </c>
    </row>
    <row r="1130" spans="1:5" x14ac:dyDescent="0.25">
      <c r="A1130" s="316" t="s">
        <v>2494</v>
      </c>
      <c r="B1130" s="313">
        <v>40487</v>
      </c>
      <c r="C1130" s="316" t="s">
        <v>2465</v>
      </c>
      <c r="D1130" s="314">
        <v>60</v>
      </c>
      <c r="E1130" s="314">
        <v>100</v>
      </c>
    </row>
    <row r="1131" spans="1:5" x14ac:dyDescent="0.25">
      <c r="A1131" s="316" t="s">
        <v>2495</v>
      </c>
      <c r="B1131" s="313">
        <v>40487</v>
      </c>
      <c r="C1131" s="316" t="s">
        <v>2475</v>
      </c>
      <c r="D1131" s="314">
        <v>0</v>
      </c>
      <c r="E1131" s="314">
        <v>5</v>
      </c>
    </row>
    <row r="1132" spans="1:5" x14ac:dyDescent="0.25">
      <c r="A1132" s="316" t="s">
        <v>2495</v>
      </c>
      <c r="B1132" s="313">
        <v>40487</v>
      </c>
      <c r="C1132" s="316" t="s">
        <v>2475</v>
      </c>
      <c r="D1132" s="314">
        <v>5</v>
      </c>
      <c r="E1132" s="314">
        <v>10</v>
      </c>
    </row>
    <row r="1133" spans="1:5" x14ac:dyDescent="0.25">
      <c r="A1133" s="316" t="s">
        <v>2495</v>
      </c>
      <c r="B1133" s="313">
        <v>40487</v>
      </c>
      <c r="C1133" s="316" t="s">
        <v>2475</v>
      </c>
      <c r="D1133" s="314">
        <v>10</v>
      </c>
      <c r="E1133" s="314">
        <v>20</v>
      </c>
    </row>
    <row r="1134" spans="1:5" x14ac:dyDescent="0.25">
      <c r="A1134" s="316" t="s">
        <v>2495</v>
      </c>
      <c r="B1134" s="313">
        <v>40487</v>
      </c>
      <c r="C1134" s="316" t="s">
        <v>2475</v>
      </c>
      <c r="D1134" s="314">
        <v>20</v>
      </c>
      <c r="E1134" s="314">
        <v>30</v>
      </c>
    </row>
    <row r="1135" spans="1:5" x14ac:dyDescent="0.25">
      <c r="A1135" s="316" t="s">
        <v>2495</v>
      </c>
      <c r="B1135" s="313">
        <v>40487</v>
      </c>
      <c r="C1135" s="316" t="s">
        <v>2475</v>
      </c>
      <c r="D1135" s="314">
        <v>30</v>
      </c>
      <c r="E1135" s="314">
        <v>60</v>
      </c>
    </row>
    <row r="1136" spans="1:5" x14ac:dyDescent="0.25">
      <c r="A1136" s="316" t="s">
        <v>2495</v>
      </c>
      <c r="B1136" s="313">
        <v>40487</v>
      </c>
      <c r="C1136" s="316" t="s">
        <v>2475</v>
      </c>
      <c r="D1136" s="314">
        <v>60</v>
      </c>
      <c r="E1136" s="314">
        <v>100</v>
      </c>
    </row>
    <row r="1137" spans="1:5" x14ac:dyDescent="0.25">
      <c r="A1137" s="316" t="s">
        <v>2496</v>
      </c>
      <c r="B1137" s="313">
        <v>40487</v>
      </c>
      <c r="C1137" s="316" t="s">
        <v>2463</v>
      </c>
      <c r="D1137" s="314">
        <v>0</v>
      </c>
      <c r="E1137" s="314">
        <v>5</v>
      </c>
    </row>
    <row r="1138" spans="1:5" x14ac:dyDescent="0.25">
      <c r="A1138" s="316" t="s">
        <v>2496</v>
      </c>
      <c r="B1138" s="313">
        <v>40487</v>
      </c>
      <c r="C1138" s="316" t="s">
        <v>2463</v>
      </c>
      <c r="D1138" s="314">
        <v>5</v>
      </c>
      <c r="E1138" s="314">
        <v>10</v>
      </c>
    </row>
    <row r="1139" spans="1:5" x14ac:dyDescent="0.25">
      <c r="A1139" s="316" t="s">
        <v>2496</v>
      </c>
      <c r="B1139" s="313">
        <v>40487</v>
      </c>
      <c r="C1139" s="316" t="s">
        <v>2463</v>
      </c>
      <c r="D1139" s="314">
        <v>10</v>
      </c>
      <c r="E1139" s="314">
        <v>20</v>
      </c>
    </row>
    <row r="1140" spans="1:5" x14ac:dyDescent="0.25">
      <c r="A1140" s="316" t="s">
        <v>2496</v>
      </c>
      <c r="B1140" s="313">
        <v>40487</v>
      </c>
      <c r="C1140" s="316" t="s">
        <v>2463</v>
      </c>
      <c r="D1140" s="314">
        <v>20</v>
      </c>
      <c r="E1140" s="314">
        <v>30</v>
      </c>
    </row>
    <row r="1141" spans="1:5" x14ac:dyDescent="0.25">
      <c r="A1141" s="316" t="s">
        <v>2496</v>
      </c>
      <c r="B1141" s="313">
        <v>40487</v>
      </c>
      <c r="C1141" s="316" t="s">
        <v>2463</v>
      </c>
      <c r="D1141" s="314">
        <v>30</v>
      </c>
      <c r="E1141" s="314">
        <v>60</v>
      </c>
    </row>
    <row r="1142" spans="1:5" x14ac:dyDescent="0.25">
      <c r="A1142" s="316" t="s">
        <v>2496</v>
      </c>
      <c r="B1142" s="313">
        <v>40487</v>
      </c>
      <c r="C1142" s="316" t="s">
        <v>2463</v>
      </c>
      <c r="D1142" s="314">
        <v>60</v>
      </c>
      <c r="E1142" s="314">
        <v>100</v>
      </c>
    </row>
    <row r="1143" spans="1:5" x14ac:dyDescent="0.25">
      <c r="A1143" s="316" t="s">
        <v>2497</v>
      </c>
      <c r="B1143" s="313">
        <v>40487</v>
      </c>
      <c r="C1143" s="316" t="s">
        <v>2473</v>
      </c>
      <c r="D1143" s="314">
        <v>0</v>
      </c>
      <c r="E1143" s="314">
        <v>5</v>
      </c>
    </row>
    <row r="1144" spans="1:5" x14ac:dyDescent="0.25">
      <c r="A1144" s="316" t="s">
        <v>2497</v>
      </c>
      <c r="B1144" s="313">
        <v>40487</v>
      </c>
      <c r="C1144" s="316" t="s">
        <v>2473</v>
      </c>
      <c r="D1144" s="314">
        <v>5</v>
      </c>
      <c r="E1144" s="314">
        <v>10</v>
      </c>
    </row>
    <row r="1145" spans="1:5" x14ac:dyDescent="0.25">
      <c r="A1145" s="316" t="s">
        <v>2497</v>
      </c>
      <c r="B1145" s="313">
        <v>40487</v>
      </c>
      <c r="C1145" s="316" t="s">
        <v>2473</v>
      </c>
      <c r="D1145" s="314">
        <v>10</v>
      </c>
      <c r="E1145" s="314">
        <v>20</v>
      </c>
    </row>
    <row r="1146" spans="1:5" x14ac:dyDescent="0.25">
      <c r="A1146" s="316" t="s">
        <v>2497</v>
      </c>
      <c r="B1146" s="313">
        <v>40487</v>
      </c>
      <c r="C1146" s="316" t="s">
        <v>2473</v>
      </c>
      <c r="D1146" s="314">
        <v>20</v>
      </c>
      <c r="E1146" s="314">
        <v>30</v>
      </c>
    </row>
    <row r="1147" spans="1:5" x14ac:dyDescent="0.25">
      <c r="A1147" s="316" t="s">
        <v>2497</v>
      </c>
      <c r="B1147" s="313">
        <v>40487</v>
      </c>
      <c r="C1147" s="316" t="s">
        <v>2473</v>
      </c>
      <c r="D1147" s="314">
        <v>30</v>
      </c>
      <c r="E1147" s="314">
        <v>60</v>
      </c>
    </row>
    <row r="1148" spans="1:5" x14ac:dyDescent="0.25">
      <c r="A1148" s="316" t="s">
        <v>2497</v>
      </c>
      <c r="B1148" s="313">
        <v>40487</v>
      </c>
      <c r="C1148" s="316" t="s">
        <v>2473</v>
      </c>
      <c r="D1148" s="314">
        <v>60</v>
      </c>
      <c r="E1148" s="314">
        <v>100</v>
      </c>
    </row>
    <row r="1149" spans="1:5" x14ac:dyDescent="0.25">
      <c r="A1149" s="316" t="s">
        <v>2498</v>
      </c>
      <c r="B1149" s="313">
        <v>40487</v>
      </c>
      <c r="C1149" s="316" t="s">
        <v>2467</v>
      </c>
      <c r="D1149" s="314">
        <v>0</v>
      </c>
      <c r="E1149" s="314">
        <v>5</v>
      </c>
    </row>
    <row r="1150" spans="1:5" x14ac:dyDescent="0.25">
      <c r="A1150" s="316" t="s">
        <v>2498</v>
      </c>
      <c r="B1150" s="313">
        <v>40487</v>
      </c>
      <c r="C1150" s="316" t="s">
        <v>2467</v>
      </c>
      <c r="D1150" s="314">
        <v>5</v>
      </c>
      <c r="E1150" s="314">
        <v>10</v>
      </c>
    </row>
    <row r="1151" spans="1:5" x14ac:dyDescent="0.25">
      <c r="A1151" s="316" t="s">
        <v>2498</v>
      </c>
      <c r="B1151" s="313">
        <v>40487</v>
      </c>
      <c r="C1151" s="316" t="s">
        <v>2467</v>
      </c>
      <c r="D1151" s="314">
        <v>10</v>
      </c>
      <c r="E1151" s="314">
        <v>20</v>
      </c>
    </row>
    <row r="1152" spans="1:5" x14ac:dyDescent="0.25">
      <c r="A1152" s="316" t="s">
        <v>2498</v>
      </c>
      <c r="B1152" s="313">
        <v>40487</v>
      </c>
      <c r="C1152" s="316" t="s">
        <v>2467</v>
      </c>
      <c r="D1152" s="314">
        <v>20</v>
      </c>
      <c r="E1152" s="314">
        <v>30</v>
      </c>
    </row>
    <row r="1153" spans="1:5" x14ac:dyDescent="0.25">
      <c r="A1153" s="316" t="s">
        <v>2498</v>
      </c>
      <c r="B1153" s="313">
        <v>40487</v>
      </c>
      <c r="C1153" s="316" t="s">
        <v>2467</v>
      </c>
      <c r="D1153" s="314">
        <v>30</v>
      </c>
      <c r="E1153" s="314">
        <v>60</v>
      </c>
    </row>
    <row r="1154" spans="1:5" x14ac:dyDescent="0.25">
      <c r="A1154" s="316" t="s">
        <v>2498</v>
      </c>
      <c r="B1154" s="313">
        <v>40487</v>
      </c>
      <c r="C1154" s="316" t="s">
        <v>2467</v>
      </c>
      <c r="D1154" s="314">
        <v>60</v>
      </c>
      <c r="E1154" s="314">
        <v>100</v>
      </c>
    </row>
    <row r="1155" spans="1:5" x14ac:dyDescent="0.25">
      <c r="A1155" s="316" t="s">
        <v>2499</v>
      </c>
      <c r="B1155" s="313">
        <v>40487</v>
      </c>
      <c r="C1155" s="316" t="s">
        <v>2461</v>
      </c>
      <c r="D1155" s="314">
        <v>0</v>
      </c>
      <c r="E1155" s="314">
        <v>5</v>
      </c>
    </row>
    <row r="1156" spans="1:5" x14ac:dyDescent="0.25">
      <c r="A1156" s="316" t="s">
        <v>2499</v>
      </c>
      <c r="B1156" s="313">
        <v>40487</v>
      </c>
      <c r="C1156" s="316" t="s">
        <v>2461</v>
      </c>
      <c r="D1156" s="314">
        <v>5</v>
      </c>
      <c r="E1156" s="314">
        <v>10</v>
      </c>
    </row>
    <row r="1157" spans="1:5" x14ac:dyDescent="0.25">
      <c r="A1157" s="316" t="s">
        <v>2499</v>
      </c>
      <c r="B1157" s="313">
        <v>40487</v>
      </c>
      <c r="C1157" s="316" t="s">
        <v>2461</v>
      </c>
      <c r="D1157" s="314">
        <v>10</v>
      </c>
      <c r="E1157" s="314">
        <v>20</v>
      </c>
    </row>
    <row r="1158" spans="1:5" x14ac:dyDescent="0.25">
      <c r="A1158" s="316" t="s">
        <v>2499</v>
      </c>
      <c r="B1158" s="313">
        <v>40487</v>
      </c>
      <c r="C1158" s="316" t="s">
        <v>2461</v>
      </c>
      <c r="D1158" s="314">
        <v>20</v>
      </c>
      <c r="E1158" s="314">
        <v>30</v>
      </c>
    </row>
    <row r="1159" spans="1:5" x14ac:dyDescent="0.25">
      <c r="A1159" s="316" t="s">
        <v>2499</v>
      </c>
      <c r="B1159" s="313">
        <v>40487</v>
      </c>
      <c r="C1159" s="316" t="s">
        <v>2461</v>
      </c>
      <c r="D1159" s="314">
        <v>30</v>
      </c>
      <c r="E1159" s="314">
        <v>60</v>
      </c>
    </row>
    <row r="1160" spans="1:5" x14ac:dyDescent="0.25">
      <c r="A1160" s="316" t="s">
        <v>2499</v>
      </c>
      <c r="B1160" s="313">
        <v>40487</v>
      </c>
      <c r="C1160" s="316" t="s">
        <v>2461</v>
      </c>
      <c r="D1160" s="314">
        <v>60</v>
      </c>
      <c r="E1160" s="314">
        <v>100</v>
      </c>
    </row>
    <row r="1161" spans="1:5" x14ac:dyDescent="0.25">
      <c r="A1161" s="316" t="s">
        <v>2380</v>
      </c>
      <c r="B1161" s="313">
        <v>41585</v>
      </c>
      <c r="C1161" s="316" t="s">
        <v>2381</v>
      </c>
      <c r="D1161" s="314">
        <v>0</v>
      </c>
      <c r="E1161" s="314">
        <v>5</v>
      </c>
    </row>
    <row r="1162" spans="1:5" x14ac:dyDescent="0.25">
      <c r="A1162" s="316" t="s">
        <v>2380</v>
      </c>
      <c r="B1162" s="313">
        <v>41585</v>
      </c>
      <c r="C1162" s="316" t="s">
        <v>2381</v>
      </c>
      <c r="D1162" s="314">
        <v>5</v>
      </c>
      <c r="E1162" s="314">
        <v>10</v>
      </c>
    </row>
    <row r="1163" spans="1:5" x14ac:dyDescent="0.25">
      <c r="A1163" s="316" t="s">
        <v>2380</v>
      </c>
      <c r="B1163" s="313">
        <v>41585</v>
      </c>
      <c r="C1163" s="316" t="s">
        <v>2381</v>
      </c>
      <c r="D1163" s="314">
        <v>10</v>
      </c>
      <c r="E1163" s="314">
        <v>20</v>
      </c>
    </row>
    <row r="1164" spans="1:5" x14ac:dyDescent="0.25">
      <c r="A1164" s="316" t="s">
        <v>2380</v>
      </c>
      <c r="B1164" s="313">
        <v>41585</v>
      </c>
      <c r="C1164" s="316" t="s">
        <v>2381</v>
      </c>
      <c r="D1164" s="314">
        <v>20</v>
      </c>
      <c r="E1164" s="314">
        <v>30</v>
      </c>
    </row>
    <row r="1165" spans="1:5" x14ac:dyDescent="0.25">
      <c r="A1165" s="316" t="s">
        <v>2380</v>
      </c>
      <c r="B1165" s="313">
        <v>41585</v>
      </c>
      <c r="C1165" s="316" t="s">
        <v>2381</v>
      </c>
      <c r="D1165" s="314">
        <v>30</v>
      </c>
      <c r="E1165" s="314">
        <v>60</v>
      </c>
    </row>
    <row r="1166" spans="1:5" x14ac:dyDescent="0.25">
      <c r="A1166" s="316" t="s">
        <v>2380</v>
      </c>
      <c r="B1166" s="313">
        <v>41585</v>
      </c>
      <c r="C1166" s="316" t="s">
        <v>2381</v>
      </c>
      <c r="D1166" s="314">
        <v>60</v>
      </c>
      <c r="E1166" s="314">
        <v>100</v>
      </c>
    </row>
    <row r="1167" spans="1:5" x14ac:dyDescent="0.25">
      <c r="A1167" s="316" t="s">
        <v>2382</v>
      </c>
      <c r="B1167" s="313">
        <v>41585</v>
      </c>
      <c r="C1167" s="316" t="s">
        <v>2383</v>
      </c>
      <c r="D1167" s="314">
        <v>0</v>
      </c>
      <c r="E1167" s="314">
        <v>5</v>
      </c>
    </row>
    <row r="1168" spans="1:5" x14ac:dyDescent="0.25">
      <c r="A1168" s="316" t="s">
        <v>2382</v>
      </c>
      <c r="B1168" s="313">
        <v>41585</v>
      </c>
      <c r="C1168" s="316" t="s">
        <v>2383</v>
      </c>
      <c r="D1168" s="314">
        <v>5</v>
      </c>
      <c r="E1168" s="314">
        <v>10</v>
      </c>
    </row>
    <row r="1169" spans="1:5" x14ac:dyDescent="0.25">
      <c r="A1169" s="316" t="s">
        <v>2382</v>
      </c>
      <c r="B1169" s="313">
        <v>41585</v>
      </c>
      <c r="C1169" s="316" t="s">
        <v>2383</v>
      </c>
      <c r="D1169" s="314">
        <v>10</v>
      </c>
      <c r="E1169" s="314">
        <v>20</v>
      </c>
    </row>
    <row r="1170" spans="1:5" x14ac:dyDescent="0.25">
      <c r="A1170" s="316" t="s">
        <v>2382</v>
      </c>
      <c r="B1170" s="313">
        <v>41585</v>
      </c>
      <c r="C1170" s="316" t="s">
        <v>2383</v>
      </c>
      <c r="D1170" s="314">
        <v>20</v>
      </c>
      <c r="E1170" s="314">
        <v>30</v>
      </c>
    </row>
    <row r="1171" spans="1:5" x14ac:dyDescent="0.25">
      <c r="A1171" s="316" t="s">
        <v>2382</v>
      </c>
      <c r="B1171" s="313">
        <v>41585</v>
      </c>
      <c r="C1171" s="316" t="s">
        <v>2383</v>
      </c>
      <c r="D1171" s="314">
        <v>30</v>
      </c>
      <c r="E1171" s="314">
        <v>60</v>
      </c>
    </row>
    <row r="1172" spans="1:5" x14ac:dyDescent="0.25">
      <c r="A1172" s="316" t="s">
        <v>2382</v>
      </c>
      <c r="B1172" s="313">
        <v>41585</v>
      </c>
      <c r="C1172" s="316" t="s">
        <v>2383</v>
      </c>
      <c r="D1172" s="314">
        <v>60</v>
      </c>
      <c r="E1172" s="314">
        <v>100</v>
      </c>
    </row>
    <row r="1173" spans="1:5" x14ac:dyDescent="0.25">
      <c r="A1173" s="316" t="s">
        <v>2384</v>
      </c>
      <c r="B1173" s="313">
        <v>41585</v>
      </c>
      <c r="C1173" s="316" t="s">
        <v>2385</v>
      </c>
      <c r="D1173" s="314">
        <v>0</v>
      </c>
      <c r="E1173" s="314">
        <v>5</v>
      </c>
    </row>
    <row r="1174" spans="1:5" x14ac:dyDescent="0.25">
      <c r="A1174" s="316" t="s">
        <v>2384</v>
      </c>
      <c r="B1174" s="313">
        <v>41585</v>
      </c>
      <c r="C1174" s="316" t="s">
        <v>2385</v>
      </c>
      <c r="D1174" s="314">
        <v>5</v>
      </c>
      <c r="E1174" s="314">
        <v>10</v>
      </c>
    </row>
    <row r="1175" spans="1:5" x14ac:dyDescent="0.25">
      <c r="A1175" s="316" t="s">
        <v>2384</v>
      </c>
      <c r="B1175" s="313">
        <v>41585</v>
      </c>
      <c r="C1175" s="316" t="s">
        <v>2385</v>
      </c>
      <c r="D1175" s="314">
        <v>10</v>
      </c>
      <c r="E1175" s="314">
        <v>20</v>
      </c>
    </row>
    <row r="1176" spans="1:5" x14ac:dyDescent="0.25">
      <c r="A1176" s="316" t="s">
        <v>2384</v>
      </c>
      <c r="B1176" s="313">
        <v>41585</v>
      </c>
      <c r="C1176" s="316" t="s">
        <v>2385</v>
      </c>
      <c r="D1176" s="314">
        <v>20</v>
      </c>
      <c r="E1176" s="314">
        <v>30</v>
      </c>
    </row>
    <row r="1177" spans="1:5" x14ac:dyDescent="0.25">
      <c r="A1177" s="316" t="s">
        <v>2384</v>
      </c>
      <c r="B1177" s="313">
        <v>41585</v>
      </c>
      <c r="C1177" s="316" t="s">
        <v>2385</v>
      </c>
      <c r="D1177" s="314">
        <v>30</v>
      </c>
      <c r="E1177" s="314">
        <v>60</v>
      </c>
    </row>
    <row r="1178" spans="1:5" x14ac:dyDescent="0.25">
      <c r="A1178" s="316" t="s">
        <v>2384</v>
      </c>
      <c r="B1178" s="313">
        <v>41585</v>
      </c>
      <c r="C1178" s="316" t="s">
        <v>2385</v>
      </c>
      <c r="D1178" s="314">
        <v>60</v>
      </c>
      <c r="E1178" s="314">
        <v>100</v>
      </c>
    </row>
    <row r="1179" spans="1:5" x14ac:dyDescent="0.25">
      <c r="A1179" s="316" t="s">
        <v>2386</v>
      </c>
      <c r="B1179" s="313">
        <v>41585</v>
      </c>
      <c r="C1179" s="316" t="s">
        <v>2387</v>
      </c>
      <c r="D1179" s="314">
        <v>0</v>
      </c>
      <c r="E1179" s="314">
        <v>5</v>
      </c>
    </row>
    <row r="1180" spans="1:5" x14ac:dyDescent="0.25">
      <c r="A1180" s="316" t="s">
        <v>2386</v>
      </c>
      <c r="B1180" s="313">
        <v>41585</v>
      </c>
      <c r="C1180" s="316" t="s">
        <v>2387</v>
      </c>
      <c r="D1180" s="314">
        <v>5</v>
      </c>
      <c r="E1180" s="314">
        <v>10</v>
      </c>
    </row>
    <row r="1181" spans="1:5" x14ac:dyDescent="0.25">
      <c r="A1181" s="316" t="s">
        <v>2386</v>
      </c>
      <c r="B1181" s="313">
        <v>41585</v>
      </c>
      <c r="C1181" s="316" t="s">
        <v>2387</v>
      </c>
      <c r="D1181" s="314">
        <v>10</v>
      </c>
      <c r="E1181" s="314">
        <v>20</v>
      </c>
    </row>
    <row r="1182" spans="1:5" x14ac:dyDescent="0.25">
      <c r="A1182" s="316" t="s">
        <v>2386</v>
      </c>
      <c r="B1182" s="313">
        <v>41585</v>
      </c>
      <c r="C1182" s="316" t="s">
        <v>2387</v>
      </c>
      <c r="D1182" s="314">
        <v>20</v>
      </c>
      <c r="E1182" s="314">
        <v>30</v>
      </c>
    </row>
    <row r="1183" spans="1:5" x14ac:dyDescent="0.25">
      <c r="A1183" s="316" t="s">
        <v>2386</v>
      </c>
      <c r="B1183" s="313">
        <v>41585</v>
      </c>
      <c r="C1183" s="316" t="s">
        <v>2387</v>
      </c>
      <c r="D1183" s="314">
        <v>30</v>
      </c>
      <c r="E1183" s="314">
        <v>60</v>
      </c>
    </row>
    <row r="1184" spans="1:5" x14ac:dyDescent="0.25">
      <c r="A1184" s="316" t="s">
        <v>2386</v>
      </c>
      <c r="B1184" s="313">
        <v>41585</v>
      </c>
      <c r="C1184" s="316" t="s">
        <v>2387</v>
      </c>
      <c r="D1184" s="314">
        <v>60</v>
      </c>
      <c r="E1184" s="314">
        <v>100</v>
      </c>
    </row>
    <row r="1185" spans="1:5" x14ac:dyDescent="0.25">
      <c r="A1185" s="316" t="s">
        <v>2388</v>
      </c>
      <c r="B1185" s="313">
        <v>41585</v>
      </c>
      <c r="C1185" s="316" t="s">
        <v>2389</v>
      </c>
      <c r="D1185" s="314">
        <v>0</v>
      </c>
      <c r="E1185" s="314">
        <v>5</v>
      </c>
    </row>
    <row r="1186" spans="1:5" x14ac:dyDescent="0.25">
      <c r="A1186" s="316" t="s">
        <v>2388</v>
      </c>
      <c r="B1186" s="313">
        <v>41585</v>
      </c>
      <c r="C1186" s="316" t="s">
        <v>2389</v>
      </c>
      <c r="D1186" s="314">
        <v>5</v>
      </c>
      <c r="E1186" s="314">
        <v>10</v>
      </c>
    </row>
    <row r="1187" spans="1:5" x14ac:dyDescent="0.25">
      <c r="A1187" s="316" t="s">
        <v>2388</v>
      </c>
      <c r="B1187" s="313">
        <v>41585</v>
      </c>
      <c r="C1187" s="316" t="s">
        <v>2389</v>
      </c>
      <c r="D1187" s="314">
        <v>10</v>
      </c>
      <c r="E1187" s="314">
        <v>20</v>
      </c>
    </row>
    <row r="1188" spans="1:5" x14ac:dyDescent="0.25">
      <c r="A1188" s="316" t="s">
        <v>2388</v>
      </c>
      <c r="B1188" s="313">
        <v>41585</v>
      </c>
      <c r="C1188" s="316" t="s">
        <v>2389</v>
      </c>
      <c r="D1188" s="314">
        <v>20</v>
      </c>
      <c r="E1188" s="314">
        <v>30</v>
      </c>
    </row>
    <row r="1189" spans="1:5" x14ac:dyDescent="0.25">
      <c r="A1189" s="316" t="s">
        <v>2388</v>
      </c>
      <c r="B1189" s="313">
        <v>41585</v>
      </c>
      <c r="C1189" s="316" t="s">
        <v>2389</v>
      </c>
      <c r="D1189" s="314">
        <v>30</v>
      </c>
      <c r="E1189" s="314">
        <v>60</v>
      </c>
    </row>
    <row r="1190" spans="1:5" x14ac:dyDescent="0.25">
      <c r="A1190" s="316" t="s">
        <v>2388</v>
      </c>
      <c r="B1190" s="313">
        <v>41585</v>
      </c>
      <c r="C1190" s="316" t="s">
        <v>2389</v>
      </c>
      <c r="D1190" s="314">
        <v>60</v>
      </c>
      <c r="E1190" s="314">
        <v>100</v>
      </c>
    </row>
    <row r="1191" spans="1:5" x14ac:dyDescent="0.25">
      <c r="A1191" s="316" t="s">
        <v>2390</v>
      </c>
      <c r="B1191" s="313">
        <v>41585</v>
      </c>
      <c r="C1191" s="316" t="s">
        <v>2391</v>
      </c>
      <c r="D1191" s="314">
        <v>0</v>
      </c>
      <c r="E1191" s="314">
        <v>5</v>
      </c>
    </row>
    <row r="1192" spans="1:5" x14ac:dyDescent="0.25">
      <c r="A1192" s="316" t="s">
        <v>2390</v>
      </c>
      <c r="B1192" s="313">
        <v>41585</v>
      </c>
      <c r="C1192" s="316" t="s">
        <v>2391</v>
      </c>
      <c r="D1192" s="314">
        <v>5</v>
      </c>
      <c r="E1192" s="314">
        <v>10</v>
      </c>
    </row>
    <row r="1193" spans="1:5" x14ac:dyDescent="0.25">
      <c r="A1193" s="316" t="s">
        <v>2390</v>
      </c>
      <c r="B1193" s="313">
        <v>41585</v>
      </c>
      <c r="C1193" s="316" t="s">
        <v>2391</v>
      </c>
      <c r="D1193" s="314">
        <v>10</v>
      </c>
      <c r="E1193" s="314">
        <v>20</v>
      </c>
    </row>
    <row r="1194" spans="1:5" x14ac:dyDescent="0.25">
      <c r="A1194" s="316" t="s">
        <v>2390</v>
      </c>
      <c r="B1194" s="313">
        <v>41585</v>
      </c>
      <c r="C1194" s="316" t="s">
        <v>2391</v>
      </c>
      <c r="D1194" s="314">
        <v>20</v>
      </c>
      <c r="E1194" s="314">
        <v>30</v>
      </c>
    </row>
    <row r="1195" spans="1:5" x14ac:dyDescent="0.25">
      <c r="A1195" s="316" t="s">
        <v>2390</v>
      </c>
      <c r="B1195" s="313">
        <v>41585</v>
      </c>
      <c r="C1195" s="316" t="s">
        <v>2391</v>
      </c>
      <c r="D1195" s="314">
        <v>30</v>
      </c>
      <c r="E1195" s="314">
        <v>60</v>
      </c>
    </row>
    <row r="1196" spans="1:5" x14ac:dyDescent="0.25">
      <c r="A1196" s="316" t="s">
        <v>2390</v>
      </c>
      <c r="B1196" s="313">
        <v>41585</v>
      </c>
      <c r="C1196" s="316" t="s">
        <v>2391</v>
      </c>
      <c r="D1196" s="314">
        <v>60</v>
      </c>
      <c r="E1196" s="314">
        <v>100</v>
      </c>
    </row>
    <row r="1197" spans="1:5" x14ac:dyDescent="0.25">
      <c r="A1197" s="316" t="s">
        <v>2392</v>
      </c>
      <c r="B1197" s="313">
        <v>41585</v>
      </c>
      <c r="C1197" s="316" t="s">
        <v>2393</v>
      </c>
      <c r="D1197" s="314">
        <v>0</v>
      </c>
      <c r="E1197" s="314">
        <v>5</v>
      </c>
    </row>
    <row r="1198" spans="1:5" x14ac:dyDescent="0.25">
      <c r="A1198" s="316" t="s">
        <v>2392</v>
      </c>
      <c r="B1198" s="313">
        <v>41585</v>
      </c>
      <c r="C1198" s="316" t="s">
        <v>2393</v>
      </c>
      <c r="D1198" s="314">
        <v>5</v>
      </c>
      <c r="E1198" s="314">
        <v>10</v>
      </c>
    </row>
    <row r="1199" spans="1:5" x14ac:dyDescent="0.25">
      <c r="A1199" s="316" t="s">
        <v>2392</v>
      </c>
      <c r="B1199" s="313">
        <v>41585</v>
      </c>
      <c r="C1199" s="316" t="s">
        <v>2393</v>
      </c>
      <c r="D1199" s="314">
        <v>10</v>
      </c>
      <c r="E1199" s="314">
        <v>20</v>
      </c>
    </row>
    <row r="1200" spans="1:5" x14ac:dyDescent="0.25">
      <c r="A1200" s="316" t="s">
        <v>2392</v>
      </c>
      <c r="B1200" s="313">
        <v>41585</v>
      </c>
      <c r="C1200" s="316" t="s">
        <v>2393</v>
      </c>
      <c r="D1200" s="314">
        <v>20</v>
      </c>
      <c r="E1200" s="314">
        <v>30</v>
      </c>
    </row>
    <row r="1201" spans="1:5" x14ac:dyDescent="0.25">
      <c r="A1201" s="316" t="s">
        <v>2392</v>
      </c>
      <c r="B1201" s="313">
        <v>41585</v>
      </c>
      <c r="C1201" s="316" t="s">
        <v>2393</v>
      </c>
      <c r="D1201" s="314">
        <v>30</v>
      </c>
      <c r="E1201" s="314">
        <v>60</v>
      </c>
    </row>
    <row r="1202" spans="1:5" x14ac:dyDescent="0.25">
      <c r="A1202" s="316" t="s">
        <v>2392</v>
      </c>
      <c r="B1202" s="313">
        <v>41585</v>
      </c>
      <c r="C1202" s="316" t="s">
        <v>2393</v>
      </c>
      <c r="D1202" s="314">
        <v>60</v>
      </c>
      <c r="E1202" s="314">
        <v>100</v>
      </c>
    </row>
    <row r="1203" spans="1:5" x14ac:dyDescent="0.25">
      <c r="A1203" s="316" t="s">
        <v>2394</v>
      </c>
      <c r="B1203" s="313">
        <v>41585</v>
      </c>
      <c r="C1203" s="316" t="s">
        <v>2395</v>
      </c>
      <c r="D1203" s="314">
        <v>0</v>
      </c>
      <c r="E1203" s="314">
        <v>5</v>
      </c>
    </row>
    <row r="1204" spans="1:5" x14ac:dyDescent="0.25">
      <c r="A1204" s="316" t="s">
        <v>2394</v>
      </c>
      <c r="B1204" s="313">
        <v>41585</v>
      </c>
      <c r="C1204" s="316" t="s">
        <v>2395</v>
      </c>
      <c r="D1204" s="314">
        <v>5</v>
      </c>
      <c r="E1204" s="314">
        <v>10</v>
      </c>
    </row>
    <row r="1205" spans="1:5" x14ac:dyDescent="0.25">
      <c r="A1205" s="316" t="s">
        <v>2394</v>
      </c>
      <c r="B1205" s="313">
        <v>41585</v>
      </c>
      <c r="C1205" s="316" t="s">
        <v>2395</v>
      </c>
      <c r="D1205" s="314">
        <v>10</v>
      </c>
      <c r="E1205" s="314">
        <v>20</v>
      </c>
    </row>
    <row r="1206" spans="1:5" x14ac:dyDescent="0.25">
      <c r="A1206" s="316" t="s">
        <v>2394</v>
      </c>
      <c r="B1206" s="313">
        <v>41585</v>
      </c>
      <c r="C1206" s="316" t="s">
        <v>2395</v>
      </c>
      <c r="D1206" s="314">
        <v>20</v>
      </c>
      <c r="E1206" s="314">
        <v>30</v>
      </c>
    </row>
    <row r="1207" spans="1:5" x14ac:dyDescent="0.25">
      <c r="A1207" s="316" t="s">
        <v>2394</v>
      </c>
      <c r="B1207" s="313">
        <v>41585</v>
      </c>
      <c r="C1207" s="316" t="s">
        <v>2395</v>
      </c>
      <c r="D1207" s="314">
        <v>30</v>
      </c>
      <c r="E1207" s="314">
        <v>60</v>
      </c>
    </row>
    <row r="1208" spans="1:5" x14ac:dyDescent="0.25">
      <c r="A1208" s="316" t="s">
        <v>2394</v>
      </c>
      <c r="B1208" s="313">
        <v>41585</v>
      </c>
      <c r="C1208" s="316" t="s">
        <v>2395</v>
      </c>
      <c r="D1208" s="314">
        <v>60</v>
      </c>
      <c r="E1208" s="314">
        <v>100</v>
      </c>
    </row>
    <row r="1209" spans="1:5" x14ac:dyDescent="0.25">
      <c r="A1209" s="316" t="s">
        <v>2396</v>
      </c>
      <c r="B1209" s="313">
        <v>41582</v>
      </c>
      <c r="C1209" s="316" t="s">
        <v>2397</v>
      </c>
      <c r="D1209" s="314">
        <v>0</v>
      </c>
      <c r="E1209" s="314">
        <v>5</v>
      </c>
    </row>
    <row r="1210" spans="1:5" x14ac:dyDescent="0.25">
      <c r="A1210" s="316" t="s">
        <v>2396</v>
      </c>
      <c r="B1210" s="313">
        <v>41582</v>
      </c>
      <c r="C1210" s="316" t="s">
        <v>2397</v>
      </c>
      <c r="D1210" s="314">
        <v>5</v>
      </c>
      <c r="E1210" s="314">
        <v>10</v>
      </c>
    </row>
    <row r="1211" spans="1:5" x14ac:dyDescent="0.25">
      <c r="A1211" s="316" t="s">
        <v>2396</v>
      </c>
      <c r="B1211" s="313">
        <v>41582</v>
      </c>
      <c r="C1211" s="316" t="s">
        <v>2397</v>
      </c>
      <c r="D1211" s="314">
        <v>10</v>
      </c>
      <c r="E1211" s="314">
        <v>20</v>
      </c>
    </row>
    <row r="1212" spans="1:5" x14ac:dyDescent="0.25">
      <c r="A1212" s="316" t="s">
        <v>2396</v>
      </c>
      <c r="B1212" s="313">
        <v>41582</v>
      </c>
      <c r="C1212" s="316" t="s">
        <v>2397</v>
      </c>
      <c r="D1212" s="314">
        <v>20</v>
      </c>
      <c r="E1212" s="314">
        <v>30</v>
      </c>
    </row>
    <row r="1213" spans="1:5" x14ac:dyDescent="0.25">
      <c r="A1213" s="316" t="s">
        <v>2396</v>
      </c>
      <c r="B1213" s="313">
        <v>41582</v>
      </c>
      <c r="C1213" s="316" t="s">
        <v>2397</v>
      </c>
      <c r="D1213" s="314">
        <v>30</v>
      </c>
      <c r="E1213" s="314">
        <v>60</v>
      </c>
    </row>
    <row r="1214" spans="1:5" x14ac:dyDescent="0.25">
      <c r="A1214" s="316" t="s">
        <v>2396</v>
      </c>
      <c r="B1214" s="313">
        <v>41582</v>
      </c>
      <c r="C1214" s="316" t="s">
        <v>2397</v>
      </c>
      <c r="D1214" s="314">
        <v>60</v>
      </c>
      <c r="E1214" s="314">
        <v>100</v>
      </c>
    </row>
    <row r="1215" spans="1:5" x14ac:dyDescent="0.25">
      <c r="A1215" s="316" t="s">
        <v>2398</v>
      </c>
      <c r="B1215" s="313">
        <v>41582</v>
      </c>
      <c r="C1215" s="316" t="s">
        <v>2399</v>
      </c>
      <c r="D1215" s="314">
        <v>0</v>
      </c>
      <c r="E1215" s="314">
        <v>5</v>
      </c>
    </row>
    <row r="1216" spans="1:5" x14ac:dyDescent="0.25">
      <c r="A1216" s="316" t="s">
        <v>2398</v>
      </c>
      <c r="B1216" s="313">
        <v>41582</v>
      </c>
      <c r="C1216" s="316" t="s">
        <v>2399</v>
      </c>
      <c r="D1216" s="314">
        <v>5</v>
      </c>
      <c r="E1216" s="314">
        <v>10</v>
      </c>
    </row>
    <row r="1217" spans="1:5" x14ac:dyDescent="0.25">
      <c r="A1217" s="316" t="s">
        <v>2398</v>
      </c>
      <c r="B1217" s="313">
        <v>41582</v>
      </c>
      <c r="C1217" s="316" t="s">
        <v>2399</v>
      </c>
      <c r="D1217" s="314">
        <v>10</v>
      </c>
      <c r="E1217" s="314">
        <v>20</v>
      </c>
    </row>
    <row r="1218" spans="1:5" x14ac:dyDescent="0.25">
      <c r="A1218" s="316" t="s">
        <v>2398</v>
      </c>
      <c r="B1218" s="313">
        <v>41582</v>
      </c>
      <c r="C1218" s="316" t="s">
        <v>2399</v>
      </c>
      <c r="D1218" s="314">
        <v>20</v>
      </c>
      <c r="E1218" s="314">
        <v>30</v>
      </c>
    </row>
    <row r="1219" spans="1:5" x14ac:dyDescent="0.25">
      <c r="A1219" s="316" t="s">
        <v>2398</v>
      </c>
      <c r="B1219" s="313">
        <v>41582</v>
      </c>
      <c r="C1219" s="316" t="s">
        <v>2399</v>
      </c>
      <c r="D1219" s="314">
        <v>30</v>
      </c>
      <c r="E1219" s="314">
        <v>60</v>
      </c>
    </row>
    <row r="1220" spans="1:5" x14ac:dyDescent="0.25">
      <c r="A1220" s="316" t="s">
        <v>2398</v>
      </c>
      <c r="B1220" s="313">
        <v>41582</v>
      </c>
      <c r="C1220" s="316" t="s">
        <v>2399</v>
      </c>
      <c r="D1220" s="314">
        <v>60</v>
      </c>
      <c r="E1220" s="314">
        <v>100</v>
      </c>
    </row>
    <row r="1221" spans="1:5" x14ac:dyDescent="0.25">
      <c r="A1221" s="316" t="s">
        <v>2400</v>
      </c>
      <c r="B1221" s="313">
        <v>41582</v>
      </c>
      <c r="C1221" s="316" t="s">
        <v>2401</v>
      </c>
      <c r="D1221" s="314">
        <v>0</v>
      </c>
      <c r="E1221" s="314">
        <v>5</v>
      </c>
    </row>
    <row r="1222" spans="1:5" x14ac:dyDescent="0.25">
      <c r="A1222" s="316" t="s">
        <v>2400</v>
      </c>
      <c r="B1222" s="313">
        <v>41582</v>
      </c>
      <c r="C1222" s="316" t="s">
        <v>2401</v>
      </c>
      <c r="D1222" s="314">
        <v>5</v>
      </c>
      <c r="E1222" s="314">
        <v>10</v>
      </c>
    </row>
    <row r="1223" spans="1:5" x14ac:dyDescent="0.25">
      <c r="A1223" s="316" t="s">
        <v>2400</v>
      </c>
      <c r="B1223" s="313">
        <v>41582</v>
      </c>
      <c r="C1223" s="316" t="s">
        <v>2401</v>
      </c>
      <c r="D1223" s="314">
        <v>10</v>
      </c>
      <c r="E1223" s="314">
        <v>20</v>
      </c>
    </row>
    <row r="1224" spans="1:5" x14ac:dyDescent="0.25">
      <c r="A1224" s="316" t="s">
        <v>2400</v>
      </c>
      <c r="B1224" s="313">
        <v>41582</v>
      </c>
      <c r="C1224" s="316" t="s">
        <v>2401</v>
      </c>
      <c r="D1224" s="314">
        <v>20</v>
      </c>
      <c r="E1224" s="314">
        <v>30</v>
      </c>
    </row>
    <row r="1225" spans="1:5" x14ac:dyDescent="0.25">
      <c r="A1225" s="316" t="s">
        <v>2400</v>
      </c>
      <c r="B1225" s="313">
        <v>41582</v>
      </c>
      <c r="C1225" s="316" t="s">
        <v>2401</v>
      </c>
      <c r="D1225" s="314">
        <v>30</v>
      </c>
      <c r="E1225" s="314">
        <v>60</v>
      </c>
    </row>
    <row r="1226" spans="1:5" x14ac:dyDescent="0.25">
      <c r="A1226" s="316" t="s">
        <v>2400</v>
      </c>
      <c r="B1226" s="313">
        <v>41582</v>
      </c>
      <c r="C1226" s="316" t="s">
        <v>2401</v>
      </c>
      <c r="D1226" s="314">
        <v>60</v>
      </c>
      <c r="E1226" s="314">
        <v>100</v>
      </c>
    </row>
    <row r="1227" spans="1:5" x14ac:dyDescent="0.25">
      <c r="A1227" s="316" t="s">
        <v>2402</v>
      </c>
      <c r="B1227" s="313">
        <v>41582</v>
      </c>
      <c r="C1227" s="316" t="s">
        <v>2403</v>
      </c>
      <c r="D1227" s="314">
        <v>0</v>
      </c>
      <c r="E1227" s="314">
        <v>5</v>
      </c>
    </row>
    <row r="1228" spans="1:5" x14ac:dyDescent="0.25">
      <c r="A1228" s="316" t="s">
        <v>2402</v>
      </c>
      <c r="B1228" s="313">
        <v>41582</v>
      </c>
      <c r="C1228" s="316" t="s">
        <v>2403</v>
      </c>
      <c r="D1228" s="314">
        <v>5</v>
      </c>
      <c r="E1228" s="314">
        <v>10</v>
      </c>
    </row>
    <row r="1229" spans="1:5" x14ac:dyDescent="0.25">
      <c r="A1229" s="316" t="s">
        <v>2402</v>
      </c>
      <c r="B1229" s="313">
        <v>41582</v>
      </c>
      <c r="C1229" s="316" t="s">
        <v>2403</v>
      </c>
      <c r="D1229" s="314">
        <v>10</v>
      </c>
      <c r="E1229" s="314">
        <v>20</v>
      </c>
    </row>
    <row r="1230" spans="1:5" x14ac:dyDescent="0.25">
      <c r="A1230" s="316" t="s">
        <v>2402</v>
      </c>
      <c r="B1230" s="313">
        <v>41582</v>
      </c>
      <c r="C1230" s="316" t="s">
        <v>2403</v>
      </c>
      <c r="D1230" s="314">
        <v>20</v>
      </c>
      <c r="E1230" s="314">
        <v>30</v>
      </c>
    </row>
    <row r="1231" spans="1:5" x14ac:dyDescent="0.25">
      <c r="A1231" s="316" t="s">
        <v>2402</v>
      </c>
      <c r="B1231" s="313">
        <v>41582</v>
      </c>
      <c r="C1231" s="316" t="s">
        <v>2403</v>
      </c>
      <c r="D1231" s="314">
        <v>30</v>
      </c>
      <c r="E1231" s="314">
        <v>60</v>
      </c>
    </row>
    <row r="1232" spans="1:5" x14ac:dyDescent="0.25">
      <c r="A1232" s="316" t="s">
        <v>2402</v>
      </c>
      <c r="B1232" s="313">
        <v>41582</v>
      </c>
      <c r="C1232" s="316" t="s">
        <v>2403</v>
      </c>
      <c r="D1232" s="314">
        <v>60</v>
      </c>
      <c r="E1232" s="314">
        <v>100</v>
      </c>
    </row>
    <row r="1233" spans="1:5" x14ac:dyDescent="0.25">
      <c r="A1233" s="316" t="s">
        <v>2404</v>
      </c>
      <c r="B1233" s="313">
        <v>41582</v>
      </c>
      <c r="C1233" s="316" t="s">
        <v>2405</v>
      </c>
      <c r="D1233" s="314">
        <v>0</v>
      </c>
      <c r="E1233" s="314">
        <v>5</v>
      </c>
    </row>
    <row r="1234" spans="1:5" x14ac:dyDescent="0.25">
      <c r="A1234" s="316" t="s">
        <v>2404</v>
      </c>
      <c r="B1234" s="313">
        <v>41582</v>
      </c>
      <c r="C1234" s="316" t="s">
        <v>2405</v>
      </c>
      <c r="D1234" s="314">
        <v>5</v>
      </c>
      <c r="E1234" s="314">
        <v>10</v>
      </c>
    </row>
    <row r="1235" spans="1:5" x14ac:dyDescent="0.25">
      <c r="A1235" s="316" t="s">
        <v>2404</v>
      </c>
      <c r="B1235" s="313">
        <v>41582</v>
      </c>
      <c r="C1235" s="316" t="s">
        <v>2405</v>
      </c>
      <c r="D1235" s="314">
        <v>10</v>
      </c>
      <c r="E1235" s="314">
        <v>20</v>
      </c>
    </row>
    <row r="1236" spans="1:5" x14ac:dyDescent="0.25">
      <c r="A1236" s="316" t="s">
        <v>2404</v>
      </c>
      <c r="B1236" s="313">
        <v>41582</v>
      </c>
      <c r="C1236" s="316" t="s">
        <v>2405</v>
      </c>
      <c r="D1236" s="314">
        <v>20</v>
      </c>
      <c r="E1236" s="314">
        <v>30</v>
      </c>
    </row>
    <row r="1237" spans="1:5" x14ac:dyDescent="0.25">
      <c r="A1237" s="316" t="s">
        <v>2404</v>
      </c>
      <c r="B1237" s="313">
        <v>41582</v>
      </c>
      <c r="C1237" s="316" t="s">
        <v>2405</v>
      </c>
      <c r="D1237" s="314">
        <v>30</v>
      </c>
      <c r="E1237" s="314">
        <v>60</v>
      </c>
    </row>
    <row r="1238" spans="1:5" x14ac:dyDescent="0.25">
      <c r="A1238" s="316" t="s">
        <v>2404</v>
      </c>
      <c r="B1238" s="313">
        <v>41582</v>
      </c>
      <c r="C1238" s="316" t="s">
        <v>2405</v>
      </c>
      <c r="D1238" s="314">
        <v>60</v>
      </c>
      <c r="E1238" s="314">
        <v>100</v>
      </c>
    </row>
    <row r="1239" spans="1:5" x14ac:dyDescent="0.25">
      <c r="A1239" s="316" t="s">
        <v>2406</v>
      </c>
      <c r="B1239" s="313">
        <v>41582</v>
      </c>
      <c r="C1239" s="316" t="s">
        <v>2407</v>
      </c>
      <c r="D1239" s="314">
        <v>0</v>
      </c>
      <c r="E1239" s="314">
        <v>5</v>
      </c>
    </row>
    <row r="1240" spans="1:5" x14ac:dyDescent="0.25">
      <c r="A1240" s="316" t="s">
        <v>2406</v>
      </c>
      <c r="B1240" s="313">
        <v>41582</v>
      </c>
      <c r="C1240" s="316" t="s">
        <v>2407</v>
      </c>
      <c r="D1240" s="314">
        <v>5</v>
      </c>
      <c r="E1240" s="314">
        <v>10</v>
      </c>
    </row>
    <row r="1241" spans="1:5" x14ac:dyDescent="0.25">
      <c r="A1241" s="316" t="s">
        <v>2406</v>
      </c>
      <c r="B1241" s="313">
        <v>41582</v>
      </c>
      <c r="C1241" s="316" t="s">
        <v>2407</v>
      </c>
      <c r="D1241" s="314">
        <v>10</v>
      </c>
      <c r="E1241" s="314">
        <v>20</v>
      </c>
    </row>
    <row r="1242" spans="1:5" x14ac:dyDescent="0.25">
      <c r="A1242" s="316" t="s">
        <v>2406</v>
      </c>
      <c r="B1242" s="313">
        <v>41582</v>
      </c>
      <c r="C1242" s="316" t="s">
        <v>2407</v>
      </c>
      <c r="D1242" s="314">
        <v>20</v>
      </c>
      <c r="E1242" s="314">
        <v>30</v>
      </c>
    </row>
    <row r="1243" spans="1:5" x14ac:dyDescent="0.25">
      <c r="A1243" s="316" t="s">
        <v>2406</v>
      </c>
      <c r="B1243" s="313">
        <v>41582</v>
      </c>
      <c r="C1243" s="316" t="s">
        <v>2407</v>
      </c>
      <c r="D1243" s="314">
        <v>30</v>
      </c>
      <c r="E1243" s="314">
        <v>60</v>
      </c>
    </row>
    <row r="1244" spans="1:5" x14ac:dyDescent="0.25">
      <c r="A1244" s="316" t="s">
        <v>2406</v>
      </c>
      <c r="B1244" s="313">
        <v>41582</v>
      </c>
      <c r="C1244" s="316" t="s">
        <v>2407</v>
      </c>
      <c r="D1244" s="314">
        <v>60</v>
      </c>
      <c r="E1244" s="314">
        <v>100</v>
      </c>
    </row>
    <row r="1245" spans="1:5" x14ac:dyDescent="0.25">
      <c r="A1245" s="316" t="s">
        <v>2408</v>
      </c>
      <c r="B1245" s="313">
        <v>41582</v>
      </c>
      <c r="C1245" s="316" t="s">
        <v>2409</v>
      </c>
      <c r="D1245" s="314">
        <v>0</v>
      </c>
      <c r="E1245" s="314">
        <v>5</v>
      </c>
    </row>
    <row r="1246" spans="1:5" x14ac:dyDescent="0.25">
      <c r="A1246" s="316" t="s">
        <v>2408</v>
      </c>
      <c r="B1246" s="313">
        <v>41582</v>
      </c>
      <c r="C1246" s="316" t="s">
        <v>2409</v>
      </c>
      <c r="D1246" s="314">
        <v>5</v>
      </c>
      <c r="E1246" s="314">
        <v>10</v>
      </c>
    </row>
    <row r="1247" spans="1:5" x14ac:dyDescent="0.25">
      <c r="A1247" s="316" t="s">
        <v>2408</v>
      </c>
      <c r="B1247" s="313">
        <v>41582</v>
      </c>
      <c r="C1247" s="316" t="s">
        <v>2409</v>
      </c>
      <c r="D1247" s="314">
        <v>10</v>
      </c>
      <c r="E1247" s="314">
        <v>20</v>
      </c>
    </row>
    <row r="1248" spans="1:5" x14ac:dyDescent="0.25">
      <c r="A1248" s="316" t="s">
        <v>2408</v>
      </c>
      <c r="B1248" s="313">
        <v>41582</v>
      </c>
      <c r="C1248" s="316" t="s">
        <v>2409</v>
      </c>
      <c r="D1248" s="314">
        <v>20</v>
      </c>
      <c r="E1248" s="314">
        <v>30</v>
      </c>
    </row>
    <row r="1249" spans="1:5" x14ac:dyDescent="0.25">
      <c r="A1249" s="316" t="s">
        <v>2408</v>
      </c>
      <c r="B1249" s="313">
        <v>41582</v>
      </c>
      <c r="C1249" s="316" t="s">
        <v>2409</v>
      </c>
      <c r="D1249" s="314">
        <v>30</v>
      </c>
      <c r="E1249" s="314">
        <v>60</v>
      </c>
    </row>
    <row r="1250" spans="1:5" x14ac:dyDescent="0.25">
      <c r="A1250" s="316" t="s">
        <v>2408</v>
      </c>
      <c r="B1250" s="313">
        <v>41582</v>
      </c>
      <c r="C1250" s="316" t="s">
        <v>2409</v>
      </c>
      <c r="D1250" s="314">
        <v>60</v>
      </c>
      <c r="E1250" s="314">
        <v>100</v>
      </c>
    </row>
    <row r="1251" spans="1:5" x14ac:dyDescent="0.25">
      <c r="A1251" s="316" t="s">
        <v>2410</v>
      </c>
      <c r="B1251" s="313">
        <v>41582</v>
      </c>
      <c r="C1251" s="316" t="s">
        <v>2411</v>
      </c>
      <c r="D1251" s="314">
        <v>0</v>
      </c>
      <c r="E1251" s="314">
        <v>5</v>
      </c>
    </row>
    <row r="1252" spans="1:5" x14ac:dyDescent="0.25">
      <c r="A1252" s="316" t="s">
        <v>2410</v>
      </c>
      <c r="B1252" s="313">
        <v>41582</v>
      </c>
      <c r="C1252" s="316" t="s">
        <v>2411</v>
      </c>
      <c r="D1252" s="314">
        <v>5</v>
      </c>
      <c r="E1252" s="314">
        <v>10</v>
      </c>
    </row>
    <row r="1253" spans="1:5" x14ac:dyDescent="0.25">
      <c r="A1253" s="316" t="s">
        <v>2410</v>
      </c>
      <c r="B1253" s="313">
        <v>41582</v>
      </c>
      <c r="C1253" s="316" t="s">
        <v>2411</v>
      </c>
      <c r="D1253" s="314">
        <v>10</v>
      </c>
      <c r="E1253" s="314">
        <v>20</v>
      </c>
    </row>
    <row r="1254" spans="1:5" x14ac:dyDescent="0.25">
      <c r="A1254" s="316" t="s">
        <v>2410</v>
      </c>
      <c r="B1254" s="313">
        <v>41582</v>
      </c>
      <c r="C1254" s="316" t="s">
        <v>2411</v>
      </c>
      <c r="D1254" s="314">
        <v>20</v>
      </c>
      <c r="E1254" s="314">
        <v>30</v>
      </c>
    </row>
    <row r="1255" spans="1:5" x14ac:dyDescent="0.25">
      <c r="A1255" s="316" t="s">
        <v>2410</v>
      </c>
      <c r="B1255" s="313">
        <v>41582</v>
      </c>
      <c r="C1255" s="316" t="s">
        <v>2411</v>
      </c>
      <c r="D1255" s="314">
        <v>30</v>
      </c>
      <c r="E1255" s="314">
        <v>60</v>
      </c>
    </row>
    <row r="1256" spans="1:5" x14ac:dyDescent="0.25">
      <c r="A1256" s="316" t="s">
        <v>2410</v>
      </c>
      <c r="B1256" s="313">
        <v>41582</v>
      </c>
      <c r="C1256" s="316" t="s">
        <v>2411</v>
      </c>
      <c r="D1256" s="314">
        <v>60</v>
      </c>
      <c r="E1256" s="314">
        <v>100</v>
      </c>
    </row>
    <row r="1257" spans="1:5" x14ac:dyDescent="0.25">
      <c r="A1257" s="316" t="s">
        <v>2412</v>
      </c>
      <c r="B1257" s="313">
        <v>41585</v>
      </c>
      <c r="C1257" s="316" t="s">
        <v>2381</v>
      </c>
      <c r="D1257" s="314">
        <v>0</v>
      </c>
      <c r="E1257" s="314">
        <v>5</v>
      </c>
    </row>
    <row r="1258" spans="1:5" x14ac:dyDescent="0.25">
      <c r="A1258" s="316" t="s">
        <v>2412</v>
      </c>
      <c r="B1258" s="313">
        <v>41585</v>
      </c>
      <c r="C1258" s="316" t="s">
        <v>2381</v>
      </c>
      <c r="D1258" s="314">
        <v>5</v>
      </c>
      <c r="E1258" s="314">
        <v>10</v>
      </c>
    </row>
    <row r="1259" spans="1:5" x14ac:dyDescent="0.25">
      <c r="A1259" s="316" t="s">
        <v>2412</v>
      </c>
      <c r="B1259" s="313">
        <v>41585</v>
      </c>
      <c r="C1259" s="316" t="s">
        <v>2381</v>
      </c>
      <c r="D1259" s="314">
        <v>10</v>
      </c>
      <c r="E1259" s="314">
        <v>20</v>
      </c>
    </row>
    <row r="1260" spans="1:5" x14ac:dyDescent="0.25">
      <c r="A1260" s="316" t="s">
        <v>2412</v>
      </c>
      <c r="B1260" s="313">
        <v>41585</v>
      </c>
      <c r="C1260" s="316" t="s">
        <v>2381</v>
      </c>
      <c r="D1260" s="314">
        <v>20</v>
      </c>
      <c r="E1260" s="314">
        <v>30</v>
      </c>
    </row>
    <row r="1261" spans="1:5" x14ac:dyDescent="0.25">
      <c r="A1261" s="316" t="s">
        <v>2412</v>
      </c>
      <c r="B1261" s="313">
        <v>41585</v>
      </c>
      <c r="C1261" s="316" t="s">
        <v>2381</v>
      </c>
      <c r="D1261" s="314">
        <v>30</v>
      </c>
      <c r="E1261" s="314">
        <v>60</v>
      </c>
    </row>
    <row r="1262" spans="1:5" x14ac:dyDescent="0.25">
      <c r="A1262" s="316" t="s">
        <v>2412</v>
      </c>
      <c r="B1262" s="313">
        <v>41585</v>
      </c>
      <c r="C1262" s="316" t="s">
        <v>2381</v>
      </c>
      <c r="D1262" s="314">
        <v>60</v>
      </c>
      <c r="E1262" s="314">
        <v>100</v>
      </c>
    </row>
    <row r="1263" spans="1:5" x14ac:dyDescent="0.25">
      <c r="A1263" s="316" t="s">
        <v>2413</v>
      </c>
      <c r="B1263" s="313">
        <v>41585</v>
      </c>
      <c r="C1263" s="316" t="s">
        <v>2389</v>
      </c>
      <c r="D1263" s="314">
        <v>0</v>
      </c>
      <c r="E1263" s="314">
        <v>5</v>
      </c>
    </row>
    <row r="1264" spans="1:5" x14ac:dyDescent="0.25">
      <c r="A1264" s="316" t="s">
        <v>2413</v>
      </c>
      <c r="B1264" s="313">
        <v>41585</v>
      </c>
      <c r="C1264" s="316" t="s">
        <v>2389</v>
      </c>
      <c r="D1264" s="314">
        <v>5</v>
      </c>
      <c r="E1264" s="314">
        <v>10</v>
      </c>
    </row>
    <row r="1265" spans="1:5" x14ac:dyDescent="0.25">
      <c r="A1265" s="316" t="s">
        <v>2413</v>
      </c>
      <c r="B1265" s="313">
        <v>41585</v>
      </c>
      <c r="C1265" s="316" t="s">
        <v>2389</v>
      </c>
      <c r="D1265" s="314">
        <v>10</v>
      </c>
      <c r="E1265" s="314">
        <v>20</v>
      </c>
    </row>
    <row r="1266" spans="1:5" x14ac:dyDescent="0.25">
      <c r="A1266" s="316" t="s">
        <v>2413</v>
      </c>
      <c r="B1266" s="313">
        <v>41585</v>
      </c>
      <c r="C1266" s="316" t="s">
        <v>2389</v>
      </c>
      <c r="D1266" s="314">
        <v>20</v>
      </c>
      <c r="E1266" s="314">
        <v>30</v>
      </c>
    </row>
    <row r="1267" spans="1:5" x14ac:dyDescent="0.25">
      <c r="A1267" s="316" t="s">
        <v>2413</v>
      </c>
      <c r="B1267" s="313">
        <v>41585</v>
      </c>
      <c r="C1267" s="316" t="s">
        <v>2389</v>
      </c>
      <c r="D1267" s="314">
        <v>30</v>
      </c>
      <c r="E1267" s="314">
        <v>60</v>
      </c>
    </row>
    <row r="1268" spans="1:5" x14ac:dyDescent="0.25">
      <c r="A1268" s="316" t="s">
        <v>2413</v>
      </c>
      <c r="B1268" s="313">
        <v>41585</v>
      </c>
      <c r="C1268" s="316" t="s">
        <v>2389</v>
      </c>
      <c r="D1268" s="314">
        <v>60</v>
      </c>
      <c r="E1268" s="314">
        <v>100</v>
      </c>
    </row>
    <row r="1269" spans="1:5" x14ac:dyDescent="0.25">
      <c r="A1269" s="316" t="s">
        <v>2414</v>
      </c>
      <c r="B1269" s="313">
        <v>41585</v>
      </c>
      <c r="C1269" s="316" t="s">
        <v>2387</v>
      </c>
      <c r="D1269" s="314">
        <v>0</v>
      </c>
      <c r="E1269" s="314">
        <v>5</v>
      </c>
    </row>
    <row r="1270" spans="1:5" x14ac:dyDescent="0.25">
      <c r="A1270" s="316" t="s">
        <v>2414</v>
      </c>
      <c r="B1270" s="313">
        <v>41585</v>
      </c>
      <c r="C1270" s="316" t="s">
        <v>2387</v>
      </c>
      <c r="D1270" s="314">
        <v>5</v>
      </c>
      <c r="E1270" s="314">
        <v>10</v>
      </c>
    </row>
    <row r="1271" spans="1:5" x14ac:dyDescent="0.25">
      <c r="A1271" s="316" t="s">
        <v>2414</v>
      </c>
      <c r="B1271" s="313">
        <v>41585</v>
      </c>
      <c r="C1271" s="316" t="s">
        <v>2387</v>
      </c>
      <c r="D1271" s="314">
        <v>10</v>
      </c>
      <c r="E1271" s="314">
        <v>20</v>
      </c>
    </row>
    <row r="1272" spans="1:5" x14ac:dyDescent="0.25">
      <c r="A1272" s="316" t="s">
        <v>2414</v>
      </c>
      <c r="B1272" s="313">
        <v>41585</v>
      </c>
      <c r="C1272" s="316" t="s">
        <v>2387</v>
      </c>
      <c r="D1272" s="314">
        <v>20</v>
      </c>
      <c r="E1272" s="314">
        <v>30</v>
      </c>
    </row>
    <row r="1273" spans="1:5" x14ac:dyDescent="0.25">
      <c r="A1273" s="316" t="s">
        <v>2414</v>
      </c>
      <c r="B1273" s="313">
        <v>41585</v>
      </c>
      <c r="C1273" s="316" t="s">
        <v>2387</v>
      </c>
      <c r="D1273" s="314">
        <v>30</v>
      </c>
      <c r="E1273" s="314">
        <v>60</v>
      </c>
    </row>
    <row r="1274" spans="1:5" x14ac:dyDescent="0.25">
      <c r="A1274" s="316" t="s">
        <v>2414</v>
      </c>
      <c r="B1274" s="313">
        <v>41585</v>
      </c>
      <c r="C1274" s="316" t="s">
        <v>2387</v>
      </c>
      <c r="D1274" s="314">
        <v>60</v>
      </c>
      <c r="E1274" s="314">
        <v>100</v>
      </c>
    </row>
    <row r="1275" spans="1:5" x14ac:dyDescent="0.25">
      <c r="A1275" s="316" t="s">
        <v>2415</v>
      </c>
      <c r="B1275" s="313">
        <v>41585</v>
      </c>
      <c r="C1275" s="316" t="s">
        <v>2391</v>
      </c>
      <c r="D1275" s="314">
        <v>0</v>
      </c>
      <c r="E1275" s="314">
        <v>5</v>
      </c>
    </row>
    <row r="1276" spans="1:5" x14ac:dyDescent="0.25">
      <c r="A1276" s="316" t="s">
        <v>2415</v>
      </c>
      <c r="B1276" s="313">
        <v>41585</v>
      </c>
      <c r="C1276" s="316" t="s">
        <v>2391</v>
      </c>
      <c r="D1276" s="314">
        <v>5</v>
      </c>
      <c r="E1276" s="314">
        <v>10</v>
      </c>
    </row>
    <row r="1277" spans="1:5" x14ac:dyDescent="0.25">
      <c r="A1277" s="316" t="s">
        <v>2415</v>
      </c>
      <c r="B1277" s="313">
        <v>41585</v>
      </c>
      <c r="C1277" s="316" t="s">
        <v>2391</v>
      </c>
      <c r="D1277" s="314">
        <v>10</v>
      </c>
      <c r="E1277" s="314">
        <v>20</v>
      </c>
    </row>
    <row r="1278" spans="1:5" x14ac:dyDescent="0.25">
      <c r="A1278" s="316" t="s">
        <v>2415</v>
      </c>
      <c r="B1278" s="313">
        <v>41585</v>
      </c>
      <c r="C1278" s="316" t="s">
        <v>2391</v>
      </c>
      <c r="D1278" s="314">
        <v>20</v>
      </c>
      <c r="E1278" s="314">
        <v>30</v>
      </c>
    </row>
    <row r="1279" spans="1:5" x14ac:dyDescent="0.25">
      <c r="A1279" s="316" t="s">
        <v>2415</v>
      </c>
      <c r="B1279" s="313">
        <v>41585</v>
      </c>
      <c r="C1279" s="316" t="s">
        <v>2391</v>
      </c>
      <c r="D1279" s="314">
        <v>30</v>
      </c>
      <c r="E1279" s="314">
        <v>60</v>
      </c>
    </row>
    <row r="1280" spans="1:5" x14ac:dyDescent="0.25">
      <c r="A1280" s="316" t="s">
        <v>2415</v>
      </c>
      <c r="B1280" s="313">
        <v>41585</v>
      </c>
      <c r="C1280" s="316" t="s">
        <v>2391</v>
      </c>
      <c r="D1280" s="314">
        <v>60</v>
      </c>
      <c r="E1280" s="314">
        <v>100</v>
      </c>
    </row>
    <row r="1281" spans="1:5" x14ac:dyDescent="0.25">
      <c r="A1281" s="316" t="s">
        <v>2416</v>
      </c>
      <c r="B1281" s="313">
        <v>41585</v>
      </c>
      <c r="C1281" s="316" t="s">
        <v>2393</v>
      </c>
      <c r="D1281" s="314">
        <v>0</v>
      </c>
      <c r="E1281" s="314">
        <v>5</v>
      </c>
    </row>
    <row r="1282" spans="1:5" x14ac:dyDescent="0.25">
      <c r="A1282" s="316" t="s">
        <v>2416</v>
      </c>
      <c r="B1282" s="313">
        <v>41585</v>
      </c>
      <c r="C1282" s="316" t="s">
        <v>2393</v>
      </c>
      <c r="D1282" s="314">
        <v>5</v>
      </c>
      <c r="E1282" s="314">
        <v>10</v>
      </c>
    </row>
    <row r="1283" spans="1:5" x14ac:dyDescent="0.25">
      <c r="A1283" s="316" t="s">
        <v>2416</v>
      </c>
      <c r="B1283" s="313">
        <v>41585</v>
      </c>
      <c r="C1283" s="316" t="s">
        <v>2393</v>
      </c>
      <c r="D1283" s="314">
        <v>10</v>
      </c>
      <c r="E1283" s="314">
        <v>20</v>
      </c>
    </row>
    <row r="1284" spans="1:5" x14ac:dyDescent="0.25">
      <c r="A1284" s="316" t="s">
        <v>2416</v>
      </c>
      <c r="B1284" s="313">
        <v>41585</v>
      </c>
      <c r="C1284" s="316" t="s">
        <v>2393</v>
      </c>
      <c r="D1284" s="314">
        <v>20</v>
      </c>
      <c r="E1284" s="314">
        <v>30</v>
      </c>
    </row>
    <row r="1285" spans="1:5" x14ac:dyDescent="0.25">
      <c r="A1285" s="316" t="s">
        <v>2416</v>
      </c>
      <c r="B1285" s="313">
        <v>41585</v>
      </c>
      <c r="C1285" s="316" t="s">
        <v>2393</v>
      </c>
      <c r="D1285" s="314">
        <v>30</v>
      </c>
      <c r="E1285" s="314">
        <v>60</v>
      </c>
    </row>
    <row r="1286" spans="1:5" x14ac:dyDescent="0.25">
      <c r="A1286" s="316" t="s">
        <v>2416</v>
      </c>
      <c r="B1286" s="313">
        <v>41585</v>
      </c>
      <c r="C1286" s="316" t="s">
        <v>2393</v>
      </c>
      <c r="D1286" s="314">
        <v>60</v>
      </c>
      <c r="E1286" s="314">
        <v>100</v>
      </c>
    </row>
    <row r="1287" spans="1:5" x14ac:dyDescent="0.25">
      <c r="A1287" s="316" t="s">
        <v>2417</v>
      </c>
      <c r="B1287" s="313">
        <v>41585</v>
      </c>
      <c r="C1287" s="316" t="s">
        <v>2395</v>
      </c>
      <c r="D1287" s="314">
        <v>0</v>
      </c>
      <c r="E1287" s="314">
        <v>5</v>
      </c>
    </row>
    <row r="1288" spans="1:5" x14ac:dyDescent="0.25">
      <c r="A1288" s="316" t="s">
        <v>2417</v>
      </c>
      <c r="B1288" s="313">
        <v>41585</v>
      </c>
      <c r="C1288" s="316" t="s">
        <v>2395</v>
      </c>
      <c r="D1288" s="314">
        <v>5</v>
      </c>
      <c r="E1288" s="314">
        <v>10</v>
      </c>
    </row>
    <row r="1289" spans="1:5" x14ac:dyDescent="0.25">
      <c r="A1289" s="316" t="s">
        <v>2417</v>
      </c>
      <c r="B1289" s="313">
        <v>41585</v>
      </c>
      <c r="C1289" s="316" t="s">
        <v>2395</v>
      </c>
      <c r="D1289" s="314">
        <v>10</v>
      </c>
      <c r="E1289" s="314">
        <v>20</v>
      </c>
    </row>
    <row r="1290" spans="1:5" x14ac:dyDescent="0.25">
      <c r="A1290" s="316" t="s">
        <v>2417</v>
      </c>
      <c r="B1290" s="313">
        <v>41585</v>
      </c>
      <c r="C1290" s="316" t="s">
        <v>2395</v>
      </c>
      <c r="D1290" s="314">
        <v>20</v>
      </c>
      <c r="E1290" s="314">
        <v>30</v>
      </c>
    </row>
    <row r="1291" spans="1:5" x14ac:dyDescent="0.25">
      <c r="A1291" s="316" t="s">
        <v>2417</v>
      </c>
      <c r="B1291" s="313">
        <v>41585</v>
      </c>
      <c r="C1291" s="316" t="s">
        <v>2395</v>
      </c>
      <c r="D1291" s="314">
        <v>30</v>
      </c>
      <c r="E1291" s="314">
        <v>60</v>
      </c>
    </row>
    <row r="1292" spans="1:5" x14ac:dyDescent="0.25">
      <c r="A1292" s="316" t="s">
        <v>2417</v>
      </c>
      <c r="B1292" s="313">
        <v>41585</v>
      </c>
      <c r="C1292" s="316" t="s">
        <v>2395</v>
      </c>
      <c r="D1292" s="314">
        <v>60</v>
      </c>
      <c r="E1292" s="314">
        <v>100</v>
      </c>
    </row>
    <row r="1293" spans="1:5" x14ac:dyDescent="0.25">
      <c r="A1293" s="316" t="s">
        <v>2418</v>
      </c>
      <c r="B1293" s="313">
        <v>41585</v>
      </c>
      <c r="C1293" s="316" t="s">
        <v>2385</v>
      </c>
      <c r="D1293" s="314">
        <v>0</v>
      </c>
      <c r="E1293" s="314">
        <v>5</v>
      </c>
    </row>
    <row r="1294" spans="1:5" x14ac:dyDescent="0.25">
      <c r="A1294" s="316" t="s">
        <v>2418</v>
      </c>
      <c r="B1294" s="313">
        <v>41585</v>
      </c>
      <c r="C1294" s="316" t="s">
        <v>2385</v>
      </c>
      <c r="D1294" s="314">
        <v>5</v>
      </c>
      <c r="E1294" s="314">
        <v>10</v>
      </c>
    </row>
    <row r="1295" spans="1:5" x14ac:dyDescent="0.25">
      <c r="A1295" s="316" t="s">
        <v>2418</v>
      </c>
      <c r="B1295" s="313">
        <v>41585</v>
      </c>
      <c r="C1295" s="316" t="s">
        <v>2385</v>
      </c>
      <c r="D1295" s="314">
        <v>10</v>
      </c>
      <c r="E1295" s="314">
        <v>20</v>
      </c>
    </row>
    <row r="1296" spans="1:5" x14ac:dyDescent="0.25">
      <c r="A1296" s="316" t="s">
        <v>2418</v>
      </c>
      <c r="B1296" s="313">
        <v>41585</v>
      </c>
      <c r="C1296" s="316" t="s">
        <v>2385</v>
      </c>
      <c r="D1296" s="314">
        <v>20</v>
      </c>
      <c r="E1296" s="314">
        <v>30</v>
      </c>
    </row>
    <row r="1297" spans="1:5" x14ac:dyDescent="0.25">
      <c r="A1297" s="316" t="s">
        <v>2418</v>
      </c>
      <c r="B1297" s="313">
        <v>41585</v>
      </c>
      <c r="C1297" s="316" t="s">
        <v>2385</v>
      </c>
      <c r="D1297" s="314">
        <v>30</v>
      </c>
      <c r="E1297" s="314">
        <v>60</v>
      </c>
    </row>
    <row r="1298" spans="1:5" x14ac:dyDescent="0.25">
      <c r="A1298" s="316" t="s">
        <v>2418</v>
      </c>
      <c r="B1298" s="313">
        <v>41585</v>
      </c>
      <c r="C1298" s="316" t="s">
        <v>2385</v>
      </c>
      <c r="D1298" s="314">
        <v>60</v>
      </c>
      <c r="E1298" s="314">
        <v>100</v>
      </c>
    </row>
    <row r="1299" spans="1:5" x14ac:dyDescent="0.25">
      <c r="A1299" s="316" t="s">
        <v>2419</v>
      </c>
      <c r="B1299" s="313">
        <v>41585</v>
      </c>
      <c r="C1299" s="316" t="s">
        <v>2383</v>
      </c>
      <c r="D1299" s="314">
        <v>0</v>
      </c>
      <c r="E1299" s="314">
        <v>5</v>
      </c>
    </row>
    <row r="1300" spans="1:5" x14ac:dyDescent="0.25">
      <c r="A1300" s="316" t="s">
        <v>2419</v>
      </c>
      <c r="B1300" s="313">
        <v>41585</v>
      </c>
      <c r="C1300" s="316" t="s">
        <v>2383</v>
      </c>
      <c r="D1300" s="314">
        <v>5</v>
      </c>
      <c r="E1300" s="314">
        <v>10</v>
      </c>
    </row>
    <row r="1301" spans="1:5" x14ac:dyDescent="0.25">
      <c r="A1301" s="316" t="s">
        <v>2419</v>
      </c>
      <c r="B1301" s="313">
        <v>41585</v>
      </c>
      <c r="C1301" s="316" t="s">
        <v>2383</v>
      </c>
      <c r="D1301" s="314">
        <v>10</v>
      </c>
      <c r="E1301" s="314">
        <v>20</v>
      </c>
    </row>
    <row r="1302" spans="1:5" x14ac:dyDescent="0.25">
      <c r="A1302" s="316" t="s">
        <v>2419</v>
      </c>
      <c r="B1302" s="313">
        <v>41585</v>
      </c>
      <c r="C1302" s="316" t="s">
        <v>2383</v>
      </c>
      <c r="D1302" s="314">
        <v>20</v>
      </c>
      <c r="E1302" s="314">
        <v>30</v>
      </c>
    </row>
    <row r="1303" spans="1:5" x14ac:dyDescent="0.25">
      <c r="A1303" s="316" t="s">
        <v>2419</v>
      </c>
      <c r="B1303" s="313">
        <v>41585</v>
      </c>
      <c r="C1303" s="316" t="s">
        <v>2383</v>
      </c>
      <c r="D1303" s="314">
        <v>30</v>
      </c>
      <c r="E1303" s="314">
        <v>60</v>
      </c>
    </row>
    <row r="1304" spans="1:5" x14ac:dyDescent="0.25">
      <c r="A1304" s="316" t="s">
        <v>2419</v>
      </c>
      <c r="B1304" s="313">
        <v>41585</v>
      </c>
      <c r="C1304" s="316" t="s">
        <v>2383</v>
      </c>
      <c r="D1304" s="314">
        <v>60</v>
      </c>
      <c r="E1304" s="314">
        <v>100</v>
      </c>
    </row>
    <row r="1305" spans="1:5" x14ac:dyDescent="0.25">
      <c r="A1305" s="316" t="s">
        <v>2420</v>
      </c>
      <c r="B1305" s="313">
        <v>41583</v>
      </c>
      <c r="C1305" s="316" t="s">
        <v>2411</v>
      </c>
      <c r="D1305" s="314">
        <v>0</v>
      </c>
      <c r="E1305" s="314">
        <v>5</v>
      </c>
    </row>
    <row r="1306" spans="1:5" x14ac:dyDescent="0.25">
      <c r="A1306" s="316" t="s">
        <v>2420</v>
      </c>
      <c r="B1306" s="313">
        <v>41583</v>
      </c>
      <c r="C1306" s="316" t="s">
        <v>2411</v>
      </c>
      <c r="D1306" s="314">
        <v>5</v>
      </c>
      <c r="E1306" s="314">
        <v>10</v>
      </c>
    </row>
    <row r="1307" spans="1:5" x14ac:dyDescent="0.25">
      <c r="A1307" s="316" t="s">
        <v>2420</v>
      </c>
      <c r="B1307" s="313">
        <v>41583</v>
      </c>
      <c r="C1307" s="316" t="s">
        <v>2411</v>
      </c>
      <c r="D1307" s="314">
        <v>10</v>
      </c>
      <c r="E1307" s="314">
        <v>20</v>
      </c>
    </row>
    <row r="1308" spans="1:5" x14ac:dyDescent="0.25">
      <c r="A1308" s="316" t="s">
        <v>2420</v>
      </c>
      <c r="B1308" s="313">
        <v>41583</v>
      </c>
      <c r="C1308" s="316" t="s">
        <v>2411</v>
      </c>
      <c r="D1308" s="314">
        <v>20</v>
      </c>
      <c r="E1308" s="314">
        <v>30</v>
      </c>
    </row>
    <row r="1309" spans="1:5" x14ac:dyDescent="0.25">
      <c r="A1309" s="316" t="s">
        <v>2420</v>
      </c>
      <c r="B1309" s="313">
        <v>41583</v>
      </c>
      <c r="C1309" s="316" t="s">
        <v>2411</v>
      </c>
      <c r="D1309" s="314">
        <v>30</v>
      </c>
      <c r="E1309" s="314">
        <v>60</v>
      </c>
    </row>
    <row r="1310" spans="1:5" x14ac:dyDescent="0.25">
      <c r="A1310" s="316" t="s">
        <v>2420</v>
      </c>
      <c r="B1310" s="313">
        <v>41583</v>
      </c>
      <c r="C1310" s="316" t="s">
        <v>2411</v>
      </c>
      <c r="D1310" s="314">
        <v>60</v>
      </c>
      <c r="E1310" s="314">
        <v>100</v>
      </c>
    </row>
    <row r="1311" spans="1:5" x14ac:dyDescent="0.25">
      <c r="A1311" s="316" t="s">
        <v>2421</v>
      </c>
      <c r="B1311" s="313">
        <v>41583</v>
      </c>
      <c r="C1311" s="316" t="s">
        <v>2407</v>
      </c>
      <c r="D1311" s="314">
        <v>0</v>
      </c>
      <c r="E1311" s="314">
        <v>5</v>
      </c>
    </row>
    <row r="1312" spans="1:5" x14ac:dyDescent="0.25">
      <c r="A1312" s="316" t="s">
        <v>2421</v>
      </c>
      <c r="B1312" s="313">
        <v>41583</v>
      </c>
      <c r="C1312" s="316" t="s">
        <v>2407</v>
      </c>
      <c r="D1312" s="314">
        <v>5</v>
      </c>
      <c r="E1312" s="314">
        <v>10</v>
      </c>
    </row>
    <row r="1313" spans="1:5" x14ac:dyDescent="0.25">
      <c r="A1313" s="316" t="s">
        <v>2421</v>
      </c>
      <c r="B1313" s="313">
        <v>41583</v>
      </c>
      <c r="C1313" s="316" t="s">
        <v>2407</v>
      </c>
      <c r="D1313" s="314">
        <v>10</v>
      </c>
      <c r="E1313" s="314">
        <v>20</v>
      </c>
    </row>
    <row r="1314" spans="1:5" x14ac:dyDescent="0.25">
      <c r="A1314" s="316" t="s">
        <v>2421</v>
      </c>
      <c r="B1314" s="313">
        <v>41583</v>
      </c>
      <c r="C1314" s="316" t="s">
        <v>2407</v>
      </c>
      <c r="D1314" s="314">
        <v>20</v>
      </c>
      <c r="E1314" s="314">
        <v>30</v>
      </c>
    </row>
    <row r="1315" spans="1:5" x14ac:dyDescent="0.25">
      <c r="A1315" s="316" t="s">
        <v>2421</v>
      </c>
      <c r="B1315" s="313">
        <v>41583</v>
      </c>
      <c r="C1315" s="316" t="s">
        <v>2407</v>
      </c>
      <c r="D1315" s="314">
        <v>30</v>
      </c>
      <c r="E1315" s="314">
        <v>60</v>
      </c>
    </row>
    <row r="1316" spans="1:5" x14ac:dyDescent="0.25">
      <c r="A1316" s="316" t="s">
        <v>2421</v>
      </c>
      <c r="B1316" s="313">
        <v>41583</v>
      </c>
      <c r="C1316" s="316" t="s">
        <v>2407</v>
      </c>
      <c r="D1316" s="314">
        <v>60</v>
      </c>
      <c r="E1316" s="314">
        <v>100</v>
      </c>
    </row>
    <row r="1317" spans="1:5" x14ac:dyDescent="0.25">
      <c r="A1317" s="316" t="s">
        <v>2422</v>
      </c>
      <c r="B1317" s="313">
        <v>41583</v>
      </c>
      <c r="C1317" s="316" t="s">
        <v>2409</v>
      </c>
      <c r="D1317" s="314">
        <v>0</v>
      </c>
      <c r="E1317" s="314">
        <v>5</v>
      </c>
    </row>
    <row r="1318" spans="1:5" x14ac:dyDescent="0.25">
      <c r="A1318" s="316" t="s">
        <v>2422</v>
      </c>
      <c r="B1318" s="313">
        <v>41583</v>
      </c>
      <c r="C1318" s="316" t="s">
        <v>2409</v>
      </c>
      <c r="D1318" s="314">
        <v>5</v>
      </c>
      <c r="E1318" s="314">
        <v>10</v>
      </c>
    </row>
    <row r="1319" spans="1:5" x14ac:dyDescent="0.25">
      <c r="A1319" s="316" t="s">
        <v>2422</v>
      </c>
      <c r="B1319" s="313">
        <v>41583</v>
      </c>
      <c r="C1319" s="316" t="s">
        <v>2409</v>
      </c>
      <c r="D1319" s="314">
        <v>10</v>
      </c>
      <c r="E1319" s="314">
        <v>20</v>
      </c>
    </row>
    <row r="1320" spans="1:5" x14ac:dyDescent="0.25">
      <c r="A1320" s="316" t="s">
        <v>2422</v>
      </c>
      <c r="B1320" s="313">
        <v>41583</v>
      </c>
      <c r="C1320" s="316" t="s">
        <v>2409</v>
      </c>
      <c r="D1320" s="314">
        <v>20</v>
      </c>
      <c r="E1320" s="314">
        <v>30</v>
      </c>
    </row>
    <row r="1321" spans="1:5" x14ac:dyDescent="0.25">
      <c r="A1321" s="316" t="s">
        <v>2422</v>
      </c>
      <c r="B1321" s="313">
        <v>41583</v>
      </c>
      <c r="C1321" s="316" t="s">
        <v>2409</v>
      </c>
      <c r="D1321" s="314">
        <v>30</v>
      </c>
      <c r="E1321" s="314">
        <v>60</v>
      </c>
    </row>
    <row r="1322" spans="1:5" x14ac:dyDescent="0.25">
      <c r="A1322" s="316" t="s">
        <v>2422</v>
      </c>
      <c r="B1322" s="313">
        <v>41583</v>
      </c>
      <c r="C1322" s="316" t="s">
        <v>2409</v>
      </c>
      <c r="D1322" s="314">
        <v>60</v>
      </c>
      <c r="E1322" s="314">
        <v>100</v>
      </c>
    </row>
    <row r="1323" spans="1:5" x14ac:dyDescent="0.25">
      <c r="A1323" s="316" t="s">
        <v>2423</v>
      </c>
      <c r="B1323" s="313">
        <v>41583</v>
      </c>
      <c r="C1323" s="316" t="s">
        <v>2405</v>
      </c>
      <c r="D1323" s="314">
        <v>0</v>
      </c>
      <c r="E1323" s="314">
        <v>5</v>
      </c>
    </row>
    <row r="1324" spans="1:5" x14ac:dyDescent="0.25">
      <c r="A1324" s="316" t="s">
        <v>2423</v>
      </c>
      <c r="B1324" s="313">
        <v>41583</v>
      </c>
      <c r="C1324" s="316" t="s">
        <v>2405</v>
      </c>
      <c r="D1324" s="314">
        <v>5</v>
      </c>
      <c r="E1324" s="314">
        <v>10</v>
      </c>
    </row>
    <row r="1325" spans="1:5" x14ac:dyDescent="0.25">
      <c r="A1325" s="316" t="s">
        <v>2423</v>
      </c>
      <c r="B1325" s="313">
        <v>41583</v>
      </c>
      <c r="C1325" s="316" t="s">
        <v>2405</v>
      </c>
      <c r="D1325" s="314">
        <v>10</v>
      </c>
      <c r="E1325" s="314">
        <v>20</v>
      </c>
    </row>
    <row r="1326" spans="1:5" x14ac:dyDescent="0.25">
      <c r="A1326" s="316" t="s">
        <v>2423</v>
      </c>
      <c r="B1326" s="313">
        <v>41583</v>
      </c>
      <c r="C1326" s="316" t="s">
        <v>2405</v>
      </c>
      <c r="D1326" s="314">
        <v>20</v>
      </c>
      <c r="E1326" s="314">
        <v>30</v>
      </c>
    </row>
    <row r="1327" spans="1:5" x14ac:dyDescent="0.25">
      <c r="A1327" s="316" t="s">
        <v>2423</v>
      </c>
      <c r="B1327" s="313">
        <v>41583</v>
      </c>
      <c r="C1327" s="316" t="s">
        <v>2405</v>
      </c>
      <c r="D1327" s="314">
        <v>30</v>
      </c>
      <c r="E1327" s="314">
        <v>60</v>
      </c>
    </row>
    <row r="1328" spans="1:5" x14ac:dyDescent="0.25">
      <c r="A1328" s="316" t="s">
        <v>2423</v>
      </c>
      <c r="B1328" s="313">
        <v>41583</v>
      </c>
      <c r="C1328" s="316" t="s">
        <v>2405</v>
      </c>
      <c r="D1328" s="314">
        <v>60</v>
      </c>
      <c r="E1328" s="314">
        <v>100</v>
      </c>
    </row>
    <row r="1329" spans="1:5" x14ac:dyDescent="0.25">
      <c r="A1329" s="316" t="s">
        <v>2424</v>
      </c>
      <c r="B1329" s="313">
        <v>41583</v>
      </c>
      <c r="C1329" s="316" t="s">
        <v>2403</v>
      </c>
      <c r="D1329" s="314">
        <v>0</v>
      </c>
      <c r="E1329" s="314">
        <v>5</v>
      </c>
    </row>
    <row r="1330" spans="1:5" x14ac:dyDescent="0.25">
      <c r="A1330" s="316" t="s">
        <v>2424</v>
      </c>
      <c r="B1330" s="313">
        <v>41583</v>
      </c>
      <c r="C1330" s="316" t="s">
        <v>2403</v>
      </c>
      <c r="D1330" s="314">
        <v>5</v>
      </c>
      <c r="E1330" s="314">
        <v>10</v>
      </c>
    </row>
    <row r="1331" spans="1:5" x14ac:dyDescent="0.25">
      <c r="A1331" s="316" t="s">
        <v>2424</v>
      </c>
      <c r="B1331" s="313">
        <v>41583</v>
      </c>
      <c r="C1331" s="316" t="s">
        <v>2403</v>
      </c>
      <c r="D1331" s="314">
        <v>10</v>
      </c>
      <c r="E1331" s="314">
        <v>20</v>
      </c>
    </row>
    <row r="1332" spans="1:5" x14ac:dyDescent="0.25">
      <c r="A1332" s="316" t="s">
        <v>2424</v>
      </c>
      <c r="B1332" s="313">
        <v>41583</v>
      </c>
      <c r="C1332" s="316" t="s">
        <v>2403</v>
      </c>
      <c r="D1332" s="314">
        <v>20</v>
      </c>
      <c r="E1332" s="314">
        <v>30</v>
      </c>
    </row>
    <row r="1333" spans="1:5" x14ac:dyDescent="0.25">
      <c r="A1333" s="316" t="s">
        <v>2424</v>
      </c>
      <c r="B1333" s="313">
        <v>41583</v>
      </c>
      <c r="C1333" s="316" t="s">
        <v>2403</v>
      </c>
      <c r="D1333" s="314">
        <v>30</v>
      </c>
      <c r="E1333" s="314">
        <v>60</v>
      </c>
    </row>
    <row r="1334" spans="1:5" x14ac:dyDescent="0.25">
      <c r="A1334" s="316" t="s">
        <v>2424</v>
      </c>
      <c r="B1334" s="313">
        <v>41583</v>
      </c>
      <c r="C1334" s="316" t="s">
        <v>2403</v>
      </c>
      <c r="D1334" s="314">
        <v>60</v>
      </c>
      <c r="E1334" s="314">
        <v>100</v>
      </c>
    </row>
    <row r="1335" spans="1:5" x14ac:dyDescent="0.25">
      <c r="A1335" s="316" t="s">
        <v>2425</v>
      </c>
      <c r="B1335" s="313">
        <v>41583</v>
      </c>
      <c r="C1335" s="316" t="s">
        <v>2399</v>
      </c>
      <c r="D1335" s="314">
        <v>0</v>
      </c>
      <c r="E1335" s="314">
        <v>5</v>
      </c>
    </row>
    <row r="1336" spans="1:5" x14ac:dyDescent="0.25">
      <c r="A1336" s="316" t="s">
        <v>2425</v>
      </c>
      <c r="B1336" s="313">
        <v>41583</v>
      </c>
      <c r="C1336" s="316" t="s">
        <v>2399</v>
      </c>
      <c r="D1336" s="314">
        <v>5</v>
      </c>
      <c r="E1336" s="314">
        <v>10</v>
      </c>
    </row>
    <row r="1337" spans="1:5" x14ac:dyDescent="0.25">
      <c r="A1337" s="316" t="s">
        <v>2425</v>
      </c>
      <c r="B1337" s="313">
        <v>41583</v>
      </c>
      <c r="C1337" s="316" t="s">
        <v>2399</v>
      </c>
      <c r="D1337" s="314">
        <v>10</v>
      </c>
      <c r="E1337" s="314">
        <v>20</v>
      </c>
    </row>
    <row r="1338" spans="1:5" x14ac:dyDescent="0.25">
      <c r="A1338" s="316" t="s">
        <v>2425</v>
      </c>
      <c r="B1338" s="313">
        <v>41583</v>
      </c>
      <c r="C1338" s="316" t="s">
        <v>2399</v>
      </c>
      <c r="D1338" s="314">
        <v>20</v>
      </c>
      <c r="E1338" s="314">
        <v>30</v>
      </c>
    </row>
    <row r="1339" spans="1:5" x14ac:dyDescent="0.25">
      <c r="A1339" s="316" t="s">
        <v>2425</v>
      </c>
      <c r="B1339" s="313">
        <v>41583</v>
      </c>
      <c r="C1339" s="316" t="s">
        <v>2399</v>
      </c>
      <c r="D1339" s="314">
        <v>30</v>
      </c>
      <c r="E1339" s="314">
        <v>60</v>
      </c>
    </row>
    <row r="1340" spans="1:5" x14ac:dyDescent="0.25">
      <c r="A1340" s="316" t="s">
        <v>2425</v>
      </c>
      <c r="B1340" s="313">
        <v>41583</v>
      </c>
      <c r="C1340" s="316" t="s">
        <v>2399</v>
      </c>
      <c r="D1340" s="314">
        <v>60</v>
      </c>
      <c r="E1340" s="314">
        <v>100</v>
      </c>
    </row>
    <row r="1341" spans="1:5" x14ac:dyDescent="0.25">
      <c r="A1341" s="316" t="s">
        <v>2426</v>
      </c>
      <c r="B1341" s="313">
        <v>41583</v>
      </c>
      <c r="C1341" s="316" t="s">
        <v>2397</v>
      </c>
      <c r="D1341" s="314">
        <v>0</v>
      </c>
      <c r="E1341" s="314">
        <v>5</v>
      </c>
    </row>
    <row r="1342" spans="1:5" x14ac:dyDescent="0.25">
      <c r="A1342" s="316" t="s">
        <v>2426</v>
      </c>
      <c r="B1342" s="313">
        <v>41583</v>
      </c>
      <c r="C1342" s="316" t="s">
        <v>2397</v>
      </c>
      <c r="D1342" s="314">
        <v>5</v>
      </c>
      <c r="E1342" s="314">
        <v>10</v>
      </c>
    </row>
    <row r="1343" spans="1:5" x14ac:dyDescent="0.25">
      <c r="A1343" s="316" t="s">
        <v>2426</v>
      </c>
      <c r="B1343" s="313">
        <v>41583</v>
      </c>
      <c r="C1343" s="316" t="s">
        <v>2397</v>
      </c>
      <c r="D1343" s="314">
        <v>10</v>
      </c>
      <c r="E1343" s="314">
        <v>20</v>
      </c>
    </row>
    <row r="1344" spans="1:5" x14ac:dyDescent="0.25">
      <c r="A1344" s="316" t="s">
        <v>2426</v>
      </c>
      <c r="B1344" s="313">
        <v>41583</v>
      </c>
      <c r="C1344" s="316" t="s">
        <v>2397</v>
      </c>
      <c r="D1344" s="314">
        <v>20</v>
      </c>
      <c r="E1344" s="314">
        <v>30</v>
      </c>
    </row>
    <row r="1345" spans="1:5" x14ac:dyDescent="0.25">
      <c r="A1345" s="316" t="s">
        <v>2426</v>
      </c>
      <c r="B1345" s="313">
        <v>41583</v>
      </c>
      <c r="C1345" s="316" t="s">
        <v>2397</v>
      </c>
      <c r="D1345" s="314">
        <v>30</v>
      </c>
      <c r="E1345" s="314">
        <v>60</v>
      </c>
    </row>
    <row r="1346" spans="1:5" x14ac:dyDescent="0.25">
      <c r="A1346" s="316" t="s">
        <v>2426</v>
      </c>
      <c r="B1346" s="313">
        <v>41583</v>
      </c>
      <c r="C1346" s="316" t="s">
        <v>2397</v>
      </c>
      <c r="D1346" s="314">
        <v>60</v>
      </c>
      <c r="E1346" s="314">
        <v>100</v>
      </c>
    </row>
    <row r="1347" spans="1:5" x14ac:dyDescent="0.25">
      <c r="A1347" s="316" t="s">
        <v>2427</v>
      </c>
      <c r="B1347" s="313">
        <v>41583</v>
      </c>
      <c r="C1347" s="316" t="s">
        <v>2401</v>
      </c>
      <c r="D1347" s="314">
        <v>0</v>
      </c>
      <c r="E1347" s="314">
        <v>5</v>
      </c>
    </row>
    <row r="1348" spans="1:5" x14ac:dyDescent="0.25">
      <c r="A1348" s="316" t="s">
        <v>2427</v>
      </c>
      <c r="B1348" s="313">
        <v>41583</v>
      </c>
      <c r="C1348" s="316" t="s">
        <v>2401</v>
      </c>
      <c r="D1348" s="314">
        <v>5</v>
      </c>
      <c r="E1348" s="314">
        <v>10</v>
      </c>
    </row>
    <row r="1349" spans="1:5" x14ac:dyDescent="0.25">
      <c r="A1349" s="316" t="s">
        <v>2427</v>
      </c>
      <c r="B1349" s="313">
        <v>41583</v>
      </c>
      <c r="C1349" s="316" t="s">
        <v>2401</v>
      </c>
      <c r="D1349" s="314">
        <v>10</v>
      </c>
      <c r="E1349" s="314">
        <v>20</v>
      </c>
    </row>
    <row r="1350" spans="1:5" x14ac:dyDescent="0.25">
      <c r="A1350" s="316" t="s">
        <v>2427</v>
      </c>
      <c r="B1350" s="313">
        <v>41583</v>
      </c>
      <c r="C1350" s="316" t="s">
        <v>2401</v>
      </c>
      <c r="D1350" s="314">
        <v>20</v>
      </c>
      <c r="E1350" s="314">
        <v>30</v>
      </c>
    </row>
    <row r="1351" spans="1:5" x14ac:dyDescent="0.25">
      <c r="A1351" s="316" t="s">
        <v>2427</v>
      </c>
      <c r="B1351" s="313">
        <v>41583</v>
      </c>
      <c r="C1351" s="316" t="s">
        <v>2401</v>
      </c>
      <c r="D1351" s="314">
        <v>30</v>
      </c>
      <c r="E1351" s="314">
        <v>60</v>
      </c>
    </row>
    <row r="1352" spans="1:5" x14ac:dyDescent="0.25">
      <c r="A1352" s="316" t="s">
        <v>2427</v>
      </c>
      <c r="B1352" s="313">
        <v>41583</v>
      </c>
      <c r="C1352" s="316" t="s">
        <v>2401</v>
      </c>
      <c r="D1352" s="314">
        <v>60</v>
      </c>
      <c r="E1352" s="314">
        <v>100</v>
      </c>
    </row>
    <row r="1353" spans="1:5" x14ac:dyDescent="0.25">
      <c r="A1353" s="316" t="s">
        <v>2428</v>
      </c>
      <c r="B1353" s="313">
        <v>41585</v>
      </c>
      <c r="C1353" s="316" t="s">
        <v>2389</v>
      </c>
      <c r="D1353" s="314">
        <v>0</v>
      </c>
      <c r="E1353" s="314">
        <v>5</v>
      </c>
    </row>
    <row r="1354" spans="1:5" x14ac:dyDescent="0.25">
      <c r="A1354" s="316" t="s">
        <v>2428</v>
      </c>
      <c r="B1354" s="313">
        <v>41585</v>
      </c>
      <c r="C1354" s="316" t="s">
        <v>2389</v>
      </c>
      <c r="D1354" s="314">
        <v>5</v>
      </c>
      <c r="E1354" s="314">
        <v>10</v>
      </c>
    </row>
    <row r="1355" spans="1:5" x14ac:dyDescent="0.25">
      <c r="A1355" s="316" t="s">
        <v>2428</v>
      </c>
      <c r="B1355" s="313">
        <v>41585</v>
      </c>
      <c r="C1355" s="316" t="s">
        <v>2389</v>
      </c>
      <c r="D1355" s="314">
        <v>10</v>
      </c>
      <c r="E1355" s="314">
        <v>20</v>
      </c>
    </row>
    <row r="1356" spans="1:5" x14ac:dyDescent="0.25">
      <c r="A1356" s="316" t="s">
        <v>2428</v>
      </c>
      <c r="B1356" s="313">
        <v>41585</v>
      </c>
      <c r="C1356" s="316" t="s">
        <v>2389</v>
      </c>
      <c r="D1356" s="314">
        <v>20</v>
      </c>
      <c r="E1356" s="314">
        <v>30</v>
      </c>
    </row>
    <row r="1357" spans="1:5" x14ac:dyDescent="0.25">
      <c r="A1357" s="316" t="s">
        <v>2428</v>
      </c>
      <c r="B1357" s="313">
        <v>41585</v>
      </c>
      <c r="C1357" s="316" t="s">
        <v>2389</v>
      </c>
      <c r="D1357" s="314">
        <v>30</v>
      </c>
      <c r="E1357" s="314">
        <v>60</v>
      </c>
    </row>
    <row r="1358" spans="1:5" x14ac:dyDescent="0.25">
      <c r="A1358" s="316" t="s">
        <v>2428</v>
      </c>
      <c r="B1358" s="313">
        <v>41585</v>
      </c>
      <c r="C1358" s="316" t="s">
        <v>2389</v>
      </c>
      <c r="D1358" s="314">
        <v>60</v>
      </c>
      <c r="E1358" s="314">
        <v>100</v>
      </c>
    </row>
    <row r="1359" spans="1:5" x14ac:dyDescent="0.25">
      <c r="A1359" s="316" t="s">
        <v>2429</v>
      </c>
      <c r="B1359" s="313">
        <v>41585</v>
      </c>
      <c r="C1359" s="316" t="s">
        <v>2381</v>
      </c>
      <c r="D1359" s="314">
        <v>0</v>
      </c>
      <c r="E1359" s="314">
        <v>5</v>
      </c>
    </row>
    <row r="1360" spans="1:5" x14ac:dyDescent="0.25">
      <c r="A1360" s="316" t="s">
        <v>2429</v>
      </c>
      <c r="B1360" s="313">
        <v>41585</v>
      </c>
      <c r="C1360" s="316" t="s">
        <v>2381</v>
      </c>
      <c r="D1360" s="314">
        <v>5</v>
      </c>
      <c r="E1360" s="314">
        <v>10</v>
      </c>
    </row>
    <row r="1361" spans="1:5" x14ac:dyDescent="0.25">
      <c r="A1361" s="316" t="s">
        <v>2429</v>
      </c>
      <c r="B1361" s="313">
        <v>41585</v>
      </c>
      <c r="C1361" s="316" t="s">
        <v>2381</v>
      </c>
      <c r="D1361" s="314">
        <v>10</v>
      </c>
      <c r="E1361" s="314">
        <v>20</v>
      </c>
    </row>
    <row r="1362" spans="1:5" x14ac:dyDescent="0.25">
      <c r="A1362" s="316" t="s">
        <v>2429</v>
      </c>
      <c r="B1362" s="313">
        <v>41585</v>
      </c>
      <c r="C1362" s="316" t="s">
        <v>2381</v>
      </c>
      <c r="D1362" s="314">
        <v>20</v>
      </c>
      <c r="E1362" s="314">
        <v>30</v>
      </c>
    </row>
    <row r="1363" spans="1:5" x14ac:dyDescent="0.25">
      <c r="A1363" s="316" t="s">
        <v>2429</v>
      </c>
      <c r="B1363" s="313">
        <v>41585</v>
      </c>
      <c r="C1363" s="316" t="s">
        <v>2381</v>
      </c>
      <c r="D1363" s="314">
        <v>30</v>
      </c>
      <c r="E1363" s="314">
        <v>60</v>
      </c>
    </row>
    <row r="1364" spans="1:5" x14ac:dyDescent="0.25">
      <c r="A1364" s="316" t="s">
        <v>2429</v>
      </c>
      <c r="B1364" s="313">
        <v>41585</v>
      </c>
      <c r="C1364" s="316" t="s">
        <v>2381</v>
      </c>
      <c r="D1364" s="314">
        <v>60</v>
      </c>
      <c r="E1364" s="314">
        <v>100</v>
      </c>
    </row>
    <row r="1365" spans="1:5" x14ac:dyDescent="0.25">
      <c r="A1365" s="316" t="s">
        <v>2430</v>
      </c>
      <c r="B1365" s="313">
        <v>41585</v>
      </c>
      <c r="C1365" s="316" t="s">
        <v>2395</v>
      </c>
      <c r="D1365" s="314">
        <v>0</v>
      </c>
      <c r="E1365" s="314">
        <v>5</v>
      </c>
    </row>
    <row r="1366" spans="1:5" x14ac:dyDescent="0.25">
      <c r="A1366" s="316" t="s">
        <v>2430</v>
      </c>
      <c r="B1366" s="313">
        <v>41585</v>
      </c>
      <c r="C1366" s="316" t="s">
        <v>2395</v>
      </c>
      <c r="D1366" s="314">
        <v>5</v>
      </c>
      <c r="E1366" s="314">
        <v>10</v>
      </c>
    </row>
    <row r="1367" spans="1:5" x14ac:dyDescent="0.25">
      <c r="A1367" s="316" t="s">
        <v>2430</v>
      </c>
      <c r="B1367" s="313">
        <v>41585</v>
      </c>
      <c r="C1367" s="316" t="s">
        <v>2395</v>
      </c>
      <c r="D1367" s="314">
        <v>10</v>
      </c>
      <c r="E1367" s="314">
        <v>20</v>
      </c>
    </row>
    <row r="1368" spans="1:5" x14ac:dyDescent="0.25">
      <c r="A1368" s="316" t="s">
        <v>2430</v>
      </c>
      <c r="B1368" s="313">
        <v>41585</v>
      </c>
      <c r="C1368" s="316" t="s">
        <v>2395</v>
      </c>
      <c r="D1368" s="314">
        <v>20</v>
      </c>
      <c r="E1368" s="314">
        <v>30</v>
      </c>
    </row>
    <row r="1369" spans="1:5" x14ac:dyDescent="0.25">
      <c r="A1369" s="316" t="s">
        <v>2430</v>
      </c>
      <c r="B1369" s="313">
        <v>41585</v>
      </c>
      <c r="C1369" s="316" t="s">
        <v>2395</v>
      </c>
      <c r="D1369" s="314">
        <v>30</v>
      </c>
      <c r="E1369" s="314">
        <v>60</v>
      </c>
    </row>
    <row r="1370" spans="1:5" x14ac:dyDescent="0.25">
      <c r="A1370" s="316" t="s">
        <v>2430</v>
      </c>
      <c r="B1370" s="313">
        <v>41585</v>
      </c>
      <c r="C1370" s="316" t="s">
        <v>2395</v>
      </c>
      <c r="D1370" s="314">
        <v>60</v>
      </c>
      <c r="E1370" s="314">
        <v>100</v>
      </c>
    </row>
    <row r="1371" spans="1:5" x14ac:dyDescent="0.25">
      <c r="A1371" s="316" t="s">
        <v>2431</v>
      </c>
      <c r="B1371" s="313">
        <v>41585</v>
      </c>
      <c r="C1371" s="316" t="s">
        <v>2393</v>
      </c>
      <c r="D1371" s="314">
        <v>0</v>
      </c>
      <c r="E1371" s="314">
        <v>5</v>
      </c>
    </row>
    <row r="1372" spans="1:5" x14ac:dyDescent="0.25">
      <c r="A1372" s="316" t="s">
        <v>2431</v>
      </c>
      <c r="B1372" s="313">
        <v>41585</v>
      </c>
      <c r="C1372" s="316" t="s">
        <v>2393</v>
      </c>
      <c r="D1372" s="314">
        <v>5</v>
      </c>
      <c r="E1372" s="314">
        <v>10</v>
      </c>
    </row>
    <row r="1373" spans="1:5" x14ac:dyDescent="0.25">
      <c r="A1373" s="316" t="s">
        <v>2431</v>
      </c>
      <c r="B1373" s="313">
        <v>41585</v>
      </c>
      <c r="C1373" s="316" t="s">
        <v>2393</v>
      </c>
      <c r="D1373" s="314">
        <v>10</v>
      </c>
      <c r="E1373" s="314">
        <v>20</v>
      </c>
    </row>
    <row r="1374" spans="1:5" x14ac:dyDescent="0.25">
      <c r="A1374" s="316" t="s">
        <v>2431</v>
      </c>
      <c r="B1374" s="313">
        <v>41585</v>
      </c>
      <c r="C1374" s="316" t="s">
        <v>2393</v>
      </c>
      <c r="D1374" s="314">
        <v>20</v>
      </c>
      <c r="E1374" s="314">
        <v>30</v>
      </c>
    </row>
    <row r="1375" spans="1:5" x14ac:dyDescent="0.25">
      <c r="A1375" s="316" t="s">
        <v>2431</v>
      </c>
      <c r="B1375" s="313">
        <v>41585</v>
      </c>
      <c r="C1375" s="316" t="s">
        <v>2393</v>
      </c>
      <c r="D1375" s="314">
        <v>30</v>
      </c>
      <c r="E1375" s="314">
        <v>60</v>
      </c>
    </row>
    <row r="1376" spans="1:5" x14ac:dyDescent="0.25">
      <c r="A1376" s="316" t="s">
        <v>2431</v>
      </c>
      <c r="B1376" s="313">
        <v>41585</v>
      </c>
      <c r="C1376" s="316" t="s">
        <v>2393</v>
      </c>
      <c r="D1376" s="314">
        <v>60</v>
      </c>
      <c r="E1376" s="314">
        <v>100</v>
      </c>
    </row>
    <row r="1377" spans="1:5" x14ac:dyDescent="0.25">
      <c r="A1377" s="316" t="s">
        <v>2432</v>
      </c>
      <c r="B1377" s="313">
        <v>41585</v>
      </c>
      <c r="C1377" s="316" t="s">
        <v>2387</v>
      </c>
      <c r="D1377" s="314">
        <v>0</v>
      </c>
      <c r="E1377" s="314">
        <v>5</v>
      </c>
    </row>
    <row r="1378" spans="1:5" x14ac:dyDescent="0.25">
      <c r="A1378" s="316" t="s">
        <v>2432</v>
      </c>
      <c r="B1378" s="313">
        <v>41585</v>
      </c>
      <c r="C1378" s="316" t="s">
        <v>2387</v>
      </c>
      <c r="D1378" s="314">
        <v>5</v>
      </c>
      <c r="E1378" s="314">
        <v>10</v>
      </c>
    </row>
    <row r="1379" spans="1:5" x14ac:dyDescent="0.25">
      <c r="A1379" s="316" t="s">
        <v>2432</v>
      </c>
      <c r="B1379" s="313">
        <v>41585</v>
      </c>
      <c r="C1379" s="316" t="s">
        <v>2387</v>
      </c>
      <c r="D1379" s="314">
        <v>10</v>
      </c>
      <c r="E1379" s="314">
        <v>20</v>
      </c>
    </row>
    <row r="1380" spans="1:5" x14ac:dyDescent="0.25">
      <c r="A1380" s="316" t="s">
        <v>2432</v>
      </c>
      <c r="B1380" s="313">
        <v>41585</v>
      </c>
      <c r="C1380" s="316" t="s">
        <v>2387</v>
      </c>
      <c r="D1380" s="314">
        <v>20</v>
      </c>
      <c r="E1380" s="314">
        <v>30</v>
      </c>
    </row>
    <row r="1381" spans="1:5" x14ac:dyDescent="0.25">
      <c r="A1381" s="316" t="s">
        <v>2432</v>
      </c>
      <c r="B1381" s="313">
        <v>41585</v>
      </c>
      <c r="C1381" s="316" t="s">
        <v>2387</v>
      </c>
      <c r="D1381" s="314">
        <v>30</v>
      </c>
      <c r="E1381" s="314">
        <v>60</v>
      </c>
    </row>
    <row r="1382" spans="1:5" x14ac:dyDescent="0.25">
      <c r="A1382" s="316" t="s">
        <v>2432</v>
      </c>
      <c r="B1382" s="313">
        <v>41585</v>
      </c>
      <c r="C1382" s="316" t="s">
        <v>2387</v>
      </c>
      <c r="D1382" s="314">
        <v>60</v>
      </c>
      <c r="E1382" s="314">
        <v>100</v>
      </c>
    </row>
    <row r="1383" spans="1:5" x14ac:dyDescent="0.25">
      <c r="A1383" s="316" t="s">
        <v>2433</v>
      </c>
      <c r="B1383" s="313">
        <v>41585</v>
      </c>
      <c r="C1383" s="316" t="s">
        <v>2391</v>
      </c>
      <c r="D1383" s="314">
        <v>0</v>
      </c>
      <c r="E1383" s="314">
        <v>5</v>
      </c>
    </row>
    <row r="1384" spans="1:5" x14ac:dyDescent="0.25">
      <c r="A1384" s="316" t="s">
        <v>2433</v>
      </c>
      <c r="B1384" s="313">
        <v>41585</v>
      </c>
      <c r="C1384" s="316" t="s">
        <v>2391</v>
      </c>
      <c r="D1384" s="314">
        <v>5</v>
      </c>
      <c r="E1384" s="314">
        <v>10</v>
      </c>
    </row>
    <row r="1385" spans="1:5" x14ac:dyDescent="0.25">
      <c r="A1385" s="316" t="s">
        <v>2433</v>
      </c>
      <c r="B1385" s="313">
        <v>41585</v>
      </c>
      <c r="C1385" s="316" t="s">
        <v>2391</v>
      </c>
      <c r="D1385" s="314">
        <v>10</v>
      </c>
      <c r="E1385" s="314">
        <v>20</v>
      </c>
    </row>
    <row r="1386" spans="1:5" x14ac:dyDescent="0.25">
      <c r="A1386" s="316" t="s">
        <v>2433</v>
      </c>
      <c r="B1386" s="313">
        <v>41585</v>
      </c>
      <c r="C1386" s="316" t="s">
        <v>2391</v>
      </c>
      <c r="D1386" s="314">
        <v>20</v>
      </c>
      <c r="E1386" s="314">
        <v>30</v>
      </c>
    </row>
    <row r="1387" spans="1:5" x14ac:dyDescent="0.25">
      <c r="A1387" s="316" t="s">
        <v>2433</v>
      </c>
      <c r="B1387" s="313">
        <v>41585</v>
      </c>
      <c r="C1387" s="316" t="s">
        <v>2391</v>
      </c>
      <c r="D1387" s="314">
        <v>30</v>
      </c>
      <c r="E1387" s="314">
        <v>60</v>
      </c>
    </row>
    <row r="1388" spans="1:5" x14ac:dyDescent="0.25">
      <c r="A1388" s="316" t="s">
        <v>2433</v>
      </c>
      <c r="B1388" s="313">
        <v>41585</v>
      </c>
      <c r="C1388" s="316" t="s">
        <v>2391</v>
      </c>
      <c r="D1388" s="314">
        <v>60</v>
      </c>
      <c r="E1388" s="314">
        <v>100</v>
      </c>
    </row>
    <row r="1389" spans="1:5" x14ac:dyDescent="0.25">
      <c r="A1389" s="316" t="s">
        <v>2434</v>
      </c>
      <c r="B1389" s="313">
        <v>41585</v>
      </c>
      <c r="C1389" s="316" t="s">
        <v>2383</v>
      </c>
      <c r="D1389" s="314">
        <v>0</v>
      </c>
      <c r="E1389" s="314">
        <v>5</v>
      </c>
    </row>
    <row r="1390" spans="1:5" x14ac:dyDescent="0.25">
      <c r="A1390" s="316" t="s">
        <v>2434</v>
      </c>
      <c r="B1390" s="313">
        <v>41585</v>
      </c>
      <c r="C1390" s="316" t="s">
        <v>2383</v>
      </c>
      <c r="D1390" s="314">
        <v>5</v>
      </c>
      <c r="E1390" s="314">
        <v>10</v>
      </c>
    </row>
    <row r="1391" spans="1:5" x14ac:dyDescent="0.25">
      <c r="A1391" s="316" t="s">
        <v>2434</v>
      </c>
      <c r="B1391" s="313">
        <v>41585</v>
      </c>
      <c r="C1391" s="316" t="s">
        <v>2383</v>
      </c>
      <c r="D1391" s="314">
        <v>10</v>
      </c>
      <c r="E1391" s="314">
        <v>20</v>
      </c>
    </row>
    <row r="1392" spans="1:5" x14ac:dyDescent="0.25">
      <c r="A1392" s="316" t="s">
        <v>2434</v>
      </c>
      <c r="B1392" s="313">
        <v>41585</v>
      </c>
      <c r="C1392" s="316" t="s">
        <v>2383</v>
      </c>
      <c r="D1392" s="314">
        <v>20</v>
      </c>
      <c r="E1392" s="314">
        <v>30</v>
      </c>
    </row>
    <row r="1393" spans="1:5" x14ac:dyDescent="0.25">
      <c r="A1393" s="316" t="s">
        <v>2434</v>
      </c>
      <c r="B1393" s="313">
        <v>41585</v>
      </c>
      <c r="C1393" s="316" t="s">
        <v>2383</v>
      </c>
      <c r="D1393" s="314">
        <v>30</v>
      </c>
      <c r="E1393" s="314">
        <v>60</v>
      </c>
    </row>
    <row r="1394" spans="1:5" x14ac:dyDescent="0.25">
      <c r="A1394" s="316" t="s">
        <v>2434</v>
      </c>
      <c r="B1394" s="313">
        <v>41585</v>
      </c>
      <c r="C1394" s="316" t="s">
        <v>2383</v>
      </c>
      <c r="D1394" s="314">
        <v>60</v>
      </c>
      <c r="E1394" s="314">
        <v>100</v>
      </c>
    </row>
    <row r="1395" spans="1:5" x14ac:dyDescent="0.25">
      <c r="A1395" s="316" t="s">
        <v>2435</v>
      </c>
      <c r="B1395" s="313">
        <v>41585</v>
      </c>
      <c r="C1395" s="316" t="s">
        <v>2385</v>
      </c>
      <c r="D1395" s="314">
        <v>0</v>
      </c>
      <c r="E1395" s="314">
        <v>5</v>
      </c>
    </row>
    <row r="1396" spans="1:5" x14ac:dyDescent="0.25">
      <c r="A1396" s="316" t="s">
        <v>2435</v>
      </c>
      <c r="B1396" s="313">
        <v>41585</v>
      </c>
      <c r="C1396" s="316" t="s">
        <v>2385</v>
      </c>
      <c r="D1396" s="314">
        <v>5</v>
      </c>
      <c r="E1396" s="314">
        <v>10</v>
      </c>
    </row>
    <row r="1397" spans="1:5" x14ac:dyDescent="0.25">
      <c r="A1397" s="316" t="s">
        <v>2435</v>
      </c>
      <c r="B1397" s="313">
        <v>41585</v>
      </c>
      <c r="C1397" s="316" t="s">
        <v>2385</v>
      </c>
      <c r="D1397" s="314">
        <v>10</v>
      </c>
      <c r="E1397" s="314">
        <v>20</v>
      </c>
    </row>
    <row r="1398" spans="1:5" x14ac:dyDescent="0.25">
      <c r="A1398" s="316" t="s">
        <v>2435</v>
      </c>
      <c r="B1398" s="313">
        <v>41585</v>
      </c>
      <c r="C1398" s="316" t="s">
        <v>2385</v>
      </c>
      <c r="D1398" s="314">
        <v>20</v>
      </c>
      <c r="E1398" s="314">
        <v>30</v>
      </c>
    </row>
    <row r="1399" spans="1:5" x14ac:dyDescent="0.25">
      <c r="A1399" s="316" t="s">
        <v>2435</v>
      </c>
      <c r="B1399" s="313">
        <v>41585</v>
      </c>
      <c r="C1399" s="316" t="s">
        <v>2385</v>
      </c>
      <c r="D1399" s="314">
        <v>30</v>
      </c>
      <c r="E1399" s="314">
        <v>60</v>
      </c>
    </row>
    <row r="1400" spans="1:5" x14ac:dyDescent="0.25">
      <c r="A1400" s="316" t="s">
        <v>2435</v>
      </c>
      <c r="B1400" s="313">
        <v>41585</v>
      </c>
      <c r="C1400" s="316" t="s">
        <v>2385</v>
      </c>
      <c r="D1400" s="314">
        <v>60</v>
      </c>
      <c r="E1400" s="314">
        <v>100</v>
      </c>
    </row>
    <row r="1401" spans="1:5" x14ac:dyDescent="0.25">
      <c r="A1401" s="316" t="s">
        <v>2436</v>
      </c>
      <c r="B1401" s="313">
        <v>41583</v>
      </c>
      <c r="C1401" s="316" t="s">
        <v>2407</v>
      </c>
      <c r="D1401" s="314">
        <v>0</v>
      </c>
      <c r="E1401" s="314">
        <v>5</v>
      </c>
    </row>
    <row r="1402" spans="1:5" x14ac:dyDescent="0.25">
      <c r="A1402" s="316" t="s">
        <v>2436</v>
      </c>
      <c r="B1402" s="313">
        <v>41583</v>
      </c>
      <c r="C1402" s="316" t="s">
        <v>2407</v>
      </c>
      <c r="D1402" s="314">
        <v>5</v>
      </c>
      <c r="E1402" s="314">
        <v>10</v>
      </c>
    </row>
    <row r="1403" spans="1:5" x14ac:dyDescent="0.25">
      <c r="A1403" s="316" t="s">
        <v>2436</v>
      </c>
      <c r="B1403" s="313">
        <v>41583</v>
      </c>
      <c r="C1403" s="316" t="s">
        <v>2407</v>
      </c>
      <c r="D1403" s="314">
        <v>10</v>
      </c>
      <c r="E1403" s="314">
        <v>20</v>
      </c>
    </row>
    <row r="1404" spans="1:5" x14ac:dyDescent="0.25">
      <c r="A1404" s="316" t="s">
        <v>2436</v>
      </c>
      <c r="B1404" s="313">
        <v>41583</v>
      </c>
      <c r="C1404" s="316" t="s">
        <v>2407</v>
      </c>
      <c r="D1404" s="314">
        <v>20</v>
      </c>
      <c r="E1404" s="314">
        <v>30</v>
      </c>
    </row>
    <row r="1405" spans="1:5" x14ac:dyDescent="0.25">
      <c r="A1405" s="316" t="s">
        <v>2436</v>
      </c>
      <c r="B1405" s="313">
        <v>41583</v>
      </c>
      <c r="C1405" s="316" t="s">
        <v>2407</v>
      </c>
      <c r="D1405" s="314">
        <v>30</v>
      </c>
      <c r="E1405" s="314">
        <v>60</v>
      </c>
    </row>
    <row r="1406" spans="1:5" x14ac:dyDescent="0.25">
      <c r="A1406" s="316" t="s">
        <v>2436</v>
      </c>
      <c r="B1406" s="313">
        <v>41583</v>
      </c>
      <c r="C1406" s="316" t="s">
        <v>2407</v>
      </c>
      <c r="D1406" s="314">
        <v>60</v>
      </c>
      <c r="E1406" s="314">
        <v>100</v>
      </c>
    </row>
    <row r="1407" spans="1:5" x14ac:dyDescent="0.25">
      <c r="A1407" s="316" t="s">
        <v>2437</v>
      </c>
      <c r="B1407" s="313">
        <v>41583</v>
      </c>
      <c r="C1407" s="316" t="s">
        <v>2397</v>
      </c>
      <c r="D1407" s="314">
        <v>0</v>
      </c>
      <c r="E1407" s="314">
        <v>5</v>
      </c>
    </row>
    <row r="1408" spans="1:5" x14ac:dyDescent="0.25">
      <c r="A1408" s="316" t="s">
        <v>2437</v>
      </c>
      <c r="B1408" s="313">
        <v>41583</v>
      </c>
      <c r="C1408" s="316" t="s">
        <v>2397</v>
      </c>
      <c r="D1408" s="314">
        <v>5</v>
      </c>
      <c r="E1408" s="314">
        <v>10</v>
      </c>
    </row>
    <row r="1409" spans="1:5" x14ac:dyDescent="0.25">
      <c r="A1409" s="316" t="s">
        <v>2437</v>
      </c>
      <c r="B1409" s="313">
        <v>41583</v>
      </c>
      <c r="C1409" s="316" t="s">
        <v>2397</v>
      </c>
      <c r="D1409" s="314">
        <v>10</v>
      </c>
      <c r="E1409" s="314">
        <v>20</v>
      </c>
    </row>
    <row r="1410" spans="1:5" x14ac:dyDescent="0.25">
      <c r="A1410" s="316" t="s">
        <v>2437</v>
      </c>
      <c r="B1410" s="313">
        <v>41583</v>
      </c>
      <c r="C1410" s="316" t="s">
        <v>2397</v>
      </c>
      <c r="D1410" s="314">
        <v>20</v>
      </c>
      <c r="E1410" s="314">
        <v>30</v>
      </c>
    </row>
    <row r="1411" spans="1:5" x14ac:dyDescent="0.25">
      <c r="A1411" s="316" t="s">
        <v>2437</v>
      </c>
      <c r="B1411" s="313">
        <v>41583</v>
      </c>
      <c r="C1411" s="316" t="s">
        <v>2397</v>
      </c>
      <c r="D1411" s="314">
        <v>30</v>
      </c>
      <c r="E1411" s="314">
        <v>60</v>
      </c>
    </row>
    <row r="1412" spans="1:5" x14ac:dyDescent="0.25">
      <c r="A1412" s="316" t="s">
        <v>2437</v>
      </c>
      <c r="B1412" s="313">
        <v>41583</v>
      </c>
      <c r="C1412" s="316" t="s">
        <v>2397</v>
      </c>
      <c r="D1412" s="314">
        <v>60</v>
      </c>
      <c r="E1412" s="314">
        <v>100</v>
      </c>
    </row>
    <row r="1413" spans="1:5" x14ac:dyDescent="0.25">
      <c r="A1413" s="316" t="s">
        <v>2438</v>
      </c>
      <c r="B1413" s="313">
        <v>41583</v>
      </c>
      <c r="C1413" s="316" t="s">
        <v>2401</v>
      </c>
      <c r="D1413" s="314">
        <v>0</v>
      </c>
      <c r="E1413" s="314">
        <v>5</v>
      </c>
    </row>
    <row r="1414" spans="1:5" x14ac:dyDescent="0.25">
      <c r="A1414" s="316" t="s">
        <v>2438</v>
      </c>
      <c r="B1414" s="313">
        <v>41583</v>
      </c>
      <c r="C1414" s="316" t="s">
        <v>2401</v>
      </c>
      <c r="D1414" s="314">
        <v>5</v>
      </c>
      <c r="E1414" s="314">
        <v>10</v>
      </c>
    </row>
    <row r="1415" spans="1:5" x14ac:dyDescent="0.25">
      <c r="A1415" s="316" t="s">
        <v>2438</v>
      </c>
      <c r="B1415" s="313">
        <v>41583</v>
      </c>
      <c r="C1415" s="316" t="s">
        <v>2401</v>
      </c>
      <c r="D1415" s="314">
        <v>10</v>
      </c>
      <c r="E1415" s="314">
        <v>20</v>
      </c>
    </row>
    <row r="1416" spans="1:5" x14ac:dyDescent="0.25">
      <c r="A1416" s="316" t="s">
        <v>2438</v>
      </c>
      <c r="B1416" s="313">
        <v>41583</v>
      </c>
      <c r="C1416" s="316" t="s">
        <v>2401</v>
      </c>
      <c r="D1416" s="314">
        <v>20</v>
      </c>
      <c r="E1416" s="314">
        <v>30</v>
      </c>
    </row>
    <row r="1417" spans="1:5" x14ac:dyDescent="0.25">
      <c r="A1417" s="316" t="s">
        <v>2438</v>
      </c>
      <c r="B1417" s="313">
        <v>41583</v>
      </c>
      <c r="C1417" s="316" t="s">
        <v>2401</v>
      </c>
      <c r="D1417" s="314">
        <v>30</v>
      </c>
      <c r="E1417" s="314">
        <v>60</v>
      </c>
    </row>
    <row r="1418" spans="1:5" x14ac:dyDescent="0.25">
      <c r="A1418" s="316" t="s">
        <v>2438</v>
      </c>
      <c r="B1418" s="313">
        <v>41583</v>
      </c>
      <c r="C1418" s="316" t="s">
        <v>2401</v>
      </c>
      <c r="D1418" s="314">
        <v>60</v>
      </c>
      <c r="E1418" s="314">
        <v>100</v>
      </c>
    </row>
    <row r="1419" spans="1:5" x14ac:dyDescent="0.25">
      <c r="A1419" s="316" t="s">
        <v>2439</v>
      </c>
      <c r="B1419" s="313">
        <v>41583</v>
      </c>
      <c r="C1419" s="316" t="s">
        <v>2399</v>
      </c>
      <c r="D1419" s="314">
        <v>0</v>
      </c>
      <c r="E1419" s="314">
        <v>5</v>
      </c>
    </row>
    <row r="1420" spans="1:5" x14ac:dyDescent="0.25">
      <c r="A1420" s="316" t="s">
        <v>2439</v>
      </c>
      <c r="B1420" s="313">
        <v>41583</v>
      </c>
      <c r="C1420" s="316" t="s">
        <v>2399</v>
      </c>
      <c r="D1420" s="314">
        <v>5</v>
      </c>
      <c r="E1420" s="314">
        <v>10</v>
      </c>
    </row>
    <row r="1421" spans="1:5" x14ac:dyDescent="0.25">
      <c r="A1421" s="316" t="s">
        <v>2439</v>
      </c>
      <c r="B1421" s="313">
        <v>41583</v>
      </c>
      <c r="C1421" s="316" t="s">
        <v>2399</v>
      </c>
      <c r="D1421" s="314">
        <v>10</v>
      </c>
      <c r="E1421" s="314">
        <v>20</v>
      </c>
    </row>
    <row r="1422" spans="1:5" x14ac:dyDescent="0.25">
      <c r="A1422" s="316" t="s">
        <v>2439</v>
      </c>
      <c r="B1422" s="313">
        <v>41583</v>
      </c>
      <c r="C1422" s="316" t="s">
        <v>2399</v>
      </c>
      <c r="D1422" s="314">
        <v>20</v>
      </c>
      <c r="E1422" s="314">
        <v>30</v>
      </c>
    </row>
    <row r="1423" spans="1:5" x14ac:dyDescent="0.25">
      <c r="A1423" s="316" t="s">
        <v>2439</v>
      </c>
      <c r="B1423" s="313">
        <v>41583</v>
      </c>
      <c r="C1423" s="316" t="s">
        <v>2399</v>
      </c>
      <c r="D1423" s="314">
        <v>30</v>
      </c>
      <c r="E1423" s="314">
        <v>60</v>
      </c>
    </row>
    <row r="1424" spans="1:5" x14ac:dyDescent="0.25">
      <c r="A1424" s="316" t="s">
        <v>2439</v>
      </c>
      <c r="B1424" s="313">
        <v>41583</v>
      </c>
      <c r="C1424" s="316" t="s">
        <v>2399</v>
      </c>
      <c r="D1424" s="314">
        <v>60</v>
      </c>
      <c r="E1424" s="314">
        <v>100</v>
      </c>
    </row>
    <row r="1425" spans="1:5" x14ac:dyDescent="0.25">
      <c r="A1425" s="316" t="s">
        <v>2440</v>
      </c>
      <c r="B1425" s="313">
        <v>41583</v>
      </c>
      <c r="C1425" s="316" t="s">
        <v>2411</v>
      </c>
      <c r="D1425" s="314">
        <v>0</v>
      </c>
      <c r="E1425" s="314">
        <v>5</v>
      </c>
    </row>
    <row r="1426" spans="1:5" x14ac:dyDescent="0.25">
      <c r="A1426" s="316" t="s">
        <v>2440</v>
      </c>
      <c r="B1426" s="313">
        <v>41583</v>
      </c>
      <c r="C1426" s="316" t="s">
        <v>2411</v>
      </c>
      <c r="D1426" s="314">
        <v>5</v>
      </c>
      <c r="E1426" s="314">
        <v>10</v>
      </c>
    </row>
    <row r="1427" spans="1:5" x14ac:dyDescent="0.25">
      <c r="A1427" s="316" t="s">
        <v>2440</v>
      </c>
      <c r="B1427" s="313">
        <v>41583</v>
      </c>
      <c r="C1427" s="316" t="s">
        <v>2411</v>
      </c>
      <c r="D1427" s="314">
        <v>10</v>
      </c>
      <c r="E1427" s="314">
        <v>20</v>
      </c>
    </row>
    <row r="1428" spans="1:5" x14ac:dyDescent="0.25">
      <c r="A1428" s="316" t="s">
        <v>2440</v>
      </c>
      <c r="B1428" s="313">
        <v>41583</v>
      </c>
      <c r="C1428" s="316" t="s">
        <v>2411</v>
      </c>
      <c r="D1428" s="314">
        <v>20</v>
      </c>
      <c r="E1428" s="314">
        <v>30</v>
      </c>
    </row>
    <row r="1429" spans="1:5" x14ac:dyDescent="0.25">
      <c r="A1429" s="316" t="s">
        <v>2440</v>
      </c>
      <c r="B1429" s="313">
        <v>41583</v>
      </c>
      <c r="C1429" s="316" t="s">
        <v>2411</v>
      </c>
      <c r="D1429" s="314">
        <v>30</v>
      </c>
      <c r="E1429" s="314">
        <v>60</v>
      </c>
    </row>
    <row r="1430" spans="1:5" x14ac:dyDescent="0.25">
      <c r="A1430" s="316" t="s">
        <v>2440</v>
      </c>
      <c r="B1430" s="313">
        <v>41583</v>
      </c>
      <c r="C1430" s="316" t="s">
        <v>2411</v>
      </c>
      <c r="D1430" s="314">
        <v>60</v>
      </c>
      <c r="E1430" s="314">
        <v>100</v>
      </c>
    </row>
    <row r="1431" spans="1:5" x14ac:dyDescent="0.25">
      <c r="A1431" s="316" t="s">
        <v>2441</v>
      </c>
      <c r="B1431" s="313">
        <v>41583</v>
      </c>
      <c r="C1431" s="316" t="s">
        <v>2409</v>
      </c>
      <c r="D1431" s="314">
        <v>0</v>
      </c>
      <c r="E1431" s="314">
        <v>5</v>
      </c>
    </row>
    <row r="1432" spans="1:5" x14ac:dyDescent="0.25">
      <c r="A1432" s="316" t="s">
        <v>2441</v>
      </c>
      <c r="B1432" s="313">
        <v>41583</v>
      </c>
      <c r="C1432" s="316" t="s">
        <v>2409</v>
      </c>
      <c r="D1432" s="314">
        <v>5</v>
      </c>
      <c r="E1432" s="314">
        <v>10</v>
      </c>
    </row>
    <row r="1433" spans="1:5" x14ac:dyDescent="0.25">
      <c r="A1433" s="316" t="s">
        <v>2441</v>
      </c>
      <c r="B1433" s="313">
        <v>41583</v>
      </c>
      <c r="C1433" s="316" t="s">
        <v>2409</v>
      </c>
      <c r="D1433" s="314">
        <v>10</v>
      </c>
      <c r="E1433" s="314">
        <v>20</v>
      </c>
    </row>
    <row r="1434" spans="1:5" x14ac:dyDescent="0.25">
      <c r="A1434" s="316" t="s">
        <v>2441</v>
      </c>
      <c r="B1434" s="313">
        <v>41583</v>
      </c>
      <c r="C1434" s="316" t="s">
        <v>2409</v>
      </c>
      <c r="D1434" s="314">
        <v>20</v>
      </c>
      <c r="E1434" s="314">
        <v>30</v>
      </c>
    </row>
    <row r="1435" spans="1:5" x14ac:dyDescent="0.25">
      <c r="A1435" s="316" t="s">
        <v>2441</v>
      </c>
      <c r="B1435" s="313">
        <v>41583</v>
      </c>
      <c r="C1435" s="316" t="s">
        <v>2409</v>
      </c>
      <c r="D1435" s="314">
        <v>30</v>
      </c>
      <c r="E1435" s="314">
        <v>60</v>
      </c>
    </row>
    <row r="1436" spans="1:5" x14ac:dyDescent="0.25">
      <c r="A1436" s="316" t="s">
        <v>2441</v>
      </c>
      <c r="B1436" s="313">
        <v>41583</v>
      </c>
      <c r="C1436" s="316" t="s">
        <v>2409</v>
      </c>
      <c r="D1436" s="314">
        <v>60</v>
      </c>
      <c r="E1436" s="314">
        <v>100</v>
      </c>
    </row>
    <row r="1437" spans="1:5" x14ac:dyDescent="0.25">
      <c r="A1437" s="316" t="s">
        <v>2442</v>
      </c>
      <c r="B1437" s="313">
        <v>41583</v>
      </c>
      <c r="C1437" s="316" t="s">
        <v>2403</v>
      </c>
      <c r="D1437" s="314">
        <v>0</v>
      </c>
      <c r="E1437" s="314">
        <v>5</v>
      </c>
    </row>
    <row r="1438" spans="1:5" x14ac:dyDescent="0.25">
      <c r="A1438" s="316" t="s">
        <v>2442</v>
      </c>
      <c r="B1438" s="313">
        <v>41583</v>
      </c>
      <c r="C1438" s="316" t="s">
        <v>2403</v>
      </c>
      <c r="D1438" s="314">
        <v>5</v>
      </c>
      <c r="E1438" s="314">
        <v>10</v>
      </c>
    </row>
    <row r="1439" spans="1:5" x14ac:dyDescent="0.25">
      <c r="A1439" s="316" t="s">
        <v>2442</v>
      </c>
      <c r="B1439" s="313">
        <v>41583</v>
      </c>
      <c r="C1439" s="316" t="s">
        <v>2403</v>
      </c>
      <c r="D1439" s="314">
        <v>10</v>
      </c>
      <c r="E1439" s="314">
        <v>20</v>
      </c>
    </row>
    <row r="1440" spans="1:5" x14ac:dyDescent="0.25">
      <c r="A1440" s="316" t="s">
        <v>2442</v>
      </c>
      <c r="B1440" s="313">
        <v>41583</v>
      </c>
      <c r="C1440" s="316" t="s">
        <v>2403</v>
      </c>
      <c r="D1440" s="314">
        <v>20</v>
      </c>
      <c r="E1440" s="314">
        <v>30</v>
      </c>
    </row>
    <row r="1441" spans="1:5" x14ac:dyDescent="0.25">
      <c r="A1441" s="316" t="s">
        <v>2442</v>
      </c>
      <c r="B1441" s="313">
        <v>41583</v>
      </c>
      <c r="C1441" s="316" t="s">
        <v>2403</v>
      </c>
      <c r="D1441" s="314">
        <v>30</v>
      </c>
      <c r="E1441" s="314">
        <v>60</v>
      </c>
    </row>
    <row r="1442" spans="1:5" x14ac:dyDescent="0.25">
      <c r="A1442" s="316" t="s">
        <v>2442</v>
      </c>
      <c r="B1442" s="313">
        <v>41583</v>
      </c>
      <c r="C1442" s="316" t="s">
        <v>2403</v>
      </c>
      <c r="D1442" s="314">
        <v>60</v>
      </c>
      <c r="E1442" s="314">
        <v>100</v>
      </c>
    </row>
    <row r="1443" spans="1:5" x14ac:dyDescent="0.25">
      <c r="A1443" s="316" t="s">
        <v>2443</v>
      </c>
      <c r="B1443" s="313">
        <v>41583</v>
      </c>
      <c r="C1443" s="316" t="s">
        <v>2405</v>
      </c>
      <c r="D1443" s="314">
        <v>0</v>
      </c>
      <c r="E1443" s="314">
        <v>5</v>
      </c>
    </row>
    <row r="1444" spans="1:5" x14ac:dyDescent="0.25">
      <c r="A1444" s="316" t="s">
        <v>2443</v>
      </c>
      <c r="B1444" s="313">
        <v>41583</v>
      </c>
      <c r="C1444" s="316" t="s">
        <v>2405</v>
      </c>
      <c r="D1444" s="314">
        <v>5</v>
      </c>
      <c r="E1444" s="314">
        <v>10</v>
      </c>
    </row>
    <row r="1445" spans="1:5" x14ac:dyDescent="0.25">
      <c r="A1445" s="316" t="s">
        <v>2443</v>
      </c>
      <c r="B1445" s="313">
        <v>41583</v>
      </c>
      <c r="C1445" s="316" t="s">
        <v>2405</v>
      </c>
      <c r="D1445" s="314">
        <v>10</v>
      </c>
      <c r="E1445" s="314">
        <v>20</v>
      </c>
    </row>
    <row r="1446" spans="1:5" x14ac:dyDescent="0.25">
      <c r="A1446" s="316" t="s">
        <v>2443</v>
      </c>
      <c r="B1446" s="313">
        <v>41583</v>
      </c>
      <c r="C1446" s="316" t="s">
        <v>2405</v>
      </c>
      <c r="D1446" s="314">
        <v>20</v>
      </c>
      <c r="E1446" s="314">
        <v>30</v>
      </c>
    </row>
    <row r="1447" spans="1:5" x14ac:dyDescent="0.25">
      <c r="A1447" s="316" t="s">
        <v>2443</v>
      </c>
      <c r="B1447" s="313">
        <v>41583</v>
      </c>
      <c r="C1447" s="316" t="s">
        <v>2405</v>
      </c>
      <c r="D1447" s="314">
        <v>30</v>
      </c>
      <c r="E1447" s="314">
        <v>60</v>
      </c>
    </row>
    <row r="1448" spans="1:5" x14ac:dyDescent="0.25">
      <c r="A1448" s="316" t="s">
        <v>2443</v>
      </c>
      <c r="B1448" s="313">
        <v>41583</v>
      </c>
      <c r="C1448" s="316" t="s">
        <v>2405</v>
      </c>
      <c r="D1448" s="314">
        <v>60</v>
      </c>
      <c r="E1448" s="314">
        <v>100</v>
      </c>
    </row>
    <row r="1449" spans="1:5" x14ac:dyDescent="0.25">
      <c r="A1449" s="316" t="s">
        <v>2444</v>
      </c>
      <c r="B1449" s="313">
        <v>41585</v>
      </c>
      <c r="C1449" s="316" t="s">
        <v>2387</v>
      </c>
      <c r="D1449" s="314">
        <v>0</v>
      </c>
      <c r="E1449" s="314">
        <v>5</v>
      </c>
    </row>
    <row r="1450" spans="1:5" x14ac:dyDescent="0.25">
      <c r="A1450" s="316" t="s">
        <v>2444</v>
      </c>
      <c r="B1450" s="313">
        <v>41585</v>
      </c>
      <c r="C1450" s="316" t="s">
        <v>2387</v>
      </c>
      <c r="D1450" s="314">
        <v>5</v>
      </c>
      <c r="E1450" s="314">
        <v>10</v>
      </c>
    </row>
    <row r="1451" spans="1:5" x14ac:dyDescent="0.25">
      <c r="A1451" s="316" t="s">
        <v>2444</v>
      </c>
      <c r="B1451" s="313">
        <v>41585</v>
      </c>
      <c r="C1451" s="316" t="s">
        <v>2387</v>
      </c>
      <c r="D1451" s="314">
        <v>10</v>
      </c>
      <c r="E1451" s="314">
        <v>20</v>
      </c>
    </row>
    <row r="1452" spans="1:5" x14ac:dyDescent="0.25">
      <c r="A1452" s="316" t="s">
        <v>2444</v>
      </c>
      <c r="B1452" s="313">
        <v>41585</v>
      </c>
      <c r="C1452" s="316" t="s">
        <v>2387</v>
      </c>
      <c r="D1452" s="314">
        <v>20</v>
      </c>
      <c r="E1452" s="314">
        <v>30</v>
      </c>
    </row>
    <row r="1453" spans="1:5" x14ac:dyDescent="0.25">
      <c r="A1453" s="316" t="s">
        <v>2444</v>
      </c>
      <c r="B1453" s="313">
        <v>41585</v>
      </c>
      <c r="C1453" s="316" t="s">
        <v>2387</v>
      </c>
      <c r="D1453" s="314">
        <v>30</v>
      </c>
      <c r="E1453" s="314">
        <v>60</v>
      </c>
    </row>
    <row r="1454" spans="1:5" x14ac:dyDescent="0.25">
      <c r="A1454" s="316" t="s">
        <v>2444</v>
      </c>
      <c r="B1454" s="313">
        <v>41585</v>
      </c>
      <c r="C1454" s="316" t="s">
        <v>2387</v>
      </c>
      <c r="D1454" s="314">
        <v>60</v>
      </c>
      <c r="E1454" s="314">
        <v>100</v>
      </c>
    </row>
    <row r="1455" spans="1:5" x14ac:dyDescent="0.25">
      <c r="A1455" s="316" t="s">
        <v>2445</v>
      </c>
      <c r="B1455" s="313">
        <v>41585</v>
      </c>
      <c r="C1455" s="316" t="s">
        <v>2385</v>
      </c>
      <c r="D1455" s="314">
        <v>0</v>
      </c>
      <c r="E1455" s="314">
        <v>5</v>
      </c>
    </row>
    <row r="1456" spans="1:5" x14ac:dyDescent="0.25">
      <c r="A1456" s="316" t="s">
        <v>2445</v>
      </c>
      <c r="B1456" s="313">
        <v>41585</v>
      </c>
      <c r="C1456" s="316" t="s">
        <v>2385</v>
      </c>
      <c r="D1456" s="314">
        <v>5</v>
      </c>
      <c r="E1456" s="314">
        <v>10</v>
      </c>
    </row>
    <row r="1457" spans="1:5" x14ac:dyDescent="0.25">
      <c r="A1457" s="316" t="s">
        <v>2445</v>
      </c>
      <c r="B1457" s="313">
        <v>41585</v>
      </c>
      <c r="C1457" s="316" t="s">
        <v>2385</v>
      </c>
      <c r="D1457" s="314">
        <v>10</v>
      </c>
      <c r="E1457" s="314">
        <v>20</v>
      </c>
    </row>
    <row r="1458" spans="1:5" x14ac:dyDescent="0.25">
      <c r="A1458" s="316" t="s">
        <v>2445</v>
      </c>
      <c r="B1458" s="313">
        <v>41585</v>
      </c>
      <c r="C1458" s="316" t="s">
        <v>2385</v>
      </c>
      <c r="D1458" s="314">
        <v>20</v>
      </c>
      <c r="E1458" s="314">
        <v>30</v>
      </c>
    </row>
    <row r="1459" spans="1:5" x14ac:dyDescent="0.25">
      <c r="A1459" s="316" t="s">
        <v>2445</v>
      </c>
      <c r="B1459" s="313">
        <v>41585</v>
      </c>
      <c r="C1459" s="316" t="s">
        <v>2385</v>
      </c>
      <c r="D1459" s="314">
        <v>30</v>
      </c>
      <c r="E1459" s="314">
        <v>60</v>
      </c>
    </row>
    <row r="1460" spans="1:5" x14ac:dyDescent="0.25">
      <c r="A1460" s="316" t="s">
        <v>2445</v>
      </c>
      <c r="B1460" s="313">
        <v>41585</v>
      </c>
      <c r="C1460" s="316" t="s">
        <v>2385</v>
      </c>
      <c r="D1460" s="314">
        <v>60</v>
      </c>
      <c r="E1460" s="314">
        <v>100</v>
      </c>
    </row>
    <row r="1461" spans="1:5" x14ac:dyDescent="0.25">
      <c r="A1461" s="316" t="s">
        <v>2446</v>
      </c>
      <c r="B1461" s="313">
        <v>41585</v>
      </c>
      <c r="C1461" s="316" t="s">
        <v>2391</v>
      </c>
      <c r="D1461" s="314">
        <v>0</v>
      </c>
      <c r="E1461" s="314">
        <v>5</v>
      </c>
    </row>
    <row r="1462" spans="1:5" x14ac:dyDescent="0.25">
      <c r="A1462" s="316" t="s">
        <v>2446</v>
      </c>
      <c r="B1462" s="313">
        <v>41585</v>
      </c>
      <c r="C1462" s="316" t="s">
        <v>2391</v>
      </c>
      <c r="D1462" s="314">
        <v>5</v>
      </c>
      <c r="E1462" s="314">
        <v>10</v>
      </c>
    </row>
    <row r="1463" spans="1:5" x14ac:dyDescent="0.25">
      <c r="A1463" s="316" t="s">
        <v>2446</v>
      </c>
      <c r="B1463" s="313">
        <v>41585</v>
      </c>
      <c r="C1463" s="316" t="s">
        <v>2391</v>
      </c>
      <c r="D1463" s="314">
        <v>10</v>
      </c>
      <c r="E1463" s="314">
        <v>20</v>
      </c>
    </row>
    <row r="1464" spans="1:5" x14ac:dyDescent="0.25">
      <c r="A1464" s="316" t="s">
        <v>2446</v>
      </c>
      <c r="B1464" s="313">
        <v>41585</v>
      </c>
      <c r="C1464" s="316" t="s">
        <v>2391</v>
      </c>
      <c r="D1464" s="314">
        <v>20</v>
      </c>
      <c r="E1464" s="314">
        <v>30</v>
      </c>
    </row>
    <row r="1465" spans="1:5" x14ac:dyDescent="0.25">
      <c r="A1465" s="316" t="s">
        <v>2446</v>
      </c>
      <c r="B1465" s="313">
        <v>41585</v>
      </c>
      <c r="C1465" s="316" t="s">
        <v>2391</v>
      </c>
      <c r="D1465" s="314">
        <v>30</v>
      </c>
      <c r="E1465" s="314">
        <v>60</v>
      </c>
    </row>
    <row r="1466" spans="1:5" x14ac:dyDescent="0.25">
      <c r="A1466" s="316" t="s">
        <v>2446</v>
      </c>
      <c r="B1466" s="313">
        <v>41585</v>
      </c>
      <c r="C1466" s="316" t="s">
        <v>2391</v>
      </c>
      <c r="D1466" s="314">
        <v>60</v>
      </c>
      <c r="E1466" s="314">
        <v>100</v>
      </c>
    </row>
    <row r="1467" spans="1:5" x14ac:dyDescent="0.25">
      <c r="A1467" s="316" t="s">
        <v>2447</v>
      </c>
      <c r="B1467" s="313">
        <v>41585</v>
      </c>
      <c r="C1467" s="316" t="s">
        <v>2389</v>
      </c>
      <c r="D1467" s="314">
        <v>0</v>
      </c>
      <c r="E1467" s="314">
        <v>5</v>
      </c>
    </row>
    <row r="1468" spans="1:5" x14ac:dyDescent="0.25">
      <c r="A1468" s="316" t="s">
        <v>2447</v>
      </c>
      <c r="B1468" s="313">
        <v>41585</v>
      </c>
      <c r="C1468" s="316" t="s">
        <v>2389</v>
      </c>
      <c r="D1468" s="314">
        <v>5</v>
      </c>
      <c r="E1468" s="314">
        <v>10</v>
      </c>
    </row>
    <row r="1469" spans="1:5" x14ac:dyDescent="0.25">
      <c r="A1469" s="316" t="s">
        <v>2447</v>
      </c>
      <c r="B1469" s="313">
        <v>41585</v>
      </c>
      <c r="C1469" s="316" t="s">
        <v>2389</v>
      </c>
      <c r="D1469" s="314">
        <v>10</v>
      </c>
      <c r="E1469" s="314">
        <v>20</v>
      </c>
    </row>
    <row r="1470" spans="1:5" x14ac:dyDescent="0.25">
      <c r="A1470" s="316" t="s">
        <v>2447</v>
      </c>
      <c r="B1470" s="313">
        <v>41585</v>
      </c>
      <c r="C1470" s="316" t="s">
        <v>2389</v>
      </c>
      <c r="D1470" s="314">
        <v>20</v>
      </c>
      <c r="E1470" s="314">
        <v>30</v>
      </c>
    </row>
    <row r="1471" spans="1:5" x14ac:dyDescent="0.25">
      <c r="A1471" s="316" t="s">
        <v>2447</v>
      </c>
      <c r="B1471" s="313">
        <v>41585</v>
      </c>
      <c r="C1471" s="316" t="s">
        <v>2389</v>
      </c>
      <c r="D1471" s="314">
        <v>30</v>
      </c>
      <c r="E1471" s="314">
        <v>60</v>
      </c>
    </row>
    <row r="1472" spans="1:5" x14ac:dyDescent="0.25">
      <c r="A1472" s="316" t="s">
        <v>2447</v>
      </c>
      <c r="B1472" s="313">
        <v>41585</v>
      </c>
      <c r="C1472" s="316" t="s">
        <v>2389</v>
      </c>
      <c r="D1472" s="314">
        <v>60</v>
      </c>
      <c r="E1472" s="314">
        <v>100</v>
      </c>
    </row>
    <row r="1473" spans="1:5" x14ac:dyDescent="0.25">
      <c r="A1473" s="316" t="s">
        <v>2448</v>
      </c>
      <c r="B1473" s="313">
        <v>41585</v>
      </c>
      <c r="C1473" s="316" t="s">
        <v>2381</v>
      </c>
      <c r="D1473" s="314">
        <v>0</v>
      </c>
      <c r="E1473" s="314">
        <v>5</v>
      </c>
    </row>
    <row r="1474" spans="1:5" x14ac:dyDescent="0.25">
      <c r="A1474" s="316" t="s">
        <v>2448</v>
      </c>
      <c r="B1474" s="313">
        <v>41585</v>
      </c>
      <c r="C1474" s="316" t="s">
        <v>2381</v>
      </c>
      <c r="D1474" s="314">
        <v>5</v>
      </c>
      <c r="E1474" s="314">
        <v>10</v>
      </c>
    </row>
    <row r="1475" spans="1:5" x14ac:dyDescent="0.25">
      <c r="A1475" s="316" t="s">
        <v>2448</v>
      </c>
      <c r="B1475" s="313">
        <v>41585</v>
      </c>
      <c r="C1475" s="316" t="s">
        <v>2381</v>
      </c>
      <c r="D1475" s="314">
        <v>10</v>
      </c>
      <c r="E1475" s="314">
        <v>20</v>
      </c>
    </row>
    <row r="1476" spans="1:5" x14ac:dyDescent="0.25">
      <c r="A1476" s="316" t="s">
        <v>2448</v>
      </c>
      <c r="B1476" s="313">
        <v>41585</v>
      </c>
      <c r="C1476" s="316" t="s">
        <v>2381</v>
      </c>
      <c r="D1476" s="314">
        <v>20</v>
      </c>
      <c r="E1476" s="314">
        <v>30</v>
      </c>
    </row>
    <row r="1477" spans="1:5" x14ac:dyDescent="0.25">
      <c r="A1477" s="316" t="s">
        <v>2448</v>
      </c>
      <c r="B1477" s="313">
        <v>41585</v>
      </c>
      <c r="C1477" s="316" t="s">
        <v>2381</v>
      </c>
      <c r="D1477" s="314">
        <v>30</v>
      </c>
      <c r="E1477" s="314">
        <v>60</v>
      </c>
    </row>
    <row r="1478" spans="1:5" x14ac:dyDescent="0.25">
      <c r="A1478" s="316" t="s">
        <v>2448</v>
      </c>
      <c r="B1478" s="313">
        <v>41585</v>
      </c>
      <c r="C1478" s="316" t="s">
        <v>2381</v>
      </c>
      <c r="D1478" s="314">
        <v>60</v>
      </c>
      <c r="E1478" s="314">
        <v>100</v>
      </c>
    </row>
    <row r="1479" spans="1:5" x14ac:dyDescent="0.25">
      <c r="A1479" s="316" t="s">
        <v>2449</v>
      </c>
      <c r="B1479" s="313">
        <v>41585</v>
      </c>
      <c r="C1479" s="316" t="s">
        <v>2393</v>
      </c>
      <c r="D1479" s="314">
        <v>0</v>
      </c>
      <c r="E1479" s="314">
        <v>5</v>
      </c>
    </row>
    <row r="1480" spans="1:5" x14ac:dyDescent="0.25">
      <c r="A1480" s="316" t="s">
        <v>2449</v>
      </c>
      <c r="B1480" s="313">
        <v>41585</v>
      </c>
      <c r="C1480" s="316" t="s">
        <v>2393</v>
      </c>
      <c r="D1480" s="314">
        <v>5</v>
      </c>
      <c r="E1480" s="314">
        <v>10</v>
      </c>
    </row>
    <row r="1481" spans="1:5" x14ac:dyDescent="0.25">
      <c r="A1481" s="316" t="s">
        <v>2449</v>
      </c>
      <c r="B1481" s="313">
        <v>41585</v>
      </c>
      <c r="C1481" s="316" t="s">
        <v>2393</v>
      </c>
      <c r="D1481" s="314">
        <v>10</v>
      </c>
      <c r="E1481" s="314">
        <v>20</v>
      </c>
    </row>
    <row r="1482" spans="1:5" x14ac:dyDescent="0.25">
      <c r="A1482" s="316" t="s">
        <v>2449</v>
      </c>
      <c r="B1482" s="313">
        <v>41585</v>
      </c>
      <c r="C1482" s="316" t="s">
        <v>2393</v>
      </c>
      <c r="D1482" s="314">
        <v>20</v>
      </c>
      <c r="E1482" s="314">
        <v>30</v>
      </c>
    </row>
    <row r="1483" spans="1:5" x14ac:dyDescent="0.25">
      <c r="A1483" s="316" t="s">
        <v>2449</v>
      </c>
      <c r="B1483" s="313">
        <v>41585</v>
      </c>
      <c r="C1483" s="316" t="s">
        <v>2393</v>
      </c>
      <c r="D1483" s="314">
        <v>30</v>
      </c>
      <c r="E1483" s="314">
        <v>60</v>
      </c>
    </row>
    <row r="1484" spans="1:5" x14ac:dyDescent="0.25">
      <c r="A1484" s="316" t="s">
        <v>2449</v>
      </c>
      <c r="B1484" s="313">
        <v>41585</v>
      </c>
      <c r="C1484" s="316" t="s">
        <v>2393</v>
      </c>
      <c r="D1484" s="314">
        <v>60</v>
      </c>
      <c r="E1484" s="314">
        <v>100</v>
      </c>
    </row>
    <row r="1485" spans="1:5" x14ac:dyDescent="0.25">
      <c r="A1485" s="316" t="s">
        <v>2450</v>
      </c>
      <c r="B1485" s="313">
        <v>41585</v>
      </c>
      <c r="C1485" s="316" t="s">
        <v>2383</v>
      </c>
      <c r="D1485" s="314">
        <v>0</v>
      </c>
      <c r="E1485" s="314">
        <v>5</v>
      </c>
    </row>
    <row r="1486" spans="1:5" x14ac:dyDescent="0.25">
      <c r="A1486" s="316" t="s">
        <v>2450</v>
      </c>
      <c r="B1486" s="313">
        <v>41585</v>
      </c>
      <c r="C1486" s="316" t="s">
        <v>2383</v>
      </c>
      <c r="D1486" s="314">
        <v>5</v>
      </c>
      <c r="E1486" s="314">
        <v>10</v>
      </c>
    </row>
    <row r="1487" spans="1:5" x14ac:dyDescent="0.25">
      <c r="A1487" s="316" t="s">
        <v>2450</v>
      </c>
      <c r="B1487" s="313">
        <v>41585</v>
      </c>
      <c r="C1487" s="316" t="s">
        <v>2383</v>
      </c>
      <c r="D1487" s="314">
        <v>10</v>
      </c>
      <c r="E1487" s="314">
        <v>20</v>
      </c>
    </row>
    <row r="1488" spans="1:5" x14ac:dyDescent="0.25">
      <c r="A1488" s="316" t="s">
        <v>2450</v>
      </c>
      <c r="B1488" s="313">
        <v>41585</v>
      </c>
      <c r="C1488" s="316" t="s">
        <v>2383</v>
      </c>
      <c r="D1488" s="314">
        <v>20</v>
      </c>
      <c r="E1488" s="314">
        <v>30</v>
      </c>
    </row>
    <row r="1489" spans="1:5" x14ac:dyDescent="0.25">
      <c r="A1489" s="316" t="s">
        <v>2450</v>
      </c>
      <c r="B1489" s="313">
        <v>41585</v>
      </c>
      <c r="C1489" s="316" t="s">
        <v>2383</v>
      </c>
      <c r="D1489" s="314">
        <v>30</v>
      </c>
      <c r="E1489" s="314">
        <v>60</v>
      </c>
    </row>
    <row r="1490" spans="1:5" x14ac:dyDescent="0.25">
      <c r="A1490" s="316" t="s">
        <v>2450</v>
      </c>
      <c r="B1490" s="313">
        <v>41585</v>
      </c>
      <c r="C1490" s="316" t="s">
        <v>2383</v>
      </c>
      <c r="D1490" s="314">
        <v>60</v>
      </c>
      <c r="E1490" s="314">
        <v>100</v>
      </c>
    </row>
    <row r="1491" spans="1:5" x14ac:dyDescent="0.25">
      <c r="A1491" s="316" t="s">
        <v>2451</v>
      </c>
      <c r="B1491" s="313">
        <v>41585</v>
      </c>
      <c r="C1491" s="316" t="s">
        <v>2395</v>
      </c>
      <c r="D1491" s="314">
        <v>0</v>
      </c>
      <c r="E1491" s="314">
        <v>5</v>
      </c>
    </row>
    <row r="1492" spans="1:5" x14ac:dyDescent="0.25">
      <c r="A1492" s="316" t="s">
        <v>2451</v>
      </c>
      <c r="B1492" s="313">
        <v>41585</v>
      </c>
      <c r="C1492" s="316" t="s">
        <v>2395</v>
      </c>
      <c r="D1492" s="314">
        <v>5</v>
      </c>
      <c r="E1492" s="314">
        <v>10</v>
      </c>
    </row>
    <row r="1493" spans="1:5" x14ac:dyDescent="0.25">
      <c r="A1493" s="316" t="s">
        <v>2451</v>
      </c>
      <c r="B1493" s="313">
        <v>41585</v>
      </c>
      <c r="C1493" s="316" t="s">
        <v>2395</v>
      </c>
      <c r="D1493" s="314">
        <v>10</v>
      </c>
      <c r="E1493" s="314">
        <v>20</v>
      </c>
    </row>
    <row r="1494" spans="1:5" x14ac:dyDescent="0.25">
      <c r="A1494" s="316" t="s">
        <v>2451</v>
      </c>
      <c r="B1494" s="313">
        <v>41585</v>
      </c>
      <c r="C1494" s="316" t="s">
        <v>2395</v>
      </c>
      <c r="D1494" s="314">
        <v>20</v>
      </c>
      <c r="E1494" s="314">
        <v>30</v>
      </c>
    </row>
    <row r="1495" spans="1:5" x14ac:dyDescent="0.25">
      <c r="A1495" s="316" t="s">
        <v>2451</v>
      </c>
      <c r="B1495" s="313">
        <v>41585</v>
      </c>
      <c r="C1495" s="316" t="s">
        <v>2395</v>
      </c>
      <c r="D1495" s="314">
        <v>30</v>
      </c>
      <c r="E1495" s="314">
        <v>60</v>
      </c>
    </row>
    <row r="1496" spans="1:5" x14ac:dyDescent="0.25">
      <c r="A1496" s="316" t="s">
        <v>2451</v>
      </c>
      <c r="B1496" s="313">
        <v>41585</v>
      </c>
      <c r="C1496" s="316" t="s">
        <v>2395</v>
      </c>
      <c r="D1496" s="314">
        <v>60</v>
      </c>
      <c r="E1496" s="314">
        <v>100</v>
      </c>
    </row>
    <row r="1497" spans="1:5" x14ac:dyDescent="0.25">
      <c r="A1497" s="316" t="s">
        <v>2452</v>
      </c>
      <c r="B1497" s="313">
        <v>41583</v>
      </c>
      <c r="C1497" s="316" t="s">
        <v>2397</v>
      </c>
      <c r="D1497" s="314">
        <v>0</v>
      </c>
      <c r="E1497" s="314">
        <v>5</v>
      </c>
    </row>
    <row r="1498" spans="1:5" x14ac:dyDescent="0.25">
      <c r="A1498" s="316" t="s">
        <v>2452</v>
      </c>
      <c r="B1498" s="313">
        <v>41583</v>
      </c>
      <c r="C1498" s="316" t="s">
        <v>2397</v>
      </c>
      <c r="D1498" s="314">
        <v>5</v>
      </c>
      <c r="E1498" s="314">
        <v>10</v>
      </c>
    </row>
    <row r="1499" spans="1:5" x14ac:dyDescent="0.25">
      <c r="A1499" s="316" t="s">
        <v>2452</v>
      </c>
      <c r="B1499" s="313">
        <v>41583</v>
      </c>
      <c r="C1499" s="316" t="s">
        <v>2397</v>
      </c>
      <c r="D1499" s="314">
        <v>10</v>
      </c>
      <c r="E1499" s="314">
        <v>20</v>
      </c>
    </row>
    <row r="1500" spans="1:5" x14ac:dyDescent="0.25">
      <c r="A1500" s="316" t="s">
        <v>2452</v>
      </c>
      <c r="B1500" s="313">
        <v>41583</v>
      </c>
      <c r="C1500" s="316" t="s">
        <v>2397</v>
      </c>
      <c r="D1500" s="314">
        <v>20</v>
      </c>
      <c r="E1500" s="314">
        <v>30</v>
      </c>
    </row>
    <row r="1501" spans="1:5" x14ac:dyDescent="0.25">
      <c r="A1501" s="316" t="s">
        <v>2452</v>
      </c>
      <c r="B1501" s="313">
        <v>41583</v>
      </c>
      <c r="C1501" s="316" t="s">
        <v>2397</v>
      </c>
      <c r="D1501" s="314">
        <v>30</v>
      </c>
      <c r="E1501" s="314">
        <v>60</v>
      </c>
    </row>
    <row r="1502" spans="1:5" x14ac:dyDescent="0.25">
      <c r="A1502" s="316" t="s">
        <v>2452</v>
      </c>
      <c r="B1502" s="313">
        <v>41583</v>
      </c>
      <c r="C1502" s="316" t="s">
        <v>2397</v>
      </c>
      <c r="D1502" s="314">
        <v>60</v>
      </c>
      <c r="E1502" s="314">
        <v>100</v>
      </c>
    </row>
    <row r="1503" spans="1:5" x14ac:dyDescent="0.25">
      <c r="A1503" s="316" t="s">
        <v>2453</v>
      </c>
      <c r="B1503" s="313">
        <v>41583</v>
      </c>
      <c r="C1503" s="316" t="s">
        <v>2409</v>
      </c>
      <c r="D1503" s="314">
        <v>0</v>
      </c>
      <c r="E1503" s="314">
        <v>5</v>
      </c>
    </row>
    <row r="1504" spans="1:5" x14ac:dyDescent="0.25">
      <c r="A1504" s="316" t="s">
        <v>2453</v>
      </c>
      <c r="B1504" s="313">
        <v>41583</v>
      </c>
      <c r="C1504" s="316" t="s">
        <v>2409</v>
      </c>
      <c r="D1504" s="314">
        <v>5</v>
      </c>
      <c r="E1504" s="314">
        <v>10</v>
      </c>
    </row>
    <row r="1505" spans="1:5" x14ac:dyDescent="0.25">
      <c r="A1505" s="316" t="s">
        <v>2453</v>
      </c>
      <c r="B1505" s="313">
        <v>41583</v>
      </c>
      <c r="C1505" s="316" t="s">
        <v>2409</v>
      </c>
      <c r="D1505" s="314">
        <v>10</v>
      </c>
      <c r="E1505" s="314">
        <v>20</v>
      </c>
    </row>
    <row r="1506" spans="1:5" x14ac:dyDescent="0.25">
      <c r="A1506" s="316" t="s">
        <v>2453</v>
      </c>
      <c r="B1506" s="313">
        <v>41583</v>
      </c>
      <c r="C1506" s="316" t="s">
        <v>2409</v>
      </c>
      <c r="D1506" s="314">
        <v>20</v>
      </c>
      <c r="E1506" s="314">
        <v>30</v>
      </c>
    </row>
    <row r="1507" spans="1:5" x14ac:dyDescent="0.25">
      <c r="A1507" s="316" t="s">
        <v>2453</v>
      </c>
      <c r="B1507" s="313">
        <v>41583</v>
      </c>
      <c r="C1507" s="316" t="s">
        <v>2409</v>
      </c>
      <c r="D1507" s="314">
        <v>30</v>
      </c>
      <c r="E1507" s="314">
        <v>60</v>
      </c>
    </row>
    <row r="1508" spans="1:5" x14ac:dyDescent="0.25">
      <c r="A1508" s="316" t="s">
        <v>2453</v>
      </c>
      <c r="B1508" s="313">
        <v>41583</v>
      </c>
      <c r="C1508" s="316" t="s">
        <v>2409</v>
      </c>
      <c r="D1508" s="314">
        <v>60</v>
      </c>
      <c r="E1508" s="314">
        <v>100</v>
      </c>
    </row>
    <row r="1509" spans="1:5" x14ac:dyDescent="0.25">
      <c r="A1509" s="316" t="s">
        <v>2454</v>
      </c>
      <c r="B1509" s="313">
        <v>41583</v>
      </c>
      <c r="C1509" s="316" t="s">
        <v>2399</v>
      </c>
      <c r="D1509" s="314">
        <v>0</v>
      </c>
      <c r="E1509" s="314">
        <v>5</v>
      </c>
    </row>
    <row r="1510" spans="1:5" x14ac:dyDescent="0.25">
      <c r="A1510" s="316" t="s">
        <v>2454</v>
      </c>
      <c r="B1510" s="313">
        <v>41583</v>
      </c>
      <c r="C1510" s="316" t="s">
        <v>2399</v>
      </c>
      <c r="D1510" s="314">
        <v>5</v>
      </c>
      <c r="E1510" s="314">
        <v>10</v>
      </c>
    </row>
    <row r="1511" spans="1:5" x14ac:dyDescent="0.25">
      <c r="A1511" s="316" t="s">
        <v>2454</v>
      </c>
      <c r="B1511" s="313">
        <v>41583</v>
      </c>
      <c r="C1511" s="316" t="s">
        <v>2399</v>
      </c>
      <c r="D1511" s="314">
        <v>10</v>
      </c>
      <c r="E1511" s="314">
        <v>20</v>
      </c>
    </row>
    <row r="1512" spans="1:5" x14ac:dyDescent="0.25">
      <c r="A1512" s="316" t="s">
        <v>2454</v>
      </c>
      <c r="B1512" s="313">
        <v>41583</v>
      </c>
      <c r="C1512" s="316" t="s">
        <v>2399</v>
      </c>
      <c r="D1512" s="314">
        <v>20</v>
      </c>
      <c r="E1512" s="314">
        <v>30</v>
      </c>
    </row>
    <row r="1513" spans="1:5" x14ac:dyDescent="0.25">
      <c r="A1513" s="316" t="s">
        <v>2454</v>
      </c>
      <c r="B1513" s="313">
        <v>41583</v>
      </c>
      <c r="C1513" s="316" t="s">
        <v>2399</v>
      </c>
      <c r="D1513" s="314">
        <v>30</v>
      </c>
      <c r="E1513" s="314">
        <v>60</v>
      </c>
    </row>
    <row r="1514" spans="1:5" x14ac:dyDescent="0.25">
      <c r="A1514" s="316" t="s">
        <v>2454</v>
      </c>
      <c r="B1514" s="313">
        <v>41583</v>
      </c>
      <c r="C1514" s="316" t="s">
        <v>2399</v>
      </c>
      <c r="D1514" s="314">
        <v>60</v>
      </c>
      <c r="E1514" s="314">
        <v>100</v>
      </c>
    </row>
    <row r="1515" spans="1:5" x14ac:dyDescent="0.25">
      <c r="A1515" s="316" t="s">
        <v>2455</v>
      </c>
      <c r="B1515" s="313">
        <v>41583</v>
      </c>
      <c r="C1515" s="316" t="s">
        <v>2401</v>
      </c>
      <c r="D1515" s="314">
        <v>0</v>
      </c>
      <c r="E1515" s="314">
        <v>5</v>
      </c>
    </row>
    <row r="1516" spans="1:5" x14ac:dyDescent="0.25">
      <c r="A1516" s="316" t="s">
        <v>2455</v>
      </c>
      <c r="B1516" s="313">
        <v>41583</v>
      </c>
      <c r="C1516" s="316" t="s">
        <v>2401</v>
      </c>
      <c r="D1516" s="314">
        <v>5</v>
      </c>
      <c r="E1516" s="314">
        <v>10</v>
      </c>
    </row>
    <row r="1517" spans="1:5" x14ac:dyDescent="0.25">
      <c r="A1517" s="316" t="s">
        <v>2455</v>
      </c>
      <c r="B1517" s="313">
        <v>41583</v>
      </c>
      <c r="C1517" s="316" t="s">
        <v>2401</v>
      </c>
      <c r="D1517" s="314">
        <v>10</v>
      </c>
      <c r="E1517" s="314">
        <v>20</v>
      </c>
    </row>
    <row r="1518" spans="1:5" x14ac:dyDescent="0.25">
      <c r="A1518" s="316" t="s">
        <v>2455</v>
      </c>
      <c r="B1518" s="313">
        <v>41583</v>
      </c>
      <c r="C1518" s="316" t="s">
        <v>2401</v>
      </c>
      <c r="D1518" s="314">
        <v>20</v>
      </c>
      <c r="E1518" s="314">
        <v>30</v>
      </c>
    </row>
    <row r="1519" spans="1:5" x14ac:dyDescent="0.25">
      <c r="A1519" s="316" t="s">
        <v>2455</v>
      </c>
      <c r="B1519" s="313">
        <v>41583</v>
      </c>
      <c r="C1519" s="316" t="s">
        <v>2401</v>
      </c>
      <c r="D1519" s="314">
        <v>30</v>
      </c>
      <c r="E1519" s="314">
        <v>60</v>
      </c>
    </row>
    <row r="1520" spans="1:5" x14ac:dyDescent="0.25">
      <c r="A1520" s="316" t="s">
        <v>2455</v>
      </c>
      <c r="B1520" s="313">
        <v>41583</v>
      </c>
      <c r="C1520" s="316" t="s">
        <v>2401</v>
      </c>
      <c r="D1520" s="314">
        <v>60</v>
      </c>
      <c r="E1520" s="314">
        <v>100</v>
      </c>
    </row>
    <row r="1521" spans="1:5" x14ac:dyDescent="0.25">
      <c r="A1521" s="316" t="s">
        <v>2456</v>
      </c>
      <c r="B1521" s="313">
        <v>41583</v>
      </c>
      <c r="C1521" s="316" t="s">
        <v>2407</v>
      </c>
      <c r="D1521" s="314">
        <v>0</v>
      </c>
      <c r="E1521" s="314">
        <v>5</v>
      </c>
    </row>
    <row r="1522" spans="1:5" x14ac:dyDescent="0.25">
      <c r="A1522" s="316" t="s">
        <v>2456</v>
      </c>
      <c r="B1522" s="313">
        <v>41583</v>
      </c>
      <c r="C1522" s="316" t="s">
        <v>2407</v>
      </c>
      <c r="D1522" s="314">
        <v>5</v>
      </c>
      <c r="E1522" s="314">
        <v>10</v>
      </c>
    </row>
    <row r="1523" spans="1:5" x14ac:dyDescent="0.25">
      <c r="A1523" s="316" t="s">
        <v>2456</v>
      </c>
      <c r="B1523" s="313">
        <v>41583</v>
      </c>
      <c r="C1523" s="316" t="s">
        <v>2407</v>
      </c>
      <c r="D1523" s="314">
        <v>10</v>
      </c>
      <c r="E1523" s="314">
        <v>20</v>
      </c>
    </row>
    <row r="1524" spans="1:5" x14ac:dyDescent="0.25">
      <c r="A1524" s="316" t="s">
        <v>2456</v>
      </c>
      <c r="B1524" s="313">
        <v>41583</v>
      </c>
      <c r="C1524" s="316" t="s">
        <v>2407</v>
      </c>
      <c r="D1524" s="314">
        <v>20</v>
      </c>
      <c r="E1524" s="314">
        <v>30</v>
      </c>
    </row>
    <row r="1525" spans="1:5" x14ac:dyDescent="0.25">
      <c r="A1525" s="316" t="s">
        <v>2456</v>
      </c>
      <c r="B1525" s="313">
        <v>41583</v>
      </c>
      <c r="C1525" s="316" t="s">
        <v>2407</v>
      </c>
      <c r="D1525" s="314">
        <v>30</v>
      </c>
      <c r="E1525" s="314">
        <v>60</v>
      </c>
    </row>
    <row r="1526" spans="1:5" x14ac:dyDescent="0.25">
      <c r="A1526" s="316" t="s">
        <v>2456</v>
      </c>
      <c r="B1526" s="313">
        <v>41583</v>
      </c>
      <c r="C1526" s="316" t="s">
        <v>2407</v>
      </c>
      <c r="D1526" s="314">
        <v>60</v>
      </c>
      <c r="E1526" s="314">
        <v>100</v>
      </c>
    </row>
    <row r="1527" spans="1:5" x14ac:dyDescent="0.25">
      <c r="A1527" s="316" t="s">
        <v>2457</v>
      </c>
      <c r="B1527" s="313">
        <v>41583</v>
      </c>
      <c r="C1527" s="316" t="s">
        <v>2403</v>
      </c>
      <c r="D1527" s="314">
        <v>0</v>
      </c>
      <c r="E1527" s="314">
        <v>5</v>
      </c>
    </row>
    <row r="1528" spans="1:5" x14ac:dyDescent="0.25">
      <c r="A1528" s="316" t="s">
        <v>2457</v>
      </c>
      <c r="B1528" s="313">
        <v>41583</v>
      </c>
      <c r="C1528" s="316" t="s">
        <v>2403</v>
      </c>
      <c r="D1528" s="314">
        <v>5</v>
      </c>
      <c r="E1528" s="314">
        <v>10</v>
      </c>
    </row>
    <row r="1529" spans="1:5" x14ac:dyDescent="0.25">
      <c r="A1529" s="316" t="s">
        <v>2457</v>
      </c>
      <c r="B1529" s="313">
        <v>41583</v>
      </c>
      <c r="C1529" s="316" t="s">
        <v>2403</v>
      </c>
      <c r="D1529" s="314">
        <v>10</v>
      </c>
      <c r="E1529" s="314">
        <v>20</v>
      </c>
    </row>
    <row r="1530" spans="1:5" x14ac:dyDescent="0.25">
      <c r="A1530" s="316" t="s">
        <v>2457</v>
      </c>
      <c r="B1530" s="313">
        <v>41583</v>
      </c>
      <c r="C1530" s="316" t="s">
        <v>2403</v>
      </c>
      <c r="D1530" s="314">
        <v>20</v>
      </c>
      <c r="E1530" s="314">
        <v>30</v>
      </c>
    </row>
    <row r="1531" spans="1:5" x14ac:dyDescent="0.25">
      <c r="A1531" s="316" t="s">
        <v>2457</v>
      </c>
      <c r="B1531" s="313">
        <v>41583</v>
      </c>
      <c r="C1531" s="316" t="s">
        <v>2403</v>
      </c>
      <c r="D1531" s="314">
        <v>30</v>
      </c>
      <c r="E1531" s="314">
        <v>60</v>
      </c>
    </row>
    <row r="1532" spans="1:5" x14ac:dyDescent="0.25">
      <c r="A1532" s="316" t="s">
        <v>2457</v>
      </c>
      <c r="B1532" s="313">
        <v>41583</v>
      </c>
      <c r="C1532" s="316" t="s">
        <v>2403</v>
      </c>
      <c r="D1532" s="314">
        <v>60</v>
      </c>
      <c r="E1532" s="314">
        <v>100</v>
      </c>
    </row>
    <row r="1533" spans="1:5" x14ac:dyDescent="0.25">
      <c r="A1533" s="316" t="s">
        <v>2458</v>
      </c>
      <c r="B1533" s="313">
        <v>41583</v>
      </c>
      <c r="C1533" s="316" t="s">
        <v>2411</v>
      </c>
      <c r="D1533" s="314">
        <v>0</v>
      </c>
      <c r="E1533" s="314">
        <v>5</v>
      </c>
    </row>
    <row r="1534" spans="1:5" x14ac:dyDescent="0.25">
      <c r="A1534" s="316" t="s">
        <v>2458</v>
      </c>
      <c r="B1534" s="313">
        <v>41583</v>
      </c>
      <c r="C1534" s="316" t="s">
        <v>2411</v>
      </c>
      <c r="D1534" s="314">
        <v>5</v>
      </c>
      <c r="E1534" s="314">
        <v>10</v>
      </c>
    </row>
    <row r="1535" spans="1:5" x14ac:dyDescent="0.25">
      <c r="A1535" s="316" t="s">
        <v>2458</v>
      </c>
      <c r="B1535" s="313">
        <v>41583</v>
      </c>
      <c r="C1535" s="316" t="s">
        <v>2411</v>
      </c>
      <c r="D1535" s="314">
        <v>10</v>
      </c>
      <c r="E1535" s="314">
        <v>20</v>
      </c>
    </row>
    <row r="1536" spans="1:5" x14ac:dyDescent="0.25">
      <c r="A1536" s="316" t="s">
        <v>2458</v>
      </c>
      <c r="B1536" s="313">
        <v>41583</v>
      </c>
      <c r="C1536" s="316" t="s">
        <v>2411</v>
      </c>
      <c r="D1536" s="314">
        <v>20</v>
      </c>
      <c r="E1536" s="314">
        <v>30</v>
      </c>
    </row>
    <row r="1537" spans="1:5" x14ac:dyDescent="0.25">
      <c r="A1537" s="316" t="s">
        <v>2458</v>
      </c>
      <c r="B1537" s="313">
        <v>41583</v>
      </c>
      <c r="C1537" s="316" t="s">
        <v>2411</v>
      </c>
      <c r="D1537" s="314">
        <v>30</v>
      </c>
      <c r="E1537" s="314">
        <v>60</v>
      </c>
    </row>
    <row r="1538" spans="1:5" x14ac:dyDescent="0.25">
      <c r="A1538" s="316" t="s">
        <v>2458</v>
      </c>
      <c r="B1538" s="313">
        <v>41583</v>
      </c>
      <c r="C1538" s="316" t="s">
        <v>2411</v>
      </c>
      <c r="D1538" s="314">
        <v>60</v>
      </c>
      <c r="E1538" s="314">
        <v>100</v>
      </c>
    </row>
    <row r="1539" spans="1:5" x14ac:dyDescent="0.25">
      <c r="A1539" s="316" t="s">
        <v>2459</v>
      </c>
      <c r="B1539" s="313">
        <v>41583</v>
      </c>
      <c r="C1539" s="316" t="s">
        <v>2405</v>
      </c>
      <c r="D1539" s="314">
        <v>0</v>
      </c>
      <c r="E1539" s="314">
        <v>5</v>
      </c>
    </row>
    <row r="1540" spans="1:5" x14ac:dyDescent="0.25">
      <c r="A1540" s="316" t="s">
        <v>2459</v>
      </c>
      <c r="B1540" s="313">
        <v>41583</v>
      </c>
      <c r="C1540" s="316" t="s">
        <v>2405</v>
      </c>
      <c r="D1540" s="314">
        <v>5</v>
      </c>
      <c r="E1540" s="314">
        <v>10</v>
      </c>
    </row>
    <row r="1541" spans="1:5" x14ac:dyDescent="0.25">
      <c r="A1541" s="316" t="s">
        <v>2459</v>
      </c>
      <c r="B1541" s="313">
        <v>41583</v>
      </c>
      <c r="C1541" s="316" t="s">
        <v>2405</v>
      </c>
      <c r="D1541" s="314">
        <v>10</v>
      </c>
      <c r="E1541" s="314">
        <v>20</v>
      </c>
    </row>
    <row r="1542" spans="1:5" x14ac:dyDescent="0.25">
      <c r="A1542" s="316" t="s">
        <v>2459</v>
      </c>
      <c r="B1542" s="313">
        <v>41583</v>
      </c>
      <c r="C1542" s="316" t="s">
        <v>2405</v>
      </c>
      <c r="D1542" s="314">
        <v>20</v>
      </c>
      <c r="E1542" s="314">
        <v>30</v>
      </c>
    </row>
    <row r="1543" spans="1:5" x14ac:dyDescent="0.25">
      <c r="A1543" s="316" t="s">
        <v>2459</v>
      </c>
      <c r="B1543" s="313">
        <v>41583</v>
      </c>
      <c r="C1543" s="316" t="s">
        <v>2405</v>
      </c>
      <c r="D1543" s="314">
        <v>30</v>
      </c>
      <c r="E1543" s="314">
        <v>60</v>
      </c>
    </row>
    <row r="1544" spans="1:5" x14ac:dyDescent="0.25">
      <c r="A1544" s="316" t="s">
        <v>2459</v>
      </c>
      <c r="B1544" s="313">
        <v>41583</v>
      </c>
      <c r="C1544" s="316" t="s">
        <v>2405</v>
      </c>
      <c r="D1544" s="314">
        <v>60</v>
      </c>
      <c r="E1544" s="314">
        <v>100</v>
      </c>
    </row>
    <row r="1545" spans="1:5" x14ac:dyDescent="0.25">
      <c r="A1545" s="316" t="s">
        <v>2460</v>
      </c>
      <c r="B1545" s="313">
        <v>41946</v>
      </c>
      <c r="C1545" s="316" t="s">
        <v>2461</v>
      </c>
      <c r="D1545" s="314">
        <v>0</v>
      </c>
      <c r="E1545" s="314">
        <v>5</v>
      </c>
    </row>
    <row r="1546" spans="1:5" x14ac:dyDescent="0.25">
      <c r="A1546" s="316" t="s">
        <v>2460</v>
      </c>
      <c r="B1546" s="313">
        <v>41946</v>
      </c>
      <c r="C1546" s="316" t="s">
        <v>2461</v>
      </c>
      <c r="D1546" s="314">
        <v>5</v>
      </c>
      <c r="E1546" s="314">
        <v>10</v>
      </c>
    </row>
    <row r="1547" spans="1:5" x14ac:dyDescent="0.25">
      <c r="A1547" s="316" t="s">
        <v>2460</v>
      </c>
      <c r="B1547" s="313">
        <v>41946</v>
      </c>
      <c r="C1547" s="316" t="s">
        <v>2461</v>
      </c>
      <c r="D1547" s="314">
        <v>10</v>
      </c>
      <c r="E1547" s="314">
        <v>20</v>
      </c>
    </row>
    <row r="1548" spans="1:5" x14ac:dyDescent="0.25">
      <c r="A1548" s="316" t="s">
        <v>2460</v>
      </c>
      <c r="B1548" s="313">
        <v>41946</v>
      </c>
      <c r="C1548" s="316" t="s">
        <v>2461</v>
      </c>
      <c r="D1548" s="314">
        <v>20</v>
      </c>
      <c r="E1548" s="314">
        <v>30</v>
      </c>
    </row>
    <row r="1549" spans="1:5" x14ac:dyDescent="0.25">
      <c r="A1549" s="316" t="s">
        <v>2460</v>
      </c>
      <c r="B1549" s="313">
        <v>41946</v>
      </c>
      <c r="C1549" s="316" t="s">
        <v>2461</v>
      </c>
      <c r="D1549" s="314">
        <v>30</v>
      </c>
      <c r="E1549" s="314">
        <v>60</v>
      </c>
    </row>
    <row r="1550" spans="1:5" x14ac:dyDescent="0.25">
      <c r="A1550" s="316" t="s">
        <v>2460</v>
      </c>
      <c r="B1550" s="313">
        <v>41946</v>
      </c>
      <c r="C1550" s="316" t="s">
        <v>2461</v>
      </c>
      <c r="D1550" s="314">
        <v>60</v>
      </c>
      <c r="E1550" s="314">
        <v>100</v>
      </c>
    </row>
    <row r="1551" spans="1:5" x14ac:dyDescent="0.25">
      <c r="A1551" s="316" t="s">
        <v>2462</v>
      </c>
      <c r="B1551" s="313">
        <v>41946</v>
      </c>
      <c r="C1551" s="316" t="s">
        <v>2463</v>
      </c>
      <c r="D1551" s="314">
        <v>0</v>
      </c>
      <c r="E1551" s="314">
        <v>5</v>
      </c>
    </row>
    <row r="1552" spans="1:5" x14ac:dyDescent="0.25">
      <c r="A1552" s="316" t="s">
        <v>2462</v>
      </c>
      <c r="B1552" s="313">
        <v>41946</v>
      </c>
      <c r="C1552" s="316" t="s">
        <v>2463</v>
      </c>
      <c r="D1552" s="314">
        <v>5</v>
      </c>
      <c r="E1552" s="314">
        <v>10</v>
      </c>
    </row>
    <row r="1553" spans="1:5" x14ac:dyDescent="0.25">
      <c r="A1553" s="316" t="s">
        <v>2462</v>
      </c>
      <c r="B1553" s="313">
        <v>41946</v>
      </c>
      <c r="C1553" s="316" t="s">
        <v>2463</v>
      </c>
      <c r="D1553" s="314">
        <v>10</v>
      </c>
      <c r="E1553" s="314">
        <v>20</v>
      </c>
    </row>
    <row r="1554" spans="1:5" x14ac:dyDescent="0.25">
      <c r="A1554" s="316" t="s">
        <v>2462</v>
      </c>
      <c r="B1554" s="313">
        <v>41946</v>
      </c>
      <c r="C1554" s="316" t="s">
        <v>2463</v>
      </c>
      <c r="D1554" s="314">
        <v>20</v>
      </c>
      <c r="E1554" s="314">
        <v>30</v>
      </c>
    </row>
    <row r="1555" spans="1:5" x14ac:dyDescent="0.25">
      <c r="A1555" s="316" t="s">
        <v>2462</v>
      </c>
      <c r="B1555" s="313">
        <v>41946</v>
      </c>
      <c r="C1555" s="316" t="s">
        <v>2463</v>
      </c>
      <c r="D1555" s="314">
        <v>30</v>
      </c>
      <c r="E1555" s="314">
        <v>60</v>
      </c>
    </row>
    <row r="1556" spans="1:5" x14ac:dyDescent="0.25">
      <c r="A1556" s="316" t="s">
        <v>2462</v>
      </c>
      <c r="B1556" s="313">
        <v>41946</v>
      </c>
      <c r="C1556" s="316" t="s">
        <v>2463</v>
      </c>
      <c r="D1556" s="314">
        <v>60</v>
      </c>
      <c r="E1556" s="314">
        <v>100</v>
      </c>
    </row>
    <row r="1557" spans="1:5" x14ac:dyDescent="0.25">
      <c r="A1557" s="316" t="s">
        <v>2464</v>
      </c>
      <c r="B1557" s="313">
        <v>41946</v>
      </c>
      <c r="C1557" s="316" t="s">
        <v>2465</v>
      </c>
      <c r="D1557" s="314">
        <v>0</v>
      </c>
      <c r="E1557" s="314">
        <v>5</v>
      </c>
    </row>
    <row r="1558" spans="1:5" x14ac:dyDescent="0.25">
      <c r="A1558" s="316" t="s">
        <v>2464</v>
      </c>
      <c r="B1558" s="313">
        <v>41946</v>
      </c>
      <c r="C1558" s="316" t="s">
        <v>2465</v>
      </c>
      <c r="D1558" s="314">
        <v>5</v>
      </c>
      <c r="E1558" s="314">
        <v>10</v>
      </c>
    </row>
    <row r="1559" spans="1:5" x14ac:dyDescent="0.25">
      <c r="A1559" s="316" t="s">
        <v>2464</v>
      </c>
      <c r="B1559" s="313">
        <v>41946</v>
      </c>
      <c r="C1559" s="316" t="s">
        <v>2465</v>
      </c>
      <c r="D1559" s="314">
        <v>10</v>
      </c>
      <c r="E1559" s="314">
        <v>20</v>
      </c>
    </row>
    <row r="1560" spans="1:5" x14ac:dyDescent="0.25">
      <c r="A1560" s="316" t="s">
        <v>2464</v>
      </c>
      <c r="B1560" s="313">
        <v>41946</v>
      </c>
      <c r="C1560" s="316" t="s">
        <v>2465</v>
      </c>
      <c r="D1560" s="314">
        <v>20</v>
      </c>
      <c r="E1560" s="314">
        <v>30</v>
      </c>
    </row>
    <row r="1561" spans="1:5" x14ac:dyDescent="0.25">
      <c r="A1561" s="316" t="s">
        <v>2464</v>
      </c>
      <c r="B1561" s="313">
        <v>41946</v>
      </c>
      <c r="C1561" s="316" t="s">
        <v>2465</v>
      </c>
      <c r="D1561" s="314">
        <v>30</v>
      </c>
      <c r="E1561" s="314">
        <v>60</v>
      </c>
    </row>
    <row r="1562" spans="1:5" x14ac:dyDescent="0.25">
      <c r="A1562" s="316" t="s">
        <v>2464</v>
      </c>
      <c r="B1562" s="313">
        <v>41946</v>
      </c>
      <c r="C1562" s="316" t="s">
        <v>2465</v>
      </c>
      <c r="D1562" s="314">
        <v>60</v>
      </c>
      <c r="E1562" s="314">
        <v>100</v>
      </c>
    </row>
    <row r="1563" spans="1:5" x14ac:dyDescent="0.25">
      <c r="A1563" s="316" t="s">
        <v>2466</v>
      </c>
      <c r="B1563" s="313">
        <v>41946</v>
      </c>
      <c r="C1563" s="316" t="s">
        <v>2467</v>
      </c>
      <c r="D1563" s="314">
        <v>0</v>
      </c>
      <c r="E1563" s="314">
        <v>5</v>
      </c>
    </row>
    <row r="1564" spans="1:5" x14ac:dyDescent="0.25">
      <c r="A1564" s="316" t="s">
        <v>2466</v>
      </c>
      <c r="B1564" s="313">
        <v>41946</v>
      </c>
      <c r="C1564" s="316" t="s">
        <v>2467</v>
      </c>
      <c r="D1564" s="314">
        <v>5</v>
      </c>
      <c r="E1564" s="314">
        <v>10</v>
      </c>
    </row>
    <row r="1565" spans="1:5" x14ac:dyDescent="0.25">
      <c r="A1565" s="316" t="s">
        <v>2466</v>
      </c>
      <c r="B1565" s="313">
        <v>41946</v>
      </c>
      <c r="C1565" s="316" t="s">
        <v>2467</v>
      </c>
      <c r="D1565" s="314">
        <v>10</v>
      </c>
      <c r="E1565" s="314">
        <v>20</v>
      </c>
    </row>
    <row r="1566" spans="1:5" x14ac:dyDescent="0.25">
      <c r="A1566" s="316" t="s">
        <v>2466</v>
      </c>
      <c r="B1566" s="313">
        <v>41946</v>
      </c>
      <c r="C1566" s="316" t="s">
        <v>2467</v>
      </c>
      <c r="D1566" s="314">
        <v>20</v>
      </c>
      <c r="E1566" s="314">
        <v>30</v>
      </c>
    </row>
    <row r="1567" spans="1:5" x14ac:dyDescent="0.25">
      <c r="A1567" s="316" t="s">
        <v>2466</v>
      </c>
      <c r="B1567" s="313">
        <v>41946</v>
      </c>
      <c r="C1567" s="316" t="s">
        <v>2467</v>
      </c>
      <c r="D1567" s="314">
        <v>30</v>
      </c>
      <c r="E1567" s="314">
        <v>60</v>
      </c>
    </row>
    <row r="1568" spans="1:5" x14ac:dyDescent="0.25">
      <c r="A1568" s="316" t="s">
        <v>2466</v>
      </c>
      <c r="B1568" s="313">
        <v>41946</v>
      </c>
      <c r="C1568" s="316" t="s">
        <v>2467</v>
      </c>
      <c r="D1568" s="314">
        <v>60</v>
      </c>
      <c r="E1568" s="314">
        <v>100</v>
      </c>
    </row>
    <row r="1569" spans="1:5" x14ac:dyDescent="0.25">
      <c r="A1569" s="316" t="s">
        <v>2468</v>
      </c>
      <c r="B1569" s="313">
        <v>41946</v>
      </c>
      <c r="C1569" s="316" t="s">
        <v>2469</v>
      </c>
      <c r="D1569" s="314">
        <v>0</v>
      </c>
      <c r="E1569" s="314">
        <v>5</v>
      </c>
    </row>
    <row r="1570" spans="1:5" x14ac:dyDescent="0.25">
      <c r="A1570" s="316" t="s">
        <v>2468</v>
      </c>
      <c r="B1570" s="313">
        <v>41946</v>
      </c>
      <c r="C1570" s="316" t="s">
        <v>2469</v>
      </c>
      <c r="D1570" s="314">
        <v>5</v>
      </c>
      <c r="E1570" s="314">
        <v>10</v>
      </c>
    </row>
    <row r="1571" spans="1:5" x14ac:dyDescent="0.25">
      <c r="A1571" s="316" t="s">
        <v>2468</v>
      </c>
      <c r="B1571" s="313">
        <v>41946</v>
      </c>
      <c r="C1571" s="316" t="s">
        <v>2469</v>
      </c>
      <c r="D1571" s="314">
        <v>10</v>
      </c>
      <c r="E1571" s="314">
        <v>20</v>
      </c>
    </row>
    <row r="1572" spans="1:5" x14ac:dyDescent="0.25">
      <c r="A1572" s="316" t="s">
        <v>2468</v>
      </c>
      <c r="B1572" s="313">
        <v>41946</v>
      </c>
      <c r="C1572" s="316" t="s">
        <v>2469</v>
      </c>
      <c r="D1572" s="314">
        <v>20</v>
      </c>
      <c r="E1572" s="314">
        <v>30</v>
      </c>
    </row>
    <row r="1573" spans="1:5" x14ac:dyDescent="0.25">
      <c r="A1573" s="316" t="s">
        <v>2468</v>
      </c>
      <c r="B1573" s="313">
        <v>41946</v>
      </c>
      <c r="C1573" s="316" t="s">
        <v>2469</v>
      </c>
      <c r="D1573" s="314">
        <v>30</v>
      </c>
      <c r="E1573" s="314">
        <v>60</v>
      </c>
    </row>
    <row r="1574" spans="1:5" x14ac:dyDescent="0.25">
      <c r="A1574" s="316" t="s">
        <v>2468</v>
      </c>
      <c r="B1574" s="313">
        <v>41946</v>
      </c>
      <c r="C1574" s="316" t="s">
        <v>2469</v>
      </c>
      <c r="D1574" s="314">
        <v>60</v>
      </c>
      <c r="E1574" s="314">
        <v>100</v>
      </c>
    </row>
    <row r="1575" spans="1:5" x14ac:dyDescent="0.25">
      <c r="A1575" s="316" t="s">
        <v>2470</v>
      </c>
      <c r="B1575" s="313">
        <v>41946</v>
      </c>
      <c r="C1575" s="316" t="s">
        <v>2471</v>
      </c>
      <c r="D1575" s="314">
        <v>0</v>
      </c>
      <c r="E1575" s="314">
        <v>5</v>
      </c>
    </row>
    <row r="1576" spans="1:5" x14ac:dyDescent="0.25">
      <c r="A1576" s="316" t="s">
        <v>2470</v>
      </c>
      <c r="B1576" s="313">
        <v>41946</v>
      </c>
      <c r="C1576" s="316" t="s">
        <v>2471</v>
      </c>
      <c r="D1576" s="314">
        <v>5</v>
      </c>
      <c r="E1576" s="314">
        <v>10</v>
      </c>
    </row>
    <row r="1577" spans="1:5" x14ac:dyDescent="0.25">
      <c r="A1577" s="316" t="s">
        <v>2470</v>
      </c>
      <c r="B1577" s="313">
        <v>41946</v>
      </c>
      <c r="C1577" s="316" t="s">
        <v>2471</v>
      </c>
      <c r="D1577" s="314">
        <v>10</v>
      </c>
      <c r="E1577" s="314">
        <v>20</v>
      </c>
    </row>
    <row r="1578" spans="1:5" x14ac:dyDescent="0.25">
      <c r="A1578" s="316" t="s">
        <v>2470</v>
      </c>
      <c r="B1578" s="313">
        <v>41946</v>
      </c>
      <c r="C1578" s="316" t="s">
        <v>2471</v>
      </c>
      <c r="D1578" s="314">
        <v>20</v>
      </c>
      <c r="E1578" s="314">
        <v>30</v>
      </c>
    </row>
    <row r="1579" spans="1:5" x14ac:dyDescent="0.25">
      <c r="A1579" s="316" t="s">
        <v>2470</v>
      </c>
      <c r="B1579" s="313">
        <v>41946</v>
      </c>
      <c r="C1579" s="316" t="s">
        <v>2471</v>
      </c>
      <c r="D1579" s="314">
        <v>30</v>
      </c>
      <c r="E1579" s="314">
        <v>60</v>
      </c>
    </row>
    <row r="1580" spans="1:5" x14ac:dyDescent="0.25">
      <c r="A1580" s="316" t="s">
        <v>2470</v>
      </c>
      <c r="B1580" s="313">
        <v>41946</v>
      </c>
      <c r="C1580" s="316" t="s">
        <v>2471</v>
      </c>
      <c r="D1580" s="314">
        <v>60</v>
      </c>
      <c r="E1580" s="314">
        <v>100</v>
      </c>
    </row>
    <row r="1581" spans="1:5" x14ac:dyDescent="0.25">
      <c r="A1581" s="316" t="s">
        <v>2472</v>
      </c>
      <c r="B1581" s="313">
        <v>41946</v>
      </c>
      <c r="C1581" s="316" t="s">
        <v>2473</v>
      </c>
      <c r="D1581" s="314">
        <v>0</v>
      </c>
      <c r="E1581" s="314">
        <v>5</v>
      </c>
    </row>
    <row r="1582" spans="1:5" x14ac:dyDescent="0.25">
      <c r="A1582" s="316" t="s">
        <v>2472</v>
      </c>
      <c r="B1582" s="313">
        <v>41946</v>
      </c>
      <c r="C1582" s="316" t="s">
        <v>2473</v>
      </c>
      <c r="D1582" s="314">
        <v>5</v>
      </c>
      <c r="E1582" s="314">
        <v>10</v>
      </c>
    </row>
    <row r="1583" spans="1:5" x14ac:dyDescent="0.25">
      <c r="A1583" s="316" t="s">
        <v>2472</v>
      </c>
      <c r="B1583" s="313">
        <v>41946</v>
      </c>
      <c r="C1583" s="316" t="s">
        <v>2473</v>
      </c>
      <c r="D1583" s="314">
        <v>10</v>
      </c>
      <c r="E1583" s="314">
        <v>20</v>
      </c>
    </row>
    <row r="1584" spans="1:5" x14ac:dyDescent="0.25">
      <c r="A1584" s="316" t="s">
        <v>2472</v>
      </c>
      <c r="B1584" s="313">
        <v>41946</v>
      </c>
      <c r="C1584" s="316" t="s">
        <v>2473</v>
      </c>
      <c r="D1584" s="314">
        <v>20</v>
      </c>
      <c r="E1584" s="314">
        <v>30</v>
      </c>
    </row>
    <row r="1585" spans="1:5" x14ac:dyDescent="0.25">
      <c r="A1585" s="316" t="s">
        <v>2472</v>
      </c>
      <c r="B1585" s="313">
        <v>41946</v>
      </c>
      <c r="C1585" s="316" t="s">
        <v>2473</v>
      </c>
      <c r="D1585" s="314">
        <v>30</v>
      </c>
      <c r="E1585" s="314">
        <v>60</v>
      </c>
    </row>
    <row r="1586" spans="1:5" x14ac:dyDescent="0.25">
      <c r="A1586" s="316" t="s">
        <v>2472</v>
      </c>
      <c r="B1586" s="313">
        <v>41946</v>
      </c>
      <c r="C1586" s="316" t="s">
        <v>2473</v>
      </c>
      <c r="D1586" s="314">
        <v>60</v>
      </c>
      <c r="E1586" s="314">
        <v>100</v>
      </c>
    </row>
    <row r="1587" spans="1:5" x14ac:dyDescent="0.25">
      <c r="A1587" s="316" t="s">
        <v>2474</v>
      </c>
      <c r="B1587" s="313">
        <v>41946</v>
      </c>
      <c r="C1587" s="316" t="s">
        <v>2475</v>
      </c>
      <c r="D1587" s="314">
        <v>0</v>
      </c>
      <c r="E1587" s="314">
        <v>5</v>
      </c>
    </row>
    <row r="1588" spans="1:5" x14ac:dyDescent="0.25">
      <c r="A1588" s="316" t="s">
        <v>2474</v>
      </c>
      <c r="B1588" s="313">
        <v>41946</v>
      </c>
      <c r="C1588" s="316" t="s">
        <v>2475</v>
      </c>
      <c r="D1588" s="314">
        <v>5</v>
      </c>
      <c r="E1588" s="314">
        <v>10</v>
      </c>
    </row>
    <row r="1589" spans="1:5" x14ac:dyDescent="0.25">
      <c r="A1589" s="316" t="s">
        <v>2474</v>
      </c>
      <c r="B1589" s="313">
        <v>41946</v>
      </c>
      <c r="C1589" s="316" t="s">
        <v>2475</v>
      </c>
      <c r="D1589" s="314">
        <v>10</v>
      </c>
      <c r="E1589" s="314">
        <v>20</v>
      </c>
    </row>
    <row r="1590" spans="1:5" x14ac:dyDescent="0.25">
      <c r="A1590" s="316" t="s">
        <v>2474</v>
      </c>
      <c r="B1590" s="313">
        <v>41946</v>
      </c>
      <c r="C1590" s="316" t="s">
        <v>2475</v>
      </c>
      <c r="D1590" s="314">
        <v>20</v>
      </c>
      <c r="E1590" s="314">
        <v>30</v>
      </c>
    </row>
    <row r="1591" spans="1:5" x14ac:dyDescent="0.25">
      <c r="A1591" s="316" t="s">
        <v>2474</v>
      </c>
      <c r="B1591" s="313">
        <v>41946</v>
      </c>
      <c r="C1591" s="316" t="s">
        <v>2475</v>
      </c>
      <c r="D1591" s="314">
        <v>30</v>
      </c>
      <c r="E1591" s="314">
        <v>60</v>
      </c>
    </row>
    <row r="1592" spans="1:5" x14ac:dyDescent="0.25">
      <c r="A1592" s="316" t="s">
        <v>2474</v>
      </c>
      <c r="B1592" s="313">
        <v>41946</v>
      </c>
      <c r="C1592" s="316" t="s">
        <v>2475</v>
      </c>
      <c r="D1592" s="314">
        <v>60</v>
      </c>
      <c r="E1592" s="314">
        <v>100</v>
      </c>
    </row>
    <row r="1593" spans="1:5" x14ac:dyDescent="0.25">
      <c r="A1593" s="316" t="s">
        <v>2476</v>
      </c>
      <c r="B1593" s="313">
        <v>41946</v>
      </c>
      <c r="C1593" s="316" t="s">
        <v>2471</v>
      </c>
      <c r="D1593" s="314">
        <v>0</v>
      </c>
      <c r="E1593" s="314">
        <v>5</v>
      </c>
    </row>
    <row r="1594" spans="1:5" x14ac:dyDescent="0.25">
      <c r="A1594" s="316" t="s">
        <v>2476</v>
      </c>
      <c r="B1594" s="313">
        <v>41946</v>
      </c>
      <c r="C1594" s="316" t="s">
        <v>2471</v>
      </c>
      <c r="D1594" s="314">
        <v>5</v>
      </c>
      <c r="E1594" s="314">
        <v>10</v>
      </c>
    </row>
    <row r="1595" spans="1:5" x14ac:dyDescent="0.25">
      <c r="A1595" s="316" t="s">
        <v>2476</v>
      </c>
      <c r="B1595" s="313">
        <v>41946</v>
      </c>
      <c r="C1595" s="316" t="s">
        <v>2471</v>
      </c>
      <c r="D1595" s="314">
        <v>10</v>
      </c>
      <c r="E1595" s="314">
        <v>20</v>
      </c>
    </row>
    <row r="1596" spans="1:5" x14ac:dyDescent="0.25">
      <c r="A1596" s="316" t="s">
        <v>2476</v>
      </c>
      <c r="B1596" s="313">
        <v>41946</v>
      </c>
      <c r="C1596" s="316" t="s">
        <v>2471</v>
      </c>
      <c r="D1596" s="314">
        <v>20</v>
      </c>
      <c r="E1596" s="314">
        <v>30</v>
      </c>
    </row>
    <row r="1597" spans="1:5" x14ac:dyDescent="0.25">
      <c r="A1597" s="316" t="s">
        <v>2476</v>
      </c>
      <c r="B1597" s="313">
        <v>41946</v>
      </c>
      <c r="C1597" s="316" t="s">
        <v>2471</v>
      </c>
      <c r="D1597" s="314">
        <v>30</v>
      </c>
      <c r="E1597" s="314">
        <v>60</v>
      </c>
    </row>
    <row r="1598" spans="1:5" x14ac:dyDescent="0.25">
      <c r="A1598" s="316" t="s">
        <v>2476</v>
      </c>
      <c r="B1598" s="313">
        <v>41946</v>
      </c>
      <c r="C1598" s="316" t="s">
        <v>2471</v>
      </c>
      <c r="D1598" s="314">
        <v>60</v>
      </c>
      <c r="E1598" s="314">
        <v>100</v>
      </c>
    </row>
    <row r="1599" spans="1:5" x14ac:dyDescent="0.25">
      <c r="A1599" s="316" t="s">
        <v>2477</v>
      </c>
      <c r="B1599" s="313">
        <v>41946</v>
      </c>
      <c r="C1599" s="316" t="s">
        <v>2463</v>
      </c>
      <c r="D1599" s="314">
        <v>0</v>
      </c>
      <c r="E1599" s="314">
        <v>5</v>
      </c>
    </row>
    <row r="1600" spans="1:5" x14ac:dyDescent="0.25">
      <c r="A1600" s="316" t="s">
        <v>2477</v>
      </c>
      <c r="B1600" s="313">
        <v>41946</v>
      </c>
      <c r="C1600" s="316" t="s">
        <v>2463</v>
      </c>
      <c r="D1600" s="314">
        <v>5</v>
      </c>
      <c r="E1600" s="314">
        <v>10</v>
      </c>
    </row>
    <row r="1601" spans="1:5" x14ac:dyDescent="0.25">
      <c r="A1601" s="316" t="s">
        <v>2477</v>
      </c>
      <c r="B1601" s="313">
        <v>41946</v>
      </c>
      <c r="C1601" s="316" t="s">
        <v>2463</v>
      </c>
      <c r="D1601" s="314">
        <v>10</v>
      </c>
      <c r="E1601" s="314">
        <v>20</v>
      </c>
    </row>
    <row r="1602" spans="1:5" x14ac:dyDescent="0.25">
      <c r="A1602" s="316" t="s">
        <v>2477</v>
      </c>
      <c r="B1602" s="313">
        <v>41946</v>
      </c>
      <c r="C1602" s="316" t="s">
        <v>2463</v>
      </c>
      <c r="D1602" s="314">
        <v>20</v>
      </c>
      <c r="E1602" s="314">
        <v>30</v>
      </c>
    </row>
    <row r="1603" spans="1:5" x14ac:dyDescent="0.25">
      <c r="A1603" s="316" t="s">
        <v>2477</v>
      </c>
      <c r="B1603" s="313">
        <v>41946</v>
      </c>
      <c r="C1603" s="316" t="s">
        <v>2463</v>
      </c>
      <c r="D1603" s="314">
        <v>30</v>
      </c>
      <c r="E1603" s="314">
        <v>60</v>
      </c>
    </row>
    <row r="1604" spans="1:5" x14ac:dyDescent="0.25">
      <c r="A1604" s="316" t="s">
        <v>2477</v>
      </c>
      <c r="B1604" s="313">
        <v>41946</v>
      </c>
      <c r="C1604" s="316" t="s">
        <v>2463</v>
      </c>
      <c r="D1604" s="314">
        <v>60</v>
      </c>
      <c r="E1604" s="314">
        <v>100</v>
      </c>
    </row>
    <row r="1605" spans="1:5" x14ac:dyDescent="0.25">
      <c r="A1605" s="316" t="s">
        <v>2478</v>
      </c>
      <c r="B1605" s="313">
        <v>41946</v>
      </c>
      <c r="C1605" s="316" t="s">
        <v>2465</v>
      </c>
      <c r="D1605" s="314">
        <v>0</v>
      </c>
      <c r="E1605" s="314">
        <v>5</v>
      </c>
    </row>
    <row r="1606" spans="1:5" x14ac:dyDescent="0.25">
      <c r="A1606" s="316" t="s">
        <v>2478</v>
      </c>
      <c r="B1606" s="313">
        <v>41946</v>
      </c>
      <c r="C1606" s="316" t="s">
        <v>2465</v>
      </c>
      <c r="D1606" s="314">
        <v>5</v>
      </c>
      <c r="E1606" s="314">
        <v>10</v>
      </c>
    </row>
    <row r="1607" spans="1:5" x14ac:dyDescent="0.25">
      <c r="A1607" s="316" t="s">
        <v>2478</v>
      </c>
      <c r="B1607" s="313">
        <v>41946</v>
      </c>
      <c r="C1607" s="316" t="s">
        <v>2465</v>
      </c>
      <c r="D1607" s="314">
        <v>10</v>
      </c>
      <c r="E1607" s="314">
        <v>20</v>
      </c>
    </row>
    <row r="1608" spans="1:5" x14ac:dyDescent="0.25">
      <c r="A1608" s="316" t="s">
        <v>2478</v>
      </c>
      <c r="B1608" s="313">
        <v>41946</v>
      </c>
      <c r="C1608" s="316" t="s">
        <v>2465</v>
      </c>
      <c r="D1608" s="314">
        <v>20</v>
      </c>
      <c r="E1608" s="314">
        <v>30</v>
      </c>
    </row>
    <row r="1609" spans="1:5" x14ac:dyDescent="0.25">
      <c r="A1609" s="316" t="s">
        <v>2478</v>
      </c>
      <c r="B1609" s="313">
        <v>41946</v>
      </c>
      <c r="C1609" s="316" t="s">
        <v>2465</v>
      </c>
      <c r="D1609" s="314">
        <v>30</v>
      </c>
      <c r="E1609" s="314">
        <v>60</v>
      </c>
    </row>
    <row r="1610" spans="1:5" x14ac:dyDescent="0.25">
      <c r="A1610" s="316" t="s">
        <v>2478</v>
      </c>
      <c r="B1610" s="313">
        <v>41946</v>
      </c>
      <c r="C1610" s="316" t="s">
        <v>2465</v>
      </c>
      <c r="D1610" s="314">
        <v>60</v>
      </c>
      <c r="E1610" s="314">
        <v>100</v>
      </c>
    </row>
    <row r="1611" spans="1:5" x14ac:dyDescent="0.25">
      <c r="A1611" s="316" t="s">
        <v>2479</v>
      </c>
      <c r="B1611" s="313">
        <v>41946</v>
      </c>
      <c r="C1611" s="316" t="s">
        <v>2469</v>
      </c>
      <c r="D1611" s="314">
        <v>0</v>
      </c>
      <c r="E1611" s="314">
        <v>5</v>
      </c>
    </row>
    <row r="1612" spans="1:5" x14ac:dyDescent="0.25">
      <c r="A1612" s="316" t="s">
        <v>2479</v>
      </c>
      <c r="B1612" s="313">
        <v>41946</v>
      </c>
      <c r="C1612" s="316" t="s">
        <v>2469</v>
      </c>
      <c r="D1612" s="314">
        <v>5</v>
      </c>
      <c r="E1612" s="314">
        <v>10</v>
      </c>
    </row>
    <row r="1613" spans="1:5" x14ac:dyDescent="0.25">
      <c r="A1613" s="316" t="s">
        <v>2479</v>
      </c>
      <c r="B1613" s="313">
        <v>41946</v>
      </c>
      <c r="C1613" s="316" t="s">
        <v>2469</v>
      </c>
      <c r="D1613" s="314">
        <v>10</v>
      </c>
      <c r="E1613" s="314">
        <v>20</v>
      </c>
    </row>
    <row r="1614" spans="1:5" x14ac:dyDescent="0.25">
      <c r="A1614" s="316" t="s">
        <v>2479</v>
      </c>
      <c r="B1614" s="313">
        <v>41946</v>
      </c>
      <c r="C1614" s="316" t="s">
        <v>2469</v>
      </c>
      <c r="D1614" s="314">
        <v>20</v>
      </c>
      <c r="E1614" s="314">
        <v>30</v>
      </c>
    </row>
    <row r="1615" spans="1:5" x14ac:dyDescent="0.25">
      <c r="A1615" s="316" t="s">
        <v>2479</v>
      </c>
      <c r="B1615" s="313">
        <v>41946</v>
      </c>
      <c r="C1615" s="316" t="s">
        <v>2469</v>
      </c>
      <c r="D1615" s="314">
        <v>30</v>
      </c>
      <c r="E1615" s="314">
        <v>60</v>
      </c>
    </row>
    <row r="1616" spans="1:5" x14ac:dyDescent="0.25">
      <c r="A1616" s="316" t="s">
        <v>2479</v>
      </c>
      <c r="B1616" s="313">
        <v>41946</v>
      </c>
      <c r="C1616" s="316" t="s">
        <v>2469</v>
      </c>
      <c r="D1616" s="314">
        <v>60</v>
      </c>
      <c r="E1616" s="314">
        <v>100</v>
      </c>
    </row>
    <row r="1617" spans="1:5" x14ac:dyDescent="0.25">
      <c r="A1617" s="316" t="s">
        <v>2480</v>
      </c>
      <c r="B1617" s="313">
        <v>41946</v>
      </c>
      <c r="C1617" s="316" t="s">
        <v>2467</v>
      </c>
      <c r="D1617" s="314">
        <v>0</v>
      </c>
      <c r="E1617" s="314">
        <v>5</v>
      </c>
    </row>
    <row r="1618" spans="1:5" x14ac:dyDescent="0.25">
      <c r="A1618" s="316" t="s">
        <v>2480</v>
      </c>
      <c r="B1618" s="313">
        <v>41946</v>
      </c>
      <c r="C1618" s="316" t="s">
        <v>2467</v>
      </c>
      <c r="D1618" s="314">
        <v>5</v>
      </c>
      <c r="E1618" s="314">
        <v>10</v>
      </c>
    </row>
    <row r="1619" spans="1:5" x14ac:dyDescent="0.25">
      <c r="A1619" s="316" t="s">
        <v>2480</v>
      </c>
      <c r="B1619" s="313">
        <v>41946</v>
      </c>
      <c r="C1619" s="316" t="s">
        <v>2467</v>
      </c>
      <c r="D1619" s="314">
        <v>10</v>
      </c>
      <c r="E1619" s="314">
        <v>20</v>
      </c>
    </row>
    <row r="1620" spans="1:5" x14ac:dyDescent="0.25">
      <c r="A1620" s="316" t="s">
        <v>2480</v>
      </c>
      <c r="B1620" s="313">
        <v>41946</v>
      </c>
      <c r="C1620" s="316" t="s">
        <v>2467</v>
      </c>
      <c r="D1620" s="314">
        <v>20</v>
      </c>
      <c r="E1620" s="314">
        <v>30</v>
      </c>
    </row>
    <row r="1621" spans="1:5" x14ac:dyDescent="0.25">
      <c r="A1621" s="316" t="s">
        <v>2480</v>
      </c>
      <c r="B1621" s="313">
        <v>41946</v>
      </c>
      <c r="C1621" s="316" t="s">
        <v>2467</v>
      </c>
      <c r="D1621" s="314">
        <v>30</v>
      </c>
      <c r="E1621" s="314">
        <v>60</v>
      </c>
    </row>
    <row r="1622" spans="1:5" x14ac:dyDescent="0.25">
      <c r="A1622" s="316" t="s">
        <v>2480</v>
      </c>
      <c r="B1622" s="313">
        <v>41946</v>
      </c>
      <c r="C1622" s="316" t="s">
        <v>2467</v>
      </c>
      <c r="D1622" s="314">
        <v>60</v>
      </c>
      <c r="E1622" s="314">
        <v>100</v>
      </c>
    </row>
    <row r="1623" spans="1:5" x14ac:dyDescent="0.25">
      <c r="A1623" s="316" t="s">
        <v>2481</v>
      </c>
      <c r="B1623" s="313">
        <v>41946</v>
      </c>
      <c r="C1623" s="316" t="s">
        <v>2473</v>
      </c>
      <c r="D1623" s="314">
        <v>0</v>
      </c>
      <c r="E1623" s="314">
        <v>5</v>
      </c>
    </row>
    <row r="1624" spans="1:5" x14ac:dyDescent="0.25">
      <c r="A1624" s="316" t="s">
        <v>2481</v>
      </c>
      <c r="B1624" s="313">
        <v>41946</v>
      </c>
      <c r="C1624" s="316" t="s">
        <v>2473</v>
      </c>
      <c r="D1624" s="314">
        <v>5</v>
      </c>
      <c r="E1624" s="314">
        <v>10</v>
      </c>
    </row>
    <row r="1625" spans="1:5" x14ac:dyDescent="0.25">
      <c r="A1625" s="316" t="s">
        <v>2481</v>
      </c>
      <c r="B1625" s="313">
        <v>41946</v>
      </c>
      <c r="C1625" s="316" t="s">
        <v>2473</v>
      </c>
      <c r="D1625" s="314">
        <v>10</v>
      </c>
      <c r="E1625" s="314">
        <v>20</v>
      </c>
    </row>
    <row r="1626" spans="1:5" x14ac:dyDescent="0.25">
      <c r="A1626" s="316" t="s">
        <v>2481</v>
      </c>
      <c r="B1626" s="313">
        <v>41946</v>
      </c>
      <c r="C1626" s="316" t="s">
        <v>2473</v>
      </c>
      <c r="D1626" s="314">
        <v>20</v>
      </c>
      <c r="E1626" s="314">
        <v>30</v>
      </c>
    </row>
    <row r="1627" spans="1:5" x14ac:dyDescent="0.25">
      <c r="A1627" s="316" t="s">
        <v>2481</v>
      </c>
      <c r="B1627" s="313">
        <v>41946</v>
      </c>
      <c r="C1627" s="316" t="s">
        <v>2473</v>
      </c>
      <c r="D1627" s="314">
        <v>30</v>
      </c>
      <c r="E1627" s="314">
        <v>60</v>
      </c>
    </row>
    <row r="1628" spans="1:5" x14ac:dyDescent="0.25">
      <c r="A1628" s="316" t="s">
        <v>2481</v>
      </c>
      <c r="B1628" s="313">
        <v>41946</v>
      </c>
      <c r="C1628" s="316" t="s">
        <v>2473</v>
      </c>
      <c r="D1628" s="314">
        <v>60</v>
      </c>
      <c r="E1628" s="314">
        <v>100</v>
      </c>
    </row>
    <row r="1629" spans="1:5" x14ac:dyDescent="0.25">
      <c r="A1629" s="316" t="s">
        <v>2482</v>
      </c>
      <c r="B1629" s="313">
        <v>41946</v>
      </c>
      <c r="C1629" s="316" t="s">
        <v>2461</v>
      </c>
      <c r="D1629" s="314">
        <v>0</v>
      </c>
      <c r="E1629" s="314">
        <v>5</v>
      </c>
    </row>
    <row r="1630" spans="1:5" x14ac:dyDescent="0.25">
      <c r="A1630" s="316" t="s">
        <v>2482</v>
      </c>
      <c r="B1630" s="313">
        <v>41946</v>
      </c>
      <c r="C1630" s="316" t="s">
        <v>2461</v>
      </c>
      <c r="D1630" s="314">
        <v>5</v>
      </c>
      <c r="E1630" s="314">
        <v>10</v>
      </c>
    </row>
    <row r="1631" spans="1:5" x14ac:dyDescent="0.25">
      <c r="A1631" s="316" t="s">
        <v>2482</v>
      </c>
      <c r="B1631" s="313">
        <v>41946</v>
      </c>
      <c r="C1631" s="316" t="s">
        <v>2461</v>
      </c>
      <c r="D1631" s="314">
        <v>10</v>
      </c>
      <c r="E1631" s="314">
        <v>20</v>
      </c>
    </row>
    <row r="1632" spans="1:5" x14ac:dyDescent="0.25">
      <c r="A1632" s="316" t="s">
        <v>2482</v>
      </c>
      <c r="B1632" s="313">
        <v>41946</v>
      </c>
      <c r="C1632" s="316" t="s">
        <v>2461</v>
      </c>
      <c r="D1632" s="314">
        <v>20</v>
      </c>
      <c r="E1632" s="314">
        <v>30</v>
      </c>
    </row>
    <row r="1633" spans="1:5" x14ac:dyDescent="0.25">
      <c r="A1633" s="316" t="s">
        <v>2482</v>
      </c>
      <c r="B1633" s="313">
        <v>41946</v>
      </c>
      <c r="C1633" s="316" t="s">
        <v>2461</v>
      </c>
      <c r="D1633" s="314">
        <v>30</v>
      </c>
      <c r="E1633" s="314">
        <v>60</v>
      </c>
    </row>
    <row r="1634" spans="1:5" x14ac:dyDescent="0.25">
      <c r="A1634" s="316" t="s">
        <v>2482</v>
      </c>
      <c r="B1634" s="313">
        <v>41946</v>
      </c>
      <c r="C1634" s="316" t="s">
        <v>2461</v>
      </c>
      <c r="D1634" s="314">
        <v>60</v>
      </c>
      <c r="E1634" s="314">
        <v>100</v>
      </c>
    </row>
    <row r="1635" spans="1:5" x14ac:dyDescent="0.25">
      <c r="A1635" s="316" t="s">
        <v>2483</v>
      </c>
      <c r="B1635" s="313">
        <v>41946</v>
      </c>
      <c r="C1635" s="316" t="s">
        <v>2475</v>
      </c>
      <c r="D1635" s="314">
        <v>0</v>
      </c>
      <c r="E1635" s="314">
        <v>5</v>
      </c>
    </row>
    <row r="1636" spans="1:5" x14ac:dyDescent="0.25">
      <c r="A1636" s="316" t="s">
        <v>2483</v>
      </c>
      <c r="B1636" s="313">
        <v>41946</v>
      </c>
      <c r="C1636" s="316" t="s">
        <v>2475</v>
      </c>
      <c r="D1636" s="314">
        <v>5</v>
      </c>
      <c r="E1636" s="314">
        <v>10</v>
      </c>
    </row>
    <row r="1637" spans="1:5" x14ac:dyDescent="0.25">
      <c r="A1637" s="316" t="s">
        <v>2483</v>
      </c>
      <c r="B1637" s="313">
        <v>41946</v>
      </c>
      <c r="C1637" s="316" t="s">
        <v>2475</v>
      </c>
      <c r="D1637" s="314">
        <v>10</v>
      </c>
      <c r="E1637" s="314">
        <v>20</v>
      </c>
    </row>
    <row r="1638" spans="1:5" x14ac:dyDescent="0.25">
      <c r="A1638" s="316" t="s">
        <v>2483</v>
      </c>
      <c r="B1638" s="313">
        <v>41946</v>
      </c>
      <c r="C1638" s="316" t="s">
        <v>2475</v>
      </c>
      <c r="D1638" s="314">
        <v>20</v>
      </c>
      <c r="E1638" s="314">
        <v>30</v>
      </c>
    </row>
    <row r="1639" spans="1:5" x14ac:dyDescent="0.25">
      <c r="A1639" s="316" t="s">
        <v>2483</v>
      </c>
      <c r="B1639" s="313">
        <v>41946</v>
      </c>
      <c r="C1639" s="316" t="s">
        <v>2475</v>
      </c>
      <c r="D1639" s="314">
        <v>30</v>
      </c>
      <c r="E1639" s="314">
        <v>60</v>
      </c>
    </row>
    <row r="1640" spans="1:5" x14ac:dyDescent="0.25">
      <c r="A1640" s="316" t="s">
        <v>2483</v>
      </c>
      <c r="B1640" s="313">
        <v>41946</v>
      </c>
      <c r="C1640" s="316" t="s">
        <v>2475</v>
      </c>
      <c r="D1640" s="314">
        <v>60</v>
      </c>
      <c r="E1640" s="314">
        <v>100</v>
      </c>
    </row>
    <row r="1641" spans="1:5" x14ac:dyDescent="0.25">
      <c r="A1641" s="316" t="s">
        <v>2484</v>
      </c>
      <c r="B1641" s="313">
        <v>41946</v>
      </c>
      <c r="C1641" s="316" t="s">
        <v>2465</v>
      </c>
      <c r="D1641" s="314">
        <v>0</v>
      </c>
      <c r="E1641" s="314">
        <v>5</v>
      </c>
    </row>
    <row r="1642" spans="1:5" x14ac:dyDescent="0.25">
      <c r="A1642" s="316" t="s">
        <v>2484</v>
      </c>
      <c r="B1642" s="313">
        <v>41946</v>
      </c>
      <c r="C1642" s="316" t="s">
        <v>2465</v>
      </c>
      <c r="D1642" s="314">
        <v>5</v>
      </c>
      <c r="E1642" s="314">
        <v>10</v>
      </c>
    </row>
    <row r="1643" spans="1:5" x14ac:dyDescent="0.25">
      <c r="A1643" s="316" t="s">
        <v>2484</v>
      </c>
      <c r="B1643" s="313">
        <v>41946</v>
      </c>
      <c r="C1643" s="316" t="s">
        <v>2465</v>
      </c>
      <c r="D1643" s="314">
        <v>10</v>
      </c>
      <c r="E1643" s="314">
        <v>20</v>
      </c>
    </row>
    <row r="1644" spans="1:5" x14ac:dyDescent="0.25">
      <c r="A1644" s="316" t="s">
        <v>2484</v>
      </c>
      <c r="B1644" s="313">
        <v>41946</v>
      </c>
      <c r="C1644" s="316" t="s">
        <v>2465</v>
      </c>
      <c r="D1644" s="314">
        <v>20</v>
      </c>
      <c r="E1644" s="314">
        <v>30</v>
      </c>
    </row>
    <row r="1645" spans="1:5" x14ac:dyDescent="0.25">
      <c r="A1645" s="316" t="s">
        <v>2484</v>
      </c>
      <c r="B1645" s="313">
        <v>41946</v>
      </c>
      <c r="C1645" s="316" t="s">
        <v>2465</v>
      </c>
      <c r="D1645" s="314">
        <v>30</v>
      </c>
      <c r="E1645" s="314">
        <v>60</v>
      </c>
    </row>
    <row r="1646" spans="1:5" x14ac:dyDescent="0.25">
      <c r="A1646" s="316" t="s">
        <v>2484</v>
      </c>
      <c r="B1646" s="313">
        <v>41946</v>
      </c>
      <c r="C1646" s="316" t="s">
        <v>2465</v>
      </c>
      <c r="D1646" s="314">
        <v>60</v>
      </c>
      <c r="E1646" s="314">
        <v>80</v>
      </c>
    </row>
    <row r="1647" spans="1:5" x14ac:dyDescent="0.25">
      <c r="A1647" s="316" t="s">
        <v>2485</v>
      </c>
      <c r="B1647" s="313">
        <v>41946</v>
      </c>
      <c r="C1647" s="316" t="s">
        <v>2463</v>
      </c>
      <c r="D1647" s="314">
        <v>0</v>
      </c>
      <c r="E1647" s="314">
        <v>5</v>
      </c>
    </row>
    <row r="1648" spans="1:5" x14ac:dyDescent="0.25">
      <c r="A1648" s="316" t="s">
        <v>2485</v>
      </c>
      <c r="B1648" s="313">
        <v>41946</v>
      </c>
      <c r="C1648" s="316" t="s">
        <v>2463</v>
      </c>
      <c r="D1648" s="314">
        <v>5</v>
      </c>
      <c r="E1648" s="314">
        <v>10</v>
      </c>
    </row>
    <row r="1649" spans="1:5" x14ac:dyDescent="0.25">
      <c r="A1649" s="316" t="s">
        <v>2485</v>
      </c>
      <c r="B1649" s="313">
        <v>41946</v>
      </c>
      <c r="C1649" s="316" t="s">
        <v>2463</v>
      </c>
      <c r="D1649" s="314">
        <v>10</v>
      </c>
      <c r="E1649" s="314">
        <v>20</v>
      </c>
    </row>
    <row r="1650" spans="1:5" x14ac:dyDescent="0.25">
      <c r="A1650" s="316" t="s">
        <v>2485</v>
      </c>
      <c r="B1650" s="313">
        <v>41946</v>
      </c>
      <c r="C1650" s="316" t="s">
        <v>2463</v>
      </c>
      <c r="D1650" s="314">
        <v>20</v>
      </c>
      <c r="E1650" s="314">
        <v>30</v>
      </c>
    </row>
    <row r="1651" spans="1:5" x14ac:dyDescent="0.25">
      <c r="A1651" s="316" t="s">
        <v>2485</v>
      </c>
      <c r="B1651" s="313">
        <v>41946</v>
      </c>
      <c r="C1651" s="316" t="s">
        <v>2463</v>
      </c>
      <c r="D1651" s="314">
        <v>30</v>
      </c>
      <c r="E1651" s="314">
        <v>60</v>
      </c>
    </row>
    <row r="1652" spans="1:5" x14ac:dyDescent="0.25">
      <c r="A1652" s="316" t="s">
        <v>2485</v>
      </c>
      <c r="B1652" s="313">
        <v>41946</v>
      </c>
      <c r="C1652" s="316" t="s">
        <v>2463</v>
      </c>
      <c r="D1652" s="314">
        <v>60</v>
      </c>
      <c r="E1652" s="314">
        <v>100</v>
      </c>
    </row>
    <row r="1653" spans="1:5" x14ac:dyDescent="0.25">
      <c r="A1653" s="316" t="s">
        <v>2486</v>
      </c>
      <c r="B1653" s="313">
        <v>41946</v>
      </c>
      <c r="C1653" s="316" t="s">
        <v>2469</v>
      </c>
      <c r="D1653" s="314">
        <v>0</v>
      </c>
      <c r="E1653" s="314">
        <v>5</v>
      </c>
    </row>
    <row r="1654" spans="1:5" x14ac:dyDescent="0.25">
      <c r="A1654" s="316" t="s">
        <v>2486</v>
      </c>
      <c r="B1654" s="313">
        <v>41946</v>
      </c>
      <c r="C1654" s="316" t="s">
        <v>2469</v>
      </c>
      <c r="D1654" s="314">
        <v>5</v>
      </c>
      <c r="E1654" s="314">
        <v>10</v>
      </c>
    </row>
    <row r="1655" spans="1:5" x14ac:dyDescent="0.25">
      <c r="A1655" s="316" t="s">
        <v>2486</v>
      </c>
      <c r="B1655" s="313">
        <v>41946</v>
      </c>
      <c r="C1655" s="316" t="s">
        <v>2469</v>
      </c>
      <c r="D1655" s="314">
        <v>10</v>
      </c>
      <c r="E1655" s="314">
        <v>20</v>
      </c>
    </row>
    <row r="1656" spans="1:5" x14ac:dyDescent="0.25">
      <c r="A1656" s="316" t="s">
        <v>2486</v>
      </c>
      <c r="B1656" s="313">
        <v>41946</v>
      </c>
      <c r="C1656" s="316" t="s">
        <v>2469</v>
      </c>
      <c r="D1656" s="314">
        <v>20</v>
      </c>
      <c r="E1656" s="314">
        <v>30</v>
      </c>
    </row>
    <row r="1657" spans="1:5" x14ac:dyDescent="0.25">
      <c r="A1657" s="316" t="s">
        <v>2486</v>
      </c>
      <c r="B1657" s="313">
        <v>41946</v>
      </c>
      <c r="C1657" s="316" t="s">
        <v>2469</v>
      </c>
      <c r="D1657" s="314">
        <v>30</v>
      </c>
      <c r="E1657" s="314">
        <v>60</v>
      </c>
    </row>
    <row r="1658" spans="1:5" x14ac:dyDescent="0.25">
      <c r="A1658" s="316" t="s">
        <v>2486</v>
      </c>
      <c r="B1658" s="313">
        <v>41946</v>
      </c>
      <c r="C1658" s="316" t="s">
        <v>2469</v>
      </c>
      <c r="D1658" s="314">
        <v>60</v>
      </c>
      <c r="E1658" s="314">
        <v>100</v>
      </c>
    </row>
    <row r="1659" spans="1:5" x14ac:dyDescent="0.25">
      <c r="A1659" s="316" t="s">
        <v>2487</v>
      </c>
      <c r="B1659" s="313">
        <v>41946</v>
      </c>
      <c r="C1659" s="316" t="s">
        <v>2475</v>
      </c>
      <c r="D1659" s="314">
        <v>0</v>
      </c>
      <c r="E1659" s="314">
        <v>5</v>
      </c>
    </row>
    <row r="1660" spans="1:5" x14ac:dyDescent="0.25">
      <c r="A1660" s="316" t="s">
        <v>2487</v>
      </c>
      <c r="B1660" s="313">
        <v>41946</v>
      </c>
      <c r="C1660" s="316" t="s">
        <v>2475</v>
      </c>
      <c r="D1660" s="314">
        <v>5</v>
      </c>
      <c r="E1660" s="314">
        <v>10</v>
      </c>
    </row>
    <row r="1661" spans="1:5" x14ac:dyDescent="0.25">
      <c r="A1661" s="316" t="s">
        <v>2487</v>
      </c>
      <c r="B1661" s="313">
        <v>41946</v>
      </c>
      <c r="C1661" s="316" t="s">
        <v>2475</v>
      </c>
      <c r="D1661" s="314">
        <v>10</v>
      </c>
      <c r="E1661" s="314">
        <v>20</v>
      </c>
    </row>
    <row r="1662" spans="1:5" x14ac:dyDescent="0.25">
      <c r="A1662" s="316" t="s">
        <v>2487</v>
      </c>
      <c r="B1662" s="313">
        <v>41946</v>
      </c>
      <c r="C1662" s="316" t="s">
        <v>2475</v>
      </c>
      <c r="D1662" s="314">
        <v>20</v>
      </c>
      <c r="E1662" s="314">
        <v>30</v>
      </c>
    </row>
    <row r="1663" spans="1:5" x14ac:dyDescent="0.25">
      <c r="A1663" s="316" t="s">
        <v>2487</v>
      </c>
      <c r="B1663" s="313">
        <v>41946</v>
      </c>
      <c r="C1663" s="316" t="s">
        <v>2475</v>
      </c>
      <c r="D1663" s="314">
        <v>30</v>
      </c>
      <c r="E1663" s="314">
        <v>60</v>
      </c>
    </row>
    <row r="1664" spans="1:5" x14ac:dyDescent="0.25">
      <c r="A1664" s="316" t="s">
        <v>2487</v>
      </c>
      <c r="B1664" s="313">
        <v>41946</v>
      </c>
      <c r="C1664" s="316" t="s">
        <v>2475</v>
      </c>
      <c r="D1664" s="314">
        <v>60</v>
      </c>
      <c r="E1664" s="314">
        <v>100</v>
      </c>
    </row>
    <row r="1665" spans="1:5" x14ac:dyDescent="0.25">
      <c r="A1665" s="316" t="s">
        <v>2488</v>
      </c>
      <c r="B1665" s="313">
        <v>41946</v>
      </c>
      <c r="C1665" s="316" t="s">
        <v>2461</v>
      </c>
      <c r="D1665" s="314">
        <v>0</v>
      </c>
      <c r="E1665" s="314">
        <v>5</v>
      </c>
    </row>
    <row r="1666" spans="1:5" x14ac:dyDescent="0.25">
      <c r="A1666" s="316" t="s">
        <v>2488</v>
      </c>
      <c r="B1666" s="313">
        <v>41946</v>
      </c>
      <c r="C1666" s="316" t="s">
        <v>2461</v>
      </c>
      <c r="D1666" s="314">
        <v>5</v>
      </c>
      <c r="E1666" s="314">
        <v>10</v>
      </c>
    </row>
    <row r="1667" spans="1:5" x14ac:dyDescent="0.25">
      <c r="A1667" s="316" t="s">
        <v>2488</v>
      </c>
      <c r="B1667" s="313">
        <v>41946</v>
      </c>
      <c r="C1667" s="316" t="s">
        <v>2461</v>
      </c>
      <c r="D1667" s="314">
        <v>10</v>
      </c>
      <c r="E1667" s="314">
        <v>20</v>
      </c>
    </row>
    <row r="1668" spans="1:5" x14ac:dyDescent="0.25">
      <c r="A1668" s="316" t="s">
        <v>2488</v>
      </c>
      <c r="B1668" s="313">
        <v>41946</v>
      </c>
      <c r="C1668" s="316" t="s">
        <v>2461</v>
      </c>
      <c r="D1668" s="314">
        <v>20</v>
      </c>
      <c r="E1668" s="314">
        <v>30</v>
      </c>
    </row>
    <row r="1669" spans="1:5" x14ac:dyDescent="0.25">
      <c r="A1669" s="316" t="s">
        <v>2488</v>
      </c>
      <c r="B1669" s="313">
        <v>41946</v>
      </c>
      <c r="C1669" s="316" t="s">
        <v>2461</v>
      </c>
      <c r="D1669" s="314">
        <v>30</v>
      </c>
      <c r="E1669" s="314">
        <v>60</v>
      </c>
    </row>
    <row r="1670" spans="1:5" x14ac:dyDescent="0.25">
      <c r="A1670" s="316" t="s">
        <v>2488</v>
      </c>
      <c r="B1670" s="313">
        <v>41946</v>
      </c>
      <c r="C1670" s="316" t="s">
        <v>2461</v>
      </c>
      <c r="D1670" s="314">
        <v>60</v>
      </c>
      <c r="E1670" s="314">
        <v>100</v>
      </c>
    </row>
    <row r="1671" spans="1:5" x14ac:dyDescent="0.25">
      <c r="A1671" s="316" t="s">
        <v>2489</v>
      </c>
      <c r="B1671" s="313">
        <v>41946</v>
      </c>
      <c r="C1671" s="316" t="s">
        <v>2473</v>
      </c>
      <c r="D1671" s="314">
        <v>0</v>
      </c>
      <c r="E1671" s="314">
        <v>5</v>
      </c>
    </row>
    <row r="1672" spans="1:5" x14ac:dyDescent="0.25">
      <c r="A1672" s="316" t="s">
        <v>2489</v>
      </c>
      <c r="B1672" s="313">
        <v>41946</v>
      </c>
      <c r="C1672" s="316" t="s">
        <v>2473</v>
      </c>
      <c r="D1672" s="314">
        <v>5</v>
      </c>
      <c r="E1672" s="314">
        <v>10</v>
      </c>
    </row>
    <row r="1673" spans="1:5" x14ac:dyDescent="0.25">
      <c r="A1673" s="316" t="s">
        <v>2489</v>
      </c>
      <c r="B1673" s="313">
        <v>41946</v>
      </c>
      <c r="C1673" s="316" t="s">
        <v>2473</v>
      </c>
      <c r="D1673" s="314">
        <v>10</v>
      </c>
      <c r="E1673" s="314">
        <v>20</v>
      </c>
    </row>
    <row r="1674" spans="1:5" x14ac:dyDescent="0.25">
      <c r="A1674" s="316" t="s">
        <v>2489</v>
      </c>
      <c r="B1674" s="313">
        <v>41946</v>
      </c>
      <c r="C1674" s="316" t="s">
        <v>2473</v>
      </c>
      <c r="D1674" s="314">
        <v>20</v>
      </c>
      <c r="E1674" s="314">
        <v>30</v>
      </c>
    </row>
    <row r="1675" spans="1:5" x14ac:dyDescent="0.25">
      <c r="A1675" s="316" t="s">
        <v>2489</v>
      </c>
      <c r="B1675" s="313">
        <v>41946</v>
      </c>
      <c r="C1675" s="316" t="s">
        <v>2473</v>
      </c>
      <c r="D1675" s="314">
        <v>30</v>
      </c>
      <c r="E1675" s="314">
        <v>60</v>
      </c>
    </row>
    <row r="1676" spans="1:5" x14ac:dyDescent="0.25">
      <c r="A1676" s="316" t="s">
        <v>2489</v>
      </c>
      <c r="B1676" s="313">
        <v>41946</v>
      </c>
      <c r="C1676" s="316" t="s">
        <v>2473</v>
      </c>
      <c r="D1676" s="314">
        <v>60</v>
      </c>
      <c r="E1676" s="314">
        <v>100</v>
      </c>
    </row>
    <row r="1677" spans="1:5" x14ac:dyDescent="0.25">
      <c r="A1677" s="316" t="s">
        <v>2490</v>
      </c>
      <c r="B1677" s="313">
        <v>41946</v>
      </c>
      <c r="C1677" s="316" t="s">
        <v>2467</v>
      </c>
      <c r="D1677" s="314">
        <v>0</v>
      </c>
      <c r="E1677" s="314">
        <v>5</v>
      </c>
    </row>
    <row r="1678" spans="1:5" x14ac:dyDescent="0.25">
      <c r="A1678" s="316" t="s">
        <v>2490</v>
      </c>
      <c r="B1678" s="313">
        <v>41946</v>
      </c>
      <c r="C1678" s="316" t="s">
        <v>2467</v>
      </c>
      <c r="D1678" s="314">
        <v>5</v>
      </c>
      <c r="E1678" s="314">
        <v>10</v>
      </c>
    </row>
    <row r="1679" spans="1:5" x14ac:dyDescent="0.25">
      <c r="A1679" s="316" t="s">
        <v>2490</v>
      </c>
      <c r="B1679" s="313">
        <v>41946</v>
      </c>
      <c r="C1679" s="316" t="s">
        <v>2467</v>
      </c>
      <c r="D1679" s="314">
        <v>10</v>
      </c>
      <c r="E1679" s="314">
        <v>20</v>
      </c>
    </row>
    <row r="1680" spans="1:5" x14ac:dyDescent="0.25">
      <c r="A1680" s="316" t="s">
        <v>2490</v>
      </c>
      <c r="B1680" s="313">
        <v>41946</v>
      </c>
      <c r="C1680" s="316" t="s">
        <v>2467</v>
      </c>
      <c r="D1680" s="314">
        <v>20</v>
      </c>
      <c r="E1680" s="314">
        <v>30</v>
      </c>
    </row>
    <row r="1681" spans="1:5" x14ac:dyDescent="0.25">
      <c r="A1681" s="316" t="s">
        <v>2490</v>
      </c>
      <c r="B1681" s="313">
        <v>41946</v>
      </c>
      <c r="C1681" s="316" t="s">
        <v>2467</v>
      </c>
      <c r="D1681" s="314">
        <v>30</v>
      </c>
      <c r="E1681" s="314">
        <v>60</v>
      </c>
    </row>
    <row r="1682" spans="1:5" x14ac:dyDescent="0.25">
      <c r="A1682" s="316" t="s">
        <v>2490</v>
      </c>
      <c r="B1682" s="313">
        <v>41946</v>
      </c>
      <c r="C1682" s="316" t="s">
        <v>2467</v>
      </c>
      <c r="D1682" s="314">
        <v>60</v>
      </c>
      <c r="E1682" s="314">
        <v>100</v>
      </c>
    </row>
    <row r="1683" spans="1:5" x14ac:dyDescent="0.25">
      <c r="A1683" s="316" t="s">
        <v>2491</v>
      </c>
      <c r="B1683" s="313">
        <v>41946</v>
      </c>
      <c r="C1683" s="316" t="s">
        <v>2471</v>
      </c>
      <c r="D1683" s="314">
        <v>0</v>
      </c>
      <c r="E1683" s="314">
        <v>5</v>
      </c>
    </row>
    <row r="1684" spans="1:5" x14ac:dyDescent="0.25">
      <c r="A1684" s="316" t="s">
        <v>2491</v>
      </c>
      <c r="B1684" s="313">
        <v>41946</v>
      </c>
      <c r="C1684" s="316" t="s">
        <v>2471</v>
      </c>
      <c r="D1684" s="314">
        <v>5</v>
      </c>
      <c r="E1684" s="314">
        <v>10</v>
      </c>
    </row>
    <row r="1685" spans="1:5" x14ac:dyDescent="0.25">
      <c r="A1685" s="316" t="s">
        <v>2491</v>
      </c>
      <c r="B1685" s="313">
        <v>41946</v>
      </c>
      <c r="C1685" s="316" t="s">
        <v>2471</v>
      </c>
      <c r="D1685" s="314">
        <v>10</v>
      </c>
      <c r="E1685" s="314">
        <v>20</v>
      </c>
    </row>
    <row r="1686" spans="1:5" x14ac:dyDescent="0.25">
      <c r="A1686" s="316" t="s">
        <v>2491</v>
      </c>
      <c r="B1686" s="313">
        <v>41946</v>
      </c>
      <c r="C1686" s="316" t="s">
        <v>2471</v>
      </c>
      <c r="D1686" s="314">
        <v>20</v>
      </c>
      <c r="E1686" s="314">
        <v>30</v>
      </c>
    </row>
    <row r="1687" spans="1:5" x14ac:dyDescent="0.25">
      <c r="A1687" s="316" t="s">
        <v>2491</v>
      </c>
      <c r="B1687" s="313">
        <v>41946</v>
      </c>
      <c r="C1687" s="316" t="s">
        <v>2471</v>
      </c>
      <c r="D1687" s="314">
        <v>30</v>
      </c>
      <c r="E1687" s="314">
        <v>60</v>
      </c>
    </row>
    <row r="1688" spans="1:5" x14ac:dyDescent="0.25">
      <c r="A1688" s="316" t="s">
        <v>2491</v>
      </c>
      <c r="B1688" s="313">
        <v>41946</v>
      </c>
      <c r="C1688" s="316" t="s">
        <v>2471</v>
      </c>
      <c r="D1688" s="314">
        <v>60</v>
      </c>
      <c r="E1688" s="314">
        <v>100</v>
      </c>
    </row>
    <row r="1689" spans="1:5" x14ac:dyDescent="0.25">
      <c r="A1689" s="316" t="s">
        <v>2492</v>
      </c>
      <c r="B1689" s="313">
        <v>41946</v>
      </c>
      <c r="C1689" s="316" t="s">
        <v>2471</v>
      </c>
      <c r="D1689" s="314">
        <v>0</v>
      </c>
      <c r="E1689" s="314">
        <v>5</v>
      </c>
    </row>
    <row r="1690" spans="1:5" x14ac:dyDescent="0.25">
      <c r="A1690" s="316" t="s">
        <v>2492</v>
      </c>
      <c r="B1690" s="313">
        <v>41946</v>
      </c>
      <c r="C1690" s="316" t="s">
        <v>2471</v>
      </c>
      <c r="D1690" s="314">
        <v>5</v>
      </c>
      <c r="E1690" s="314">
        <v>10</v>
      </c>
    </row>
    <row r="1691" spans="1:5" x14ac:dyDescent="0.25">
      <c r="A1691" s="316" t="s">
        <v>2492</v>
      </c>
      <c r="B1691" s="313">
        <v>41946</v>
      </c>
      <c r="C1691" s="316" t="s">
        <v>2471</v>
      </c>
      <c r="D1691" s="314">
        <v>10</v>
      </c>
      <c r="E1691" s="314">
        <v>20</v>
      </c>
    </row>
    <row r="1692" spans="1:5" x14ac:dyDescent="0.25">
      <c r="A1692" s="316" t="s">
        <v>2492</v>
      </c>
      <c r="B1692" s="313">
        <v>41946</v>
      </c>
      <c r="C1692" s="316" t="s">
        <v>2471</v>
      </c>
      <c r="D1692" s="314">
        <v>20</v>
      </c>
      <c r="E1692" s="314">
        <v>30</v>
      </c>
    </row>
    <row r="1693" spans="1:5" x14ac:dyDescent="0.25">
      <c r="A1693" s="316" t="s">
        <v>2492</v>
      </c>
      <c r="B1693" s="313">
        <v>41946</v>
      </c>
      <c r="C1693" s="316" t="s">
        <v>2471</v>
      </c>
      <c r="D1693" s="314">
        <v>30</v>
      </c>
      <c r="E1693" s="314">
        <v>60</v>
      </c>
    </row>
    <row r="1694" spans="1:5" x14ac:dyDescent="0.25">
      <c r="A1694" s="316" t="s">
        <v>2492</v>
      </c>
      <c r="B1694" s="313">
        <v>41946</v>
      </c>
      <c r="C1694" s="316" t="s">
        <v>2471</v>
      </c>
      <c r="D1694" s="314">
        <v>60</v>
      </c>
      <c r="E1694" s="314">
        <v>100</v>
      </c>
    </row>
    <row r="1695" spans="1:5" x14ac:dyDescent="0.25">
      <c r="A1695" s="316" t="s">
        <v>2493</v>
      </c>
      <c r="B1695" s="313">
        <v>41946</v>
      </c>
      <c r="C1695" s="316" t="s">
        <v>2469</v>
      </c>
      <c r="D1695" s="314">
        <v>0</v>
      </c>
      <c r="E1695" s="314">
        <v>5</v>
      </c>
    </row>
    <row r="1696" spans="1:5" x14ac:dyDescent="0.25">
      <c r="A1696" s="316" t="s">
        <v>2493</v>
      </c>
      <c r="B1696" s="313">
        <v>41946</v>
      </c>
      <c r="C1696" s="316" t="s">
        <v>2469</v>
      </c>
      <c r="D1696" s="314">
        <v>5</v>
      </c>
      <c r="E1696" s="314">
        <v>10</v>
      </c>
    </row>
    <row r="1697" spans="1:5" x14ac:dyDescent="0.25">
      <c r="A1697" s="316" t="s">
        <v>2493</v>
      </c>
      <c r="B1697" s="313">
        <v>41946</v>
      </c>
      <c r="C1697" s="316" t="s">
        <v>2469</v>
      </c>
      <c r="D1697" s="314">
        <v>10</v>
      </c>
      <c r="E1697" s="314">
        <v>20</v>
      </c>
    </row>
    <row r="1698" spans="1:5" x14ac:dyDescent="0.25">
      <c r="A1698" s="316" t="s">
        <v>2493</v>
      </c>
      <c r="B1698" s="313">
        <v>41946</v>
      </c>
      <c r="C1698" s="316" t="s">
        <v>2469</v>
      </c>
      <c r="D1698" s="314">
        <v>20</v>
      </c>
      <c r="E1698" s="314">
        <v>30</v>
      </c>
    </row>
    <row r="1699" spans="1:5" x14ac:dyDescent="0.25">
      <c r="A1699" s="316" t="s">
        <v>2493</v>
      </c>
      <c r="B1699" s="313">
        <v>41946</v>
      </c>
      <c r="C1699" s="316" t="s">
        <v>2469</v>
      </c>
      <c r="D1699" s="314">
        <v>30</v>
      </c>
      <c r="E1699" s="314">
        <v>60</v>
      </c>
    </row>
    <row r="1700" spans="1:5" x14ac:dyDescent="0.25">
      <c r="A1700" s="316" t="s">
        <v>2493</v>
      </c>
      <c r="B1700" s="313">
        <v>41946</v>
      </c>
      <c r="C1700" s="316" t="s">
        <v>2469</v>
      </c>
      <c r="D1700" s="314">
        <v>60</v>
      </c>
      <c r="E1700" s="314">
        <v>100</v>
      </c>
    </row>
    <row r="1701" spans="1:5" x14ac:dyDescent="0.25">
      <c r="A1701" s="316" t="s">
        <v>2494</v>
      </c>
      <c r="B1701" s="313">
        <v>41946</v>
      </c>
      <c r="C1701" s="316" t="s">
        <v>2465</v>
      </c>
      <c r="D1701" s="314">
        <v>0</v>
      </c>
      <c r="E1701" s="314">
        <v>5</v>
      </c>
    </row>
    <row r="1702" spans="1:5" x14ac:dyDescent="0.25">
      <c r="A1702" s="316" t="s">
        <v>2494</v>
      </c>
      <c r="B1702" s="313">
        <v>41946</v>
      </c>
      <c r="C1702" s="316" t="s">
        <v>2465</v>
      </c>
      <c r="D1702" s="314">
        <v>5</v>
      </c>
      <c r="E1702" s="314">
        <v>10</v>
      </c>
    </row>
    <row r="1703" spans="1:5" x14ac:dyDescent="0.25">
      <c r="A1703" s="316" t="s">
        <v>2494</v>
      </c>
      <c r="B1703" s="313">
        <v>41946</v>
      </c>
      <c r="C1703" s="316" t="s">
        <v>2465</v>
      </c>
      <c r="D1703" s="314">
        <v>10</v>
      </c>
      <c r="E1703" s="314">
        <v>20</v>
      </c>
    </row>
    <row r="1704" spans="1:5" x14ac:dyDescent="0.25">
      <c r="A1704" s="316" t="s">
        <v>2494</v>
      </c>
      <c r="B1704" s="313">
        <v>41946</v>
      </c>
      <c r="C1704" s="316" t="s">
        <v>2465</v>
      </c>
      <c r="D1704" s="314">
        <v>20</v>
      </c>
      <c r="E1704" s="314">
        <v>30</v>
      </c>
    </row>
    <row r="1705" spans="1:5" x14ac:dyDescent="0.25">
      <c r="A1705" s="316" t="s">
        <v>2494</v>
      </c>
      <c r="B1705" s="313">
        <v>41946</v>
      </c>
      <c r="C1705" s="316" t="s">
        <v>2465</v>
      </c>
      <c r="D1705" s="314">
        <v>30</v>
      </c>
      <c r="E1705" s="314">
        <v>60</v>
      </c>
    </row>
    <row r="1706" spans="1:5" x14ac:dyDescent="0.25">
      <c r="A1706" s="316" t="s">
        <v>2494</v>
      </c>
      <c r="B1706" s="313">
        <v>41946</v>
      </c>
      <c r="C1706" s="316" t="s">
        <v>2465</v>
      </c>
      <c r="D1706" s="314">
        <v>60</v>
      </c>
      <c r="E1706" s="314">
        <v>98</v>
      </c>
    </row>
    <row r="1707" spans="1:5" x14ac:dyDescent="0.25">
      <c r="A1707" s="316" t="s">
        <v>2495</v>
      </c>
      <c r="B1707" s="313">
        <v>41946</v>
      </c>
      <c r="C1707" s="316" t="s">
        <v>2475</v>
      </c>
      <c r="D1707" s="314">
        <v>0</v>
      </c>
      <c r="E1707" s="314">
        <v>5</v>
      </c>
    </row>
    <row r="1708" spans="1:5" x14ac:dyDescent="0.25">
      <c r="A1708" s="316" t="s">
        <v>2495</v>
      </c>
      <c r="B1708" s="313">
        <v>41946</v>
      </c>
      <c r="C1708" s="316" t="s">
        <v>2475</v>
      </c>
      <c r="D1708" s="314">
        <v>5</v>
      </c>
      <c r="E1708" s="314">
        <v>10</v>
      </c>
    </row>
    <row r="1709" spans="1:5" x14ac:dyDescent="0.25">
      <c r="A1709" s="316" t="s">
        <v>2495</v>
      </c>
      <c r="B1709" s="313">
        <v>41946</v>
      </c>
      <c r="C1709" s="316" t="s">
        <v>2475</v>
      </c>
      <c r="D1709" s="314">
        <v>10</v>
      </c>
      <c r="E1709" s="314">
        <v>20</v>
      </c>
    </row>
    <row r="1710" spans="1:5" x14ac:dyDescent="0.25">
      <c r="A1710" s="316" t="s">
        <v>2495</v>
      </c>
      <c r="B1710" s="313">
        <v>41946</v>
      </c>
      <c r="C1710" s="316" t="s">
        <v>2475</v>
      </c>
      <c r="D1710" s="314">
        <v>20</v>
      </c>
      <c r="E1710" s="314">
        <v>30</v>
      </c>
    </row>
    <row r="1711" spans="1:5" x14ac:dyDescent="0.25">
      <c r="A1711" s="316" t="s">
        <v>2495</v>
      </c>
      <c r="B1711" s="313">
        <v>41946</v>
      </c>
      <c r="C1711" s="316" t="s">
        <v>2475</v>
      </c>
      <c r="D1711" s="314">
        <v>30</v>
      </c>
      <c r="E1711" s="314">
        <v>60</v>
      </c>
    </row>
    <row r="1712" spans="1:5" x14ac:dyDescent="0.25">
      <c r="A1712" s="316" t="s">
        <v>2495</v>
      </c>
      <c r="B1712" s="313">
        <v>41946</v>
      </c>
      <c r="C1712" s="316" t="s">
        <v>2475</v>
      </c>
      <c r="D1712" s="314">
        <v>60</v>
      </c>
      <c r="E1712" s="314">
        <v>100</v>
      </c>
    </row>
    <row r="1713" spans="1:5" x14ac:dyDescent="0.25">
      <c r="A1713" s="316" t="s">
        <v>2496</v>
      </c>
      <c r="B1713" s="313">
        <v>41946</v>
      </c>
      <c r="C1713" s="316" t="s">
        <v>2463</v>
      </c>
      <c r="D1713" s="314">
        <v>0</v>
      </c>
      <c r="E1713" s="314">
        <v>5</v>
      </c>
    </row>
    <row r="1714" spans="1:5" x14ac:dyDescent="0.25">
      <c r="A1714" s="316" t="s">
        <v>2496</v>
      </c>
      <c r="B1714" s="313">
        <v>41946</v>
      </c>
      <c r="C1714" s="316" t="s">
        <v>2463</v>
      </c>
      <c r="D1714" s="314">
        <v>5</v>
      </c>
      <c r="E1714" s="314">
        <v>10</v>
      </c>
    </row>
    <row r="1715" spans="1:5" x14ac:dyDescent="0.25">
      <c r="A1715" s="316" t="s">
        <v>2496</v>
      </c>
      <c r="B1715" s="313">
        <v>41946</v>
      </c>
      <c r="C1715" s="316" t="s">
        <v>2463</v>
      </c>
      <c r="D1715" s="314">
        <v>10</v>
      </c>
      <c r="E1715" s="314">
        <v>20</v>
      </c>
    </row>
    <row r="1716" spans="1:5" x14ac:dyDescent="0.25">
      <c r="A1716" s="316" t="s">
        <v>2496</v>
      </c>
      <c r="B1716" s="313">
        <v>41946</v>
      </c>
      <c r="C1716" s="316" t="s">
        <v>2463</v>
      </c>
      <c r="D1716" s="314">
        <v>20</v>
      </c>
      <c r="E1716" s="314">
        <v>30</v>
      </c>
    </row>
    <row r="1717" spans="1:5" x14ac:dyDescent="0.25">
      <c r="A1717" s="316" t="s">
        <v>2496</v>
      </c>
      <c r="B1717" s="313">
        <v>41946</v>
      </c>
      <c r="C1717" s="316" t="s">
        <v>2463</v>
      </c>
      <c r="D1717" s="314">
        <v>30</v>
      </c>
      <c r="E1717" s="314">
        <v>60</v>
      </c>
    </row>
    <row r="1718" spans="1:5" x14ac:dyDescent="0.25">
      <c r="A1718" s="316" t="s">
        <v>2496</v>
      </c>
      <c r="B1718" s="313">
        <v>41946</v>
      </c>
      <c r="C1718" s="316" t="s">
        <v>2463</v>
      </c>
      <c r="D1718" s="314">
        <v>60</v>
      </c>
      <c r="E1718" s="314">
        <v>100</v>
      </c>
    </row>
    <row r="1719" spans="1:5" x14ac:dyDescent="0.25">
      <c r="A1719" s="316" t="s">
        <v>2497</v>
      </c>
      <c r="B1719" s="313">
        <v>41946</v>
      </c>
      <c r="C1719" s="316" t="s">
        <v>2473</v>
      </c>
      <c r="D1719" s="314">
        <v>0</v>
      </c>
      <c r="E1719" s="314">
        <v>5</v>
      </c>
    </row>
    <row r="1720" spans="1:5" x14ac:dyDescent="0.25">
      <c r="A1720" s="316" t="s">
        <v>2497</v>
      </c>
      <c r="B1720" s="313">
        <v>41946</v>
      </c>
      <c r="C1720" s="316" t="s">
        <v>2473</v>
      </c>
      <c r="D1720" s="314">
        <v>5</v>
      </c>
      <c r="E1720" s="314">
        <v>10</v>
      </c>
    </row>
    <row r="1721" spans="1:5" x14ac:dyDescent="0.25">
      <c r="A1721" s="316" t="s">
        <v>2497</v>
      </c>
      <c r="B1721" s="313">
        <v>41946</v>
      </c>
      <c r="C1721" s="316" t="s">
        <v>2473</v>
      </c>
      <c r="D1721" s="314">
        <v>10</v>
      </c>
      <c r="E1721" s="314">
        <v>20</v>
      </c>
    </row>
    <row r="1722" spans="1:5" x14ac:dyDescent="0.25">
      <c r="A1722" s="316" t="s">
        <v>2497</v>
      </c>
      <c r="B1722" s="313">
        <v>41946</v>
      </c>
      <c r="C1722" s="316" t="s">
        <v>2473</v>
      </c>
      <c r="D1722" s="314">
        <v>20</v>
      </c>
      <c r="E1722" s="314">
        <v>30</v>
      </c>
    </row>
    <row r="1723" spans="1:5" x14ac:dyDescent="0.25">
      <c r="A1723" s="316" t="s">
        <v>2497</v>
      </c>
      <c r="B1723" s="313">
        <v>41946</v>
      </c>
      <c r="C1723" s="316" t="s">
        <v>2473</v>
      </c>
      <c r="D1723" s="314">
        <v>30</v>
      </c>
      <c r="E1723" s="314">
        <v>60</v>
      </c>
    </row>
    <row r="1724" spans="1:5" x14ac:dyDescent="0.25">
      <c r="A1724" s="316" t="s">
        <v>2497</v>
      </c>
      <c r="B1724" s="313">
        <v>41946</v>
      </c>
      <c r="C1724" s="316" t="s">
        <v>2473</v>
      </c>
      <c r="D1724" s="314">
        <v>60</v>
      </c>
      <c r="E1724" s="314">
        <v>100</v>
      </c>
    </row>
    <row r="1725" spans="1:5" x14ac:dyDescent="0.25">
      <c r="A1725" s="316" t="s">
        <v>2498</v>
      </c>
      <c r="B1725" s="313">
        <v>41946</v>
      </c>
      <c r="C1725" s="316" t="s">
        <v>2467</v>
      </c>
      <c r="D1725" s="314">
        <v>0</v>
      </c>
      <c r="E1725" s="314">
        <v>5</v>
      </c>
    </row>
    <row r="1726" spans="1:5" x14ac:dyDescent="0.25">
      <c r="A1726" s="316" t="s">
        <v>2498</v>
      </c>
      <c r="B1726" s="313">
        <v>41946</v>
      </c>
      <c r="C1726" s="316" t="s">
        <v>2467</v>
      </c>
      <c r="D1726" s="314">
        <v>5</v>
      </c>
      <c r="E1726" s="314">
        <v>10</v>
      </c>
    </row>
    <row r="1727" spans="1:5" x14ac:dyDescent="0.25">
      <c r="A1727" s="316" t="s">
        <v>2498</v>
      </c>
      <c r="B1727" s="313">
        <v>41946</v>
      </c>
      <c r="C1727" s="316" t="s">
        <v>2467</v>
      </c>
      <c r="D1727" s="314">
        <v>10</v>
      </c>
      <c r="E1727" s="314">
        <v>20</v>
      </c>
    </row>
    <row r="1728" spans="1:5" x14ac:dyDescent="0.25">
      <c r="A1728" s="316" t="s">
        <v>2498</v>
      </c>
      <c r="B1728" s="313">
        <v>41946</v>
      </c>
      <c r="C1728" s="316" t="s">
        <v>2467</v>
      </c>
      <c r="D1728" s="314">
        <v>20</v>
      </c>
      <c r="E1728" s="314">
        <v>30</v>
      </c>
    </row>
    <row r="1729" spans="1:5" x14ac:dyDescent="0.25">
      <c r="A1729" s="316" t="s">
        <v>2498</v>
      </c>
      <c r="B1729" s="313">
        <v>41946</v>
      </c>
      <c r="C1729" s="316" t="s">
        <v>2467</v>
      </c>
      <c r="D1729" s="314">
        <v>30</v>
      </c>
      <c r="E1729" s="314">
        <v>60</v>
      </c>
    </row>
    <row r="1730" spans="1:5" x14ac:dyDescent="0.25">
      <c r="A1730" s="316" t="s">
        <v>2498</v>
      </c>
      <c r="B1730" s="313">
        <v>41946</v>
      </c>
      <c r="C1730" s="316" t="s">
        <v>2467</v>
      </c>
      <c r="D1730" s="314">
        <v>60</v>
      </c>
      <c r="E1730" s="314">
        <v>98</v>
      </c>
    </row>
    <row r="1731" spans="1:5" x14ac:dyDescent="0.25">
      <c r="A1731" s="316" t="s">
        <v>2499</v>
      </c>
      <c r="B1731" s="313">
        <v>41946</v>
      </c>
      <c r="C1731" s="316" t="s">
        <v>2461</v>
      </c>
      <c r="D1731" s="314">
        <v>0</v>
      </c>
      <c r="E1731" s="314">
        <v>5</v>
      </c>
    </row>
    <row r="1732" spans="1:5" x14ac:dyDescent="0.25">
      <c r="A1732" s="316" t="s">
        <v>2499</v>
      </c>
      <c r="B1732" s="313">
        <v>41946</v>
      </c>
      <c r="C1732" s="316" t="s">
        <v>2461</v>
      </c>
      <c r="D1732" s="314">
        <v>5</v>
      </c>
      <c r="E1732" s="314">
        <v>10</v>
      </c>
    </row>
    <row r="1733" spans="1:5" x14ac:dyDescent="0.25">
      <c r="A1733" s="316" t="s">
        <v>2499</v>
      </c>
      <c r="B1733" s="313">
        <v>41946</v>
      </c>
      <c r="C1733" s="316" t="s">
        <v>2461</v>
      </c>
      <c r="D1733" s="314">
        <v>10</v>
      </c>
      <c r="E1733" s="314">
        <v>20</v>
      </c>
    </row>
    <row r="1734" spans="1:5" x14ac:dyDescent="0.25">
      <c r="A1734" s="316" t="s">
        <v>2499</v>
      </c>
      <c r="B1734" s="313">
        <v>41946</v>
      </c>
      <c r="C1734" s="316" t="s">
        <v>2461</v>
      </c>
      <c r="D1734" s="314">
        <v>20</v>
      </c>
      <c r="E1734" s="314">
        <v>30</v>
      </c>
    </row>
    <row r="1735" spans="1:5" x14ac:dyDescent="0.25">
      <c r="A1735" s="316" t="s">
        <v>2499</v>
      </c>
      <c r="B1735" s="313">
        <v>41946</v>
      </c>
      <c r="C1735" s="316" t="s">
        <v>2461</v>
      </c>
      <c r="D1735" s="314">
        <v>30</v>
      </c>
      <c r="E1735" s="314">
        <v>60</v>
      </c>
    </row>
    <row r="1736" spans="1:5" x14ac:dyDescent="0.25">
      <c r="A1736" s="316" t="s">
        <v>2499</v>
      </c>
      <c r="B1736" s="313">
        <v>41946</v>
      </c>
      <c r="C1736" s="316" t="s">
        <v>2461</v>
      </c>
      <c r="D1736" s="314">
        <v>60</v>
      </c>
      <c r="E1736" s="314">
        <v>100</v>
      </c>
    </row>
    <row r="1737" spans="1:5" x14ac:dyDescent="0.25">
      <c r="A1737" s="316" t="s">
        <v>2400</v>
      </c>
      <c r="B1737" s="313">
        <v>42111</v>
      </c>
      <c r="C1737" s="316" t="s">
        <v>2401</v>
      </c>
      <c r="D1737" s="314">
        <v>0</v>
      </c>
      <c r="E1737" s="314">
        <v>60</v>
      </c>
    </row>
    <row r="1738" spans="1:5" x14ac:dyDescent="0.25">
      <c r="A1738" s="316" t="s">
        <v>2427</v>
      </c>
      <c r="B1738" s="313">
        <v>42111</v>
      </c>
      <c r="C1738" s="316" t="s">
        <v>2401</v>
      </c>
      <c r="D1738" s="314">
        <v>0</v>
      </c>
      <c r="E1738" s="314">
        <v>60</v>
      </c>
    </row>
    <row r="1739" spans="1:5" x14ac:dyDescent="0.25">
      <c r="A1739" s="316" t="s">
        <v>2438</v>
      </c>
      <c r="B1739" s="313">
        <v>42111</v>
      </c>
      <c r="C1739" s="316" t="s">
        <v>2401</v>
      </c>
      <c r="D1739" s="314">
        <v>0</v>
      </c>
      <c r="E1739" s="314">
        <v>60</v>
      </c>
    </row>
    <row r="1740" spans="1:5" x14ac:dyDescent="0.25">
      <c r="A1740" s="316" t="s">
        <v>2455</v>
      </c>
      <c r="B1740" s="313">
        <v>42111</v>
      </c>
      <c r="C1740" s="316" t="s">
        <v>2401</v>
      </c>
      <c r="D1740" s="314">
        <v>0</v>
      </c>
      <c r="E1740" s="314">
        <v>60</v>
      </c>
    </row>
    <row r="1741" spans="1:5" x14ac:dyDescent="0.25">
      <c r="A1741" s="316" t="s">
        <v>2410</v>
      </c>
      <c r="B1741" s="313">
        <v>42111</v>
      </c>
      <c r="C1741" s="316" t="s">
        <v>2411</v>
      </c>
      <c r="D1741" s="314">
        <v>0</v>
      </c>
      <c r="E1741" s="314">
        <v>60</v>
      </c>
    </row>
    <row r="1742" spans="1:5" x14ac:dyDescent="0.25">
      <c r="A1742" s="316" t="s">
        <v>2420</v>
      </c>
      <c r="B1742" s="313">
        <v>42111</v>
      </c>
      <c r="C1742" s="316" t="s">
        <v>2411</v>
      </c>
      <c r="D1742" s="314">
        <v>0</v>
      </c>
      <c r="E1742" s="314">
        <v>60</v>
      </c>
    </row>
    <row r="1743" spans="1:5" x14ac:dyDescent="0.25">
      <c r="A1743" s="316" t="s">
        <v>2440</v>
      </c>
      <c r="B1743" s="313">
        <v>42111</v>
      </c>
      <c r="C1743" s="316" t="s">
        <v>2411</v>
      </c>
      <c r="D1743" s="314">
        <v>0</v>
      </c>
      <c r="E1743" s="314">
        <v>60</v>
      </c>
    </row>
    <row r="1744" spans="1:5" x14ac:dyDescent="0.25">
      <c r="A1744" s="316" t="s">
        <v>2458</v>
      </c>
      <c r="B1744" s="313">
        <v>42111</v>
      </c>
      <c r="C1744" s="316" t="s">
        <v>2411</v>
      </c>
      <c r="D1744" s="314">
        <v>0</v>
      </c>
      <c r="E1744" s="314">
        <v>60</v>
      </c>
    </row>
    <row r="1745" spans="1:5" x14ac:dyDescent="0.25">
      <c r="A1745" s="316" t="s">
        <v>2398</v>
      </c>
      <c r="B1745" s="313">
        <v>42111</v>
      </c>
      <c r="C1745" s="316" t="s">
        <v>2399</v>
      </c>
      <c r="D1745" s="314">
        <v>0</v>
      </c>
      <c r="E1745" s="314">
        <v>60</v>
      </c>
    </row>
    <row r="1746" spans="1:5" x14ac:dyDescent="0.25">
      <c r="A1746" s="316" t="s">
        <v>2425</v>
      </c>
      <c r="B1746" s="313">
        <v>42111</v>
      </c>
      <c r="C1746" s="316" t="s">
        <v>2399</v>
      </c>
      <c r="D1746" s="314">
        <v>0</v>
      </c>
      <c r="E1746" s="314">
        <v>60</v>
      </c>
    </row>
    <row r="1747" spans="1:5" x14ac:dyDescent="0.25">
      <c r="A1747" s="316" t="s">
        <v>2439</v>
      </c>
      <c r="B1747" s="313">
        <v>42111</v>
      </c>
      <c r="C1747" s="316" t="s">
        <v>2399</v>
      </c>
      <c r="D1747" s="314">
        <v>0</v>
      </c>
      <c r="E1747" s="314">
        <v>60</v>
      </c>
    </row>
    <row r="1748" spans="1:5" x14ac:dyDescent="0.25">
      <c r="A1748" s="316" t="s">
        <v>2454</v>
      </c>
      <c r="B1748" s="313">
        <v>42111</v>
      </c>
      <c r="C1748" s="316" t="s">
        <v>2399</v>
      </c>
      <c r="D1748" s="314">
        <v>0</v>
      </c>
      <c r="E1748" s="314">
        <v>60</v>
      </c>
    </row>
    <row r="1749" spans="1:5" x14ac:dyDescent="0.25">
      <c r="A1749" s="316" t="s">
        <v>2404</v>
      </c>
      <c r="B1749" s="313">
        <v>42111</v>
      </c>
      <c r="C1749" s="316" t="s">
        <v>2405</v>
      </c>
      <c r="D1749" s="314">
        <v>0</v>
      </c>
      <c r="E1749" s="314">
        <v>60</v>
      </c>
    </row>
    <row r="1750" spans="1:5" x14ac:dyDescent="0.25">
      <c r="A1750" s="316" t="s">
        <v>2423</v>
      </c>
      <c r="B1750" s="313">
        <v>42111</v>
      </c>
      <c r="C1750" s="316" t="s">
        <v>2405</v>
      </c>
      <c r="D1750" s="314">
        <v>0</v>
      </c>
      <c r="E1750" s="314">
        <v>60</v>
      </c>
    </row>
    <row r="1751" spans="1:5" x14ac:dyDescent="0.25">
      <c r="A1751" s="316" t="s">
        <v>2443</v>
      </c>
      <c r="B1751" s="313">
        <v>42111</v>
      </c>
      <c r="C1751" s="316" t="s">
        <v>2405</v>
      </c>
      <c r="D1751" s="314">
        <v>0</v>
      </c>
      <c r="E1751" s="314">
        <v>60</v>
      </c>
    </row>
    <row r="1752" spans="1:5" x14ac:dyDescent="0.25">
      <c r="A1752" s="316" t="s">
        <v>2459</v>
      </c>
      <c r="B1752" s="313">
        <v>42111</v>
      </c>
      <c r="C1752" s="316" t="s">
        <v>2405</v>
      </c>
      <c r="D1752" s="314">
        <v>0</v>
      </c>
      <c r="E1752" s="314">
        <v>60</v>
      </c>
    </row>
    <row r="1753" spans="1:5" x14ac:dyDescent="0.25">
      <c r="A1753" s="316" t="s">
        <v>2470</v>
      </c>
      <c r="B1753" s="313">
        <v>42111</v>
      </c>
      <c r="C1753" s="316" t="s">
        <v>2471</v>
      </c>
      <c r="D1753" s="314">
        <v>0</v>
      </c>
      <c r="E1753" s="314">
        <v>60</v>
      </c>
    </row>
    <row r="1754" spans="1:5" x14ac:dyDescent="0.25">
      <c r="A1754" s="316" t="s">
        <v>2476</v>
      </c>
      <c r="B1754" s="313">
        <v>42111</v>
      </c>
      <c r="C1754" s="316" t="s">
        <v>2471</v>
      </c>
      <c r="D1754" s="314">
        <v>0</v>
      </c>
      <c r="E1754" s="314">
        <v>60</v>
      </c>
    </row>
    <row r="1755" spans="1:5" x14ac:dyDescent="0.25">
      <c r="A1755" s="316" t="s">
        <v>2491</v>
      </c>
      <c r="B1755" s="313">
        <v>42111</v>
      </c>
      <c r="C1755" s="316" t="s">
        <v>2471</v>
      </c>
      <c r="D1755" s="314">
        <v>0</v>
      </c>
      <c r="E1755" s="314">
        <v>60</v>
      </c>
    </row>
    <row r="1756" spans="1:5" x14ac:dyDescent="0.25">
      <c r="A1756" s="316" t="s">
        <v>2492</v>
      </c>
      <c r="B1756" s="313">
        <v>42111</v>
      </c>
      <c r="C1756" s="316" t="s">
        <v>2471</v>
      </c>
      <c r="D1756" s="314">
        <v>0</v>
      </c>
      <c r="E1756" s="314">
        <v>60</v>
      </c>
    </row>
    <row r="1757" spans="1:5" x14ac:dyDescent="0.25">
      <c r="A1757" s="316" t="s">
        <v>2460</v>
      </c>
      <c r="B1757" s="313">
        <v>42111</v>
      </c>
      <c r="C1757" s="316" t="s">
        <v>2461</v>
      </c>
      <c r="D1757" s="314">
        <v>0</v>
      </c>
      <c r="E1757" s="314">
        <v>60</v>
      </c>
    </row>
    <row r="1758" spans="1:5" x14ac:dyDescent="0.25">
      <c r="A1758" s="316" t="s">
        <v>2482</v>
      </c>
      <c r="B1758" s="313">
        <v>42111</v>
      </c>
      <c r="C1758" s="316" t="s">
        <v>2461</v>
      </c>
      <c r="D1758" s="314">
        <v>0</v>
      </c>
      <c r="E1758" s="314">
        <v>60</v>
      </c>
    </row>
    <row r="1759" spans="1:5" x14ac:dyDescent="0.25">
      <c r="A1759" s="316" t="s">
        <v>2488</v>
      </c>
      <c r="B1759" s="313">
        <v>42111</v>
      </c>
      <c r="C1759" s="316" t="s">
        <v>2461</v>
      </c>
      <c r="D1759" s="314">
        <v>0</v>
      </c>
      <c r="E1759" s="314">
        <v>60</v>
      </c>
    </row>
    <row r="1760" spans="1:5" x14ac:dyDescent="0.25">
      <c r="A1760" s="316" t="s">
        <v>2499</v>
      </c>
      <c r="B1760" s="313">
        <v>42111</v>
      </c>
      <c r="C1760" s="316" t="s">
        <v>2461</v>
      </c>
      <c r="D1760" s="314">
        <v>0</v>
      </c>
      <c r="E1760" s="314">
        <v>60</v>
      </c>
    </row>
    <row r="1761" spans="1:5" x14ac:dyDescent="0.25">
      <c r="A1761" s="316" t="s">
        <v>2468</v>
      </c>
      <c r="B1761" s="313">
        <v>42111</v>
      </c>
      <c r="C1761" s="316" t="s">
        <v>2469</v>
      </c>
      <c r="D1761" s="314">
        <v>0</v>
      </c>
      <c r="E1761" s="314">
        <v>60</v>
      </c>
    </row>
    <row r="1762" spans="1:5" x14ac:dyDescent="0.25">
      <c r="A1762" s="316" t="s">
        <v>2479</v>
      </c>
      <c r="B1762" s="313">
        <v>42111</v>
      </c>
      <c r="C1762" s="316" t="s">
        <v>2469</v>
      </c>
      <c r="D1762" s="314">
        <v>0</v>
      </c>
      <c r="E1762" s="314">
        <v>60</v>
      </c>
    </row>
    <row r="1763" spans="1:5" x14ac:dyDescent="0.25">
      <c r="A1763" s="316" t="s">
        <v>2486</v>
      </c>
      <c r="B1763" s="313">
        <v>42111</v>
      </c>
      <c r="C1763" s="316" t="s">
        <v>2469</v>
      </c>
      <c r="D1763" s="314">
        <v>0</v>
      </c>
      <c r="E1763" s="314">
        <v>60</v>
      </c>
    </row>
    <row r="1764" spans="1:5" x14ac:dyDescent="0.25">
      <c r="A1764" s="316" t="s">
        <v>2493</v>
      </c>
      <c r="B1764" s="313">
        <v>42111</v>
      </c>
      <c r="C1764" s="316" t="s">
        <v>2469</v>
      </c>
      <c r="D1764" s="314">
        <v>0</v>
      </c>
      <c r="E1764" s="314">
        <v>60</v>
      </c>
    </row>
    <row r="1765" spans="1:5" x14ac:dyDescent="0.25">
      <c r="A1765" s="316" t="s">
        <v>2472</v>
      </c>
      <c r="B1765" s="313">
        <v>42111</v>
      </c>
      <c r="C1765" s="316" t="s">
        <v>2473</v>
      </c>
      <c r="D1765" s="314">
        <v>0</v>
      </c>
      <c r="E1765" s="314">
        <v>60</v>
      </c>
    </row>
    <row r="1766" spans="1:5" x14ac:dyDescent="0.25">
      <c r="A1766" s="316" t="s">
        <v>2481</v>
      </c>
      <c r="B1766" s="313">
        <v>42111</v>
      </c>
      <c r="C1766" s="316" t="s">
        <v>2473</v>
      </c>
      <c r="D1766" s="314">
        <v>0</v>
      </c>
      <c r="E1766" s="314">
        <v>60</v>
      </c>
    </row>
    <row r="1767" spans="1:5" x14ac:dyDescent="0.25">
      <c r="A1767" s="316" t="s">
        <v>2489</v>
      </c>
      <c r="B1767" s="313">
        <v>42111</v>
      </c>
      <c r="C1767" s="316" t="s">
        <v>2473</v>
      </c>
      <c r="D1767" s="314">
        <v>0</v>
      </c>
      <c r="E1767" s="314">
        <v>60</v>
      </c>
    </row>
    <row r="1768" spans="1:5" x14ac:dyDescent="0.25">
      <c r="A1768" s="316" t="s">
        <v>2497</v>
      </c>
      <c r="B1768" s="313">
        <v>42111</v>
      </c>
      <c r="C1768" s="316" t="s">
        <v>2473</v>
      </c>
      <c r="D1768" s="314">
        <v>0</v>
      </c>
      <c r="E1768" s="314">
        <v>60</v>
      </c>
    </row>
    <row r="1769" spans="1:5" x14ac:dyDescent="0.25">
      <c r="A1769" s="316" t="s">
        <v>2384</v>
      </c>
      <c r="B1769" s="313">
        <v>42111</v>
      </c>
      <c r="C1769" s="316" t="s">
        <v>2385</v>
      </c>
      <c r="D1769" s="314">
        <v>0</v>
      </c>
      <c r="E1769" s="314">
        <v>60</v>
      </c>
    </row>
    <row r="1770" spans="1:5" x14ac:dyDescent="0.25">
      <c r="A1770" s="316" t="s">
        <v>2418</v>
      </c>
      <c r="B1770" s="313">
        <v>42111</v>
      </c>
      <c r="C1770" s="316" t="s">
        <v>2385</v>
      </c>
      <c r="D1770" s="314">
        <v>0</v>
      </c>
      <c r="E1770" s="314">
        <v>60</v>
      </c>
    </row>
    <row r="1771" spans="1:5" x14ac:dyDescent="0.25">
      <c r="A1771" s="316" t="s">
        <v>2435</v>
      </c>
      <c r="B1771" s="313">
        <v>42111</v>
      </c>
      <c r="C1771" s="316" t="s">
        <v>2385</v>
      </c>
      <c r="D1771" s="314">
        <v>0</v>
      </c>
      <c r="E1771" s="314">
        <v>60</v>
      </c>
    </row>
    <row r="1772" spans="1:5" x14ac:dyDescent="0.25">
      <c r="A1772" s="316" t="s">
        <v>2445</v>
      </c>
      <c r="B1772" s="313">
        <v>42111</v>
      </c>
      <c r="C1772" s="316" t="s">
        <v>2385</v>
      </c>
      <c r="D1772" s="314">
        <v>0</v>
      </c>
      <c r="E1772" s="314">
        <v>60</v>
      </c>
    </row>
    <row r="1773" spans="1:5" x14ac:dyDescent="0.25">
      <c r="A1773" s="316" t="s">
        <v>2390</v>
      </c>
      <c r="B1773" s="313">
        <v>42111</v>
      </c>
      <c r="C1773" s="316" t="s">
        <v>2391</v>
      </c>
      <c r="D1773" s="314">
        <v>0</v>
      </c>
      <c r="E1773" s="314">
        <v>60</v>
      </c>
    </row>
    <row r="1774" spans="1:5" x14ac:dyDescent="0.25">
      <c r="A1774" s="316" t="s">
        <v>2415</v>
      </c>
      <c r="B1774" s="313">
        <v>42111</v>
      </c>
      <c r="C1774" s="316" t="s">
        <v>2391</v>
      </c>
      <c r="D1774" s="314">
        <v>0</v>
      </c>
      <c r="E1774" s="314">
        <v>60</v>
      </c>
    </row>
    <row r="1775" spans="1:5" x14ac:dyDescent="0.25">
      <c r="A1775" s="316" t="s">
        <v>2433</v>
      </c>
      <c r="B1775" s="313">
        <v>42111</v>
      </c>
      <c r="C1775" s="316" t="s">
        <v>2391</v>
      </c>
      <c r="D1775" s="314">
        <v>0</v>
      </c>
      <c r="E1775" s="314">
        <v>60</v>
      </c>
    </row>
    <row r="1776" spans="1:5" x14ac:dyDescent="0.25">
      <c r="A1776" s="316" t="s">
        <v>2446</v>
      </c>
      <c r="B1776" s="313">
        <v>42111</v>
      </c>
      <c r="C1776" s="316" t="s">
        <v>2391</v>
      </c>
      <c r="D1776" s="314">
        <v>0</v>
      </c>
      <c r="E1776" s="314">
        <v>60</v>
      </c>
    </row>
    <row r="1777" spans="1:5" x14ac:dyDescent="0.25">
      <c r="A1777" s="316" t="s">
        <v>2394</v>
      </c>
      <c r="B1777" s="313">
        <v>42111</v>
      </c>
      <c r="C1777" s="316" t="s">
        <v>2395</v>
      </c>
      <c r="D1777" s="314">
        <v>0</v>
      </c>
      <c r="E1777" s="314">
        <v>60</v>
      </c>
    </row>
    <row r="1778" spans="1:5" x14ac:dyDescent="0.25">
      <c r="A1778" s="316" t="s">
        <v>2417</v>
      </c>
      <c r="B1778" s="313">
        <v>42111</v>
      </c>
      <c r="C1778" s="316" t="s">
        <v>2395</v>
      </c>
      <c r="D1778" s="314">
        <v>0</v>
      </c>
      <c r="E1778" s="314">
        <v>60</v>
      </c>
    </row>
    <row r="1779" spans="1:5" x14ac:dyDescent="0.25">
      <c r="A1779" s="316" t="s">
        <v>2430</v>
      </c>
      <c r="B1779" s="313">
        <v>42111</v>
      </c>
      <c r="C1779" s="316" t="s">
        <v>2395</v>
      </c>
      <c r="D1779" s="314">
        <v>0</v>
      </c>
      <c r="E1779" s="314">
        <v>60</v>
      </c>
    </row>
    <row r="1780" spans="1:5" x14ac:dyDescent="0.25">
      <c r="A1780" s="316" t="s">
        <v>2451</v>
      </c>
      <c r="B1780" s="313">
        <v>42111</v>
      </c>
      <c r="C1780" s="316" t="s">
        <v>2395</v>
      </c>
      <c r="D1780" s="314">
        <v>0</v>
      </c>
      <c r="E1780" s="314">
        <v>60</v>
      </c>
    </row>
    <row r="1781" spans="1:5" x14ac:dyDescent="0.25">
      <c r="A1781" s="316" t="s">
        <v>2380</v>
      </c>
      <c r="B1781" s="313">
        <v>42111</v>
      </c>
      <c r="C1781" s="316" t="s">
        <v>2381</v>
      </c>
      <c r="D1781" s="314">
        <v>0</v>
      </c>
      <c r="E1781" s="314">
        <v>60</v>
      </c>
    </row>
    <row r="1782" spans="1:5" x14ac:dyDescent="0.25">
      <c r="A1782" s="316" t="s">
        <v>2412</v>
      </c>
      <c r="B1782" s="313">
        <v>42111</v>
      </c>
      <c r="C1782" s="316" t="s">
        <v>2381</v>
      </c>
      <c r="D1782" s="314">
        <v>0</v>
      </c>
      <c r="E1782" s="314">
        <v>60</v>
      </c>
    </row>
    <row r="1783" spans="1:5" x14ac:dyDescent="0.25">
      <c r="A1783" s="316" t="s">
        <v>2429</v>
      </c>
      <c r="B1783" s="313">
        <v>42111</v>
      </c>
      <c r="C1783" s="316" t="s">
        <v>2381</v>
      </c>
      <c r="D1783" s="314">
        <v>0</v>
      </c>
      <c r="E1783" s="314">
        <v>60</v>
      </c>
    </row>
    <row r="1784" spans="1:5" x14ac:dyDescent="0.25">
      <c r="A1784" s="316" t="s">
        <v>2448</v>
      </c>
      <c r="B1784" s="313">
        <v>42111</v>
      </c>
      <c r="C1784" s="316" t="s">
        <v>2381</v>
      </c>
      <c r="D1784" s="314">
        <v>0</v>
      </c>
      <c r="E1784" s="314">
        <v>60</v>
      </c>
    </row>
  </sheetData>
  <mergeCells count="10">
    <mergeCell ref="F4:S4"/>
    <mergeCell ref="A5:C5"/>
    <mergeCell ref="U5:V5"/>
    <mergeCell ref="D6:E6"/>
    <mergeCell ref="W6:Y6"/>
    <mergeCell ref="Z6:AA6"/>
    <mergeCell ref="AB6:AC6"/>
    <mergeCell ref="AF6:AG6"/>
    <mergeCell ref="U7:V7"/>
    <mergeCell ref="W7:Y7"/>
  </mergeCells>
  <conditionalFormatting sqref="A8:C8 F8:S8">
    <cfRule type="expression" dxfId="64" priority="3">
      <formula>IF(INDEX(VAD_bMeasSoilSOMpools,COLUMN(A8),5)&gt;0,TRUE(),FALSE())</formula>
    </cfRule>
  </conditionalFormatting>
  <conditionalFormatting sqref="D8:E8">
    <cfRule type="expression" dxfId="63" priority="2">
      <formula>IF(INDEX(Vad_MeasSoilBiol,COLUMN(D8),5)&gt;0,TRUE(),FALSE())</formula>
    </cfRule>
  </conditionalFormatting>
  <conditionalFormatting sqref="T8:AG8">
    <cfRule type="expression" dxfId="62" priority="1">
      <formula>IF(INDEX(VAD_bMeasSoilSOMpools,COLUMN(T8),5)&gt;0,TRUE(),FALSE())</formula>
    </cfRule>
  </conditionalFormatting>
  <dataValidations count="23">
    <dataValidation allowBlank="1" showInputMessage="1" showErrorMessage="1" prompt="Enter the amount of nitrogen in the microbial biomass, in units specified above." sqref="M18"/>
    <dataValidation allowBlank="1" showInputMessage="1" showErrorMessage="1" prompt="Enter the amount of carbon in the microbial biomass, in units specified above." sqref="L18"/>
    <dataValidation allowBlank="1" showInputMessage="1" showErrorMessage="1" prompt="Enter the particulate organic matter, in units specified above." sqref="K18"/>
    <dataValidation allowBlank="1" showInputMessage="1" showErrorMessage="1" prompt="Enter the amount of organic plant material greater than 2mm in diameter found in soil sample, in units specified above." sqref="J18"/>
    <dataValidation allowBlank="1" showInputMessage="1" showErrorMessage="1" prompt="Microbial Biomass Carbon in mg per kg soil" sqref="R8:S8 AF8:AG8"/>
    <dataValidation allowBlank="1" showInputMessage="1" showErrorMessage="1" prompt="Active (Labile) Carbon in mg per kg soil" sqref="Q8 AE8"/>
    <dataValidation allowBlank="1" showInputMessage="1" showErrorMessage="1" prompt="Soil Proteins in mg per kg soil" sqref="P8 AD8"/>
    <dataValidation allowBlank="1" showInputMessage="1" showErrorMessage="1" prompt="Potentially Mineralizable Carbon in mg per kg soil" sqref="N8:O8 AB8:AC8"/>
    <dataValidation allowBlank="1" showInputMessage="1" showErrorMessage="1" prompt="Dissolved/Water-extractable organic C in mg per kg soil" sqref="L8:M8 Z8:AA8"/>
    <dataValidation allowBlank="1" showInputMessage="1" showErrorMessage="1" prompt="Particulate Organic Matter in g POM per kg soil" sqref="I8:K8 W8:Y8"/>
    <dataValidation allowBlank="1" showInputMessage="1" showErrorMessage="1" prompt="Particulate Organic Matter_x000a_" sqref="I7:K7 W7:Y7"/>
    <dataValidation allowBlank="1" showInputMessage="1" showErrorMessage="1" prompt="Soil Organic Matter in g OM per g soil" sqref="F8 T8"/>
    <dataValidation allowBlank="1" showInputMessage="1" showErrorMessage="1" prompt="If a method other than dry combustion is used please enter above instead." sqref="G7 U14 U7"/>
    <dataValidation allowBlank="1" showInputMessage="1" showErrorMessage="1" prompt="Enter total soil carbon, in units specified above.  If your data is a %, multiply by 10. " sqref="G8 U8"/>
    <dataValidation allowBlank="1" showInputMessage="1" showErrorMessage="1" prompt="Enter total soil nitrogen, in units specified above." sqref="H8 V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format specified above." sqref="B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Q479"/>
  <sheetViews>
    <sheetView workbookViewId="0">
      <pane xSplit="5" ySplit="8" topLeftCell="F9" activePane="bottomRight" state="frozen"/>
      <selection pane="topRight" activeCell="F1" sqref="F1"/>
      <selection pane="bottomLeft" activeCell="A9" sqref="A9"/>
      <selection pane="bottomRight" activeCell="G7" sqref="G7"/>
    </sheetView>
  </sheetViews>
  <sheetFormatPr defaultColWidth="9.109375" defaultRowHeight="13.2" x14ac:dyDescent="0.25"/>
  <cols>
    <col min="1" max="1" width="16.6640625" style="316" customWidth="1"/>
    <col min="2" max="2" width="16.6640625" style="313" customWidth="1"/>
    <col min="3" max="3" width="16.6640625" style="316" customWidth="1"/>
    <col min="4" max="5" width="11.6640625" style="314" customWidth="1"/>
    <col min="6" max="7" width="15.6640625" style="314" customWidth="1"/>
    <col min="8" max="8" width="20.5546875" style="314" customWidth="1"/>
    <col min="9" max="9" width="14.33203125" style="314" customWidth="1"/>
    <col min="10" max="12" width="10.6640625" style="314" customWidth="1"/>
    <col min="13" max="15" width="16.5546875" style="314" customWidth="1"/>
    <col min="16" max="16" width="12.88671875" style="314" customWidth="1"/>
    <col min="17" max="18" width="12" style="876" customWidth="1"/>
    <col min="19" max="20" width="12.6640625" style="314" customWidth="1"/>
    <col min="21" max="21" width="17" style="314" customWidth="1"/>
    <col min="22" max="25" width="12.6640625" style="314" customWidth="1"/>
    <col min="26" max="26" width="14.88671875" style="314" customWidth="1"/>
    <col min="27" max="27" width="10.6640625" style="314" customWidth="1"/>
    <col min="28" max="28" width="11.88671875" style="314" customWidth="1"/>
    <col min="29" max="29" width="13.33203125" style="314" customWidth="1"/>
    <col min="30" max="31" width="12.6640625" style="314" customWidth="1"/>
    <col min="32" max="32" width="10.88671875" style="314" customWidth="1"/>
    <col min="33" max="34" width="13.5546875" style="314" customWidth="1"/>
    <col min="35" max="16384" width="9.109375" style="314"/>
  </cols>
  <sheetData>
    <row r="1" spans="1:43" s="339" customFormat="1" ht="17.399999999999999" x14ac:dyDescent="0.3">
      <c r="A1" s="1024" t="s">
        <v>2500</v>
      </c>
      <c r="B1" s="1041"/>
      <c r="C1" s="1024"/>
      <c r="D1" s="184"/>
      <c r="E1" s="184"/>
      <c r="F1" s="1042"/>
      <c r="G1" s="1042"/>
      <c r="H1" s="1042"/>
      <c r="I1" s="1042"/>
      <c r="J1" s="1043"/>
      <c r="K1" s="1042"/>
      <c r="L1" s="1042"/>
      <c r="M1" s="1042"/>
      <c r="N1" s="1042"/>
      <c r="O1" s="1042"/>
      <c r="P1" s="1042"/>
      <c r="Q1" s="1044"/>
      <c r="R1" s="1044"/>
      <c r="S1" s="1042"/>
      <c r="T1" s="1042"/>
      <c r="U1" s="1042"/>
      <c r="V1" s="1042"/>
      <c r="W1" s="1042"/>
      <c r="X1" s="1042"/>
      <c r="Y1" s="1042"/>
      <c r="Z1" s="1042"/>
      <c r="AA1" s="1042"/>
      <c r="AB1" s="1045"/>
      <c r="AC1" s="1046"/>
      <c r="AD1" s="1042"/>
      <c r="AE1" s="1042"/>
      <c r="AF1" s="1042"/>
      <c r="AG1" s="1042"/>
      <c r="AH1" s="1042"/>
    </row>
    <row r="2" spans="1:43" s="339" customFormat="1" ht="15" customHeight="1" x14ac:dyDescent="0.3">
      <c r="A2" s="897" t="s">
        <v>617</v>
      </c>
      <c r="B2" s="265"/>
      <c r="C2" s="712"/>
      <c r="D2" s="109"/>
      <c r="E2" s="109"/>
      <c r="F2" s="111" t="s">
        <v>2501</v>
      </c>
      <c r="G2" s="111" t="s">
        <v>2501</v>
      </c>
      <c r="H2" s="111" t="s">
        <v>2502</v>
      </c>
      <c r="I2" s="111" t="s">
        <v>2503</v>
      </c>
      <c r="J2" s="111" t="s">
        <v>2503</v>
      </c>
      <c r="K2" s="111" t="s">
        <v>2503</v>
      </c>
      <c r="L2" s="111" t="s">
        <v>2504</v>
      </c>
      <c r="M2" s="111" t="s">
        <v>2505</v>
      </c>
      <c r="N2" s="111" t="s">
        <v>2505</v>
      </c>
      <c r="O2" s="111" t="s">
        <v>2505</v>
      </c>
      <c r="P2" s="206" t="s">
        <v>2506</v>
      </c>
      <c r="Q2" s="1047" t="s">
        <v>538</v>
      </c>
      <c r="R2" s="1020" t="s">
        <v>538</v>
      </c>
      <c r="S2" s="1020" t="s">
        <v>538</v>
      </c>
      <c r="T2" s="1020" t="s">
        <v>538</v>
      </c>
      <c r="U2" s="1020" t="s">
        <v>538</v>
      </c>
      <c r="V2" s="1021" t="s">
        <v>538</v>
      </c>
      <c r="W2" s="1047" t="s">
        <v>538</v>
      </c>
      <c r="X2" s="1020" t="s">
        <v>538</v>
      </c>
      <c r="Y2" s="1021" t="s">
        <v>538</v>
      </c>
      <c r="Z2" s="1048" t="s">
        <v>538</v>
      </c>
      <c r="AA2" s="314"/>
      <c r="AB2" s="314"/>
      <c r="AC2" s="314"/>
      <c r="AD2" s="314"/>
      <c r="AE2" s="314"/>
      <c r="AF2" s="314"/>
      <c r="AG2" s="314"/>
      <c r="AH2" s="314"/>
      <c r="AI2" s="314"/>
      <c r="AJ2" s="314"/>
      <c r="AK2" s="314"/>
      <c r="AL2" s="314"/>
      <c r="AM2" s="314"/>
      <c r="AN2" s="314"/>
      <c r="AO2" s="314"/>
      <c r="AP2" s="314"/>
      <c r="AQ2" s="314"/>
    </row>
    <row r="3" spans="1:43" s="339" customFormat="1" ht="15" customHeight="1" x14ac:dyDescent="0.3">
      <c r="A3" s="712"/>
      <c r="B3" s="266"/>
      <c r="C3" s="712"/>
      <c r="D3" s="109"/>
      <c r="E3" s="109"/>
      <c r="F3" s="111"/>
      <c r="G3" s="111"/>
      <c r="H3" s="111"/>
      <c r="I3" s="474"/>
      <c r="J3" s="474"/>
      <c r="K3" s="474"/>
      <c r="L3" s="474"/>
      <c r="M3" s="474"/>
      <c r="N3" s="474"/>
      <c r="O3" s="474"/>
      <c r="P3" s="475"/>
      <c r="Q3" s="1049"/>
      <c r="R3" s="111"/>
      <c r="S3" s="111"/>
      <c r="T3" s="111"/>
      <c r="U3" s="111"/>
      <c r="V3" s="1050"/>
      <c r="W3" s="1049"/>
      <c r="X3" s="111"/>
      <c r="Y3" s="1050"/>
      <c r="Z3" s="1051"/>
      <c r="AA3" s="314"/>
      <c r="AB3" s="314"/>
      <c r="AC3" s="314"/>
      <c r="AD3" s="314"/>
      <c r="AE3" s="314"/>
      <c r="AF3" s="314"/>
      <c r="AG3" s="314"/>
      <c r="AH3" s="314"/>
      <c r="AI3" s="314"/>
      <c r="AJ3" s="314"/>
      <c r="AK3" s="314"/>
      <c r="AL3" s="314"/>
      <c r="AM3" s="314"/>
      <c r="AN3" s="314"/>
      <c r="AO3" s="314"/>
      <c r="AP3" s="314"/>
      <c r="AQ3" s="314"/>
    </row>
    <row r="4" spans="1:43" s="339" customFormat="1" ht="14.4" x14ac:dyDescent="0.3">
      <c r="A4" s="712"/>
      <c r="B4" s="267"/>
      <c r="C4" s="712"/>
      <c r="D4" s="111"/>
      <c r="E4" s="111"/>
      <c r="F4" s="109"/>
      <c r="G4" s="109"/>
      <c r="H4" s="109"/>
      <c r="I4" s="109"/>
      <c r="J4" s="109"/>
      <c r="K4" s="109"/>
      <c r="L4" s="109"/>
      <c r="M4" s="109"/>
      <c r="N4" s="109"/>
      <c r="O4" s="109"/>
      <c r="P4" s="1050"/>
      <c r="Q4" s="1049"/>
      <c r="R4" s="111"/>
      <c r="S4" s="111"/>
      <c r="T4" s="111"/>
      <c r="U4" s="111"/>
      <c r="V4" s="1050"/>
      <c r="W4" s="1049"/>
      <c r="X4" s="111"/>
      <c r="Y4" s="1050"/>
      <c r="Z4" s="1051"/>
      <c r="AA4" s="314"/>
      <c r="AB4" s="314"/>
      <c r="AC4" s="314"/>
      <c r="AD4" s="314"/>
      <c r="AE4" s="314"/>
      <c r="AF4" s="314"/>
      <c r="AG4" s="314"/>
      <c r="AH4" s="314"/>
      <c r="AI4" s="314"/>
      <c r="AJ4" s="314"/>
      <c r="AK4" s="314"/>
      <c r="AL4" s="314"/>
      <c r="AM4" s="314"/>
      <c r="AN4" s="314"/>
      <c r="AO4" s="314"/>
      <c r="AP4" s="314"/>
      <c r="AQ4" s="314"/>
    </row>
    <row r="5" spans="1:43" s="339" customFormat="1" ht="15.6" x14ac:dyDescent="0.3">
      <c r="A5" s="1052" t="s">
        <v>343</v>
      </c>
      <c r="B5" s="1053"/>
      <c r="C5" s="1054"/>
      <c r="D5" s="109"/>
      <c r="E5" s="109"/>
      <c r="F5" s="109"/>
      <c r="G5" s="109"/>
      <c r="H5" s="109"/>
      <c r="I5" s="910" t="s">
        <v>480</v>
      </c>
      <c r="J5" s="910" t="s">
        <v>481</v>
      </c>
      <c r="K5" s="910"/>
      <c r="L5" s="910"/>
      <c r="M5" s="910"/>
      <c r="N5" s="910"/>
      <c r="O5" s="910"/>
      <c r="P5" s="1055"/>
      <c r="Q5" s="1049"/>
      <c r="R5" s="111"/>
      <c r="S5" s="1056" t="s">
        <v>480</v>
      </c>
      <c r="T5" s="1056" t="s">
        <v>481</v>
      </c>
      <c r="U5" s="1056"/>
      <c r="V5" s="1055"/>
      <c r="W5" s="1057"/>
      <c r="X5" s="1056"/>
      <c r="Y5" s="1055"/>
      <c r="Z5" s="1058"/>
      <c r="AA5" s="314"/>
      <c r="AB5" s="314"/>
      <c r="AC5" s="314"/>
      <c r="AD5" s="314"/>
      <c r="AE5" s="314"/>
      <c r="AF5" s="314"/>
      <c r="AG5" s="314"/>
      <c r="AH5" s="314"/>
      <c r="AI5" s="314"/>
      <c r="AJ5" s="314"/>
      <c r="AK5" s="314"/>
      <c r="AL5" s="314"/>
      <c r="AM5" s="314"/>
      <c r="AN5" s="314"/>
      <c r="AO5" s="314"/>
      <c r="AP5" s="314"/>
      <c r="AQ5" s="314"/>
    </row>
    <row r="6" spans="1:43" s="339" customFormat="1" ht="29.4" customHeight="1" x14ac:dyDescent="0.3">
      <c r="A6" s="641"/>
      <c r="B6" s="256" t="s">
        <v>116</v>
      </c>
      <c r="C6" s="641"/>
      <c r="D6" s="1528" t="s">
        <v>46</v>
      </c>
      <c r="E6" s="1528"/>
      <c r="F6" s="1461" t="s">
        <v>1551</v>
      </c>
      <c r="G6" s="1461"/>
      <c r="H6" s="1461"/>
      <c r="I6" s="1461"/>
      <c r="J6" s="1461"/>
      <c r="K6" s="1461"/>
      <c r="L6" s="1462"/>
      <c r="M6" s="1463" t="s">
        <v>2507</v>
      </c>
      <c r="N6" s="1464"/>
      <c r="O6" s="1465"/>
      <c r="P6" s="1059" t="s">
        <v>1550</v>
      </c>
      <c r="Q6" s="1466" t="s">
        <v>1551</v>
      </c>
      <c r="R6" s="1461"/>
      <c r="S6" s="1461"/>
      <c r="T6" s="1461"/>
      <c r="U6" s="1461"/>
      <c r="V6" s="1462"/>
      <c r="W6" s="1463" t="s">
        <v>2507</v>
      </c>
      <c r="X6" s="1464"/>
      <c r="Y6" s="1465"/>
      <c r="Z6" s="1060" t="s">
        <v>1550</v>
      </c>
      <c r="AA6" s="314"/>
      <c r="AB6" s="314"/>
      <c r="AC6" s="314"/>
      <c r="AD6" s="314"/>
      <c r="AE6" s="314"/>
      <c r="AF6" s="314"/>
      <c r="AG6" s="314"/>
      <c r="AH6" s="314"/>
      <c r="AI6" s="314"/>
      <c r="AJ6" s="314"/>
      <c r="AK6" s="314"/>
      <c r="AL6" s="314"/>
      <c r="AM6" s="314"/>
      <c r="AN6" s="314"/>
      <c r="AO6" s="314"/>
      <c r="AP6" s="314"/>
      <c r="AQ6" s="314"/>
    </row>
    <row r="7" spans="1:43" s="339" customFormat="1" ht="14.4" x14ac:dyDescent="0.3">
      <c r="A7" s="713"/>
      <c r="B7" s="67"/>
      <c r="C7" s="713"/>
      <c r="D7" s="1566" t="s">
        <v>71</v>
      </c>
      <c r="E7" s="1566"/>
      <c r="F7" s="81"/>
      <c r="G7" s="81" t="s">
        <v>2508</v>
      </c>
      <c r="H7" s="81"/>
      <c r="I7" s="81"/>
      <c r="J7" s="81"/>
      <c r="K7" s="81"/>
      <c r="L7" s="1061"/>
      <c r="M7" s="81"/>
      <c r="N7" s="81"/>
      <c r="O7" s="81"/>
      <c r="P7" s="1062"/>
      <c r="Q7" s="1063"/>
      <c r="R7" s="62"/>
      <c r="S7" s="62"/>
      <c r="T7" s="62"/>
      <c r="U7" s="62"/>
      <c r="V7" s="206"/>
      <c r="W7" s="1063"/>
      <c r="X7" s="62"/>
      <c r="Y7" s="206"/>
      <c r="Z7" s="1064"/>
      <c r="AA7" s="314"/>
      <c r="AB7" s="314"/>
      <c r="AC7" s="314"/>
      <c r="AD7" s="314"/>
      <c r="AE7" s="314"/>
      <c r="AF7" s="314"/>
      <c r="AG7" s="314"/>
      <c r="AH7" s="314"/>
      <c r="AI7" s="314"/>
      <c r="AJ7" s="314"/>
      <c r="AK7" s="314"/>
      <c r="AL7" s="314"/>
      <c r="AM7" s="314"/>
      <c r="AN7" s="314"/>
      <c r="AO7" s="314"/>
      <c r="AP7" s="314"/>
      <c r="AQ7" s="314"/>
    </row>
    <row r="8" spans="1:43" s="339" customFormat="1" ht="54" thickBot="1" x14ac:dyDescent="0.35">
      <c r="A8" s="1037" t="s">
        <v>3474</v>
      </c>
      <c r="B8" s="812" t="s">
        <v>35</v>
      </c>
      <c r="C8" s="625" t="s">
        <v>152</v>
      </c>
      <c r="D8" s="6" t="s">
        <v>3507</v>
      </c>
      <c r="E8" s="6" t="s">
        <v>3508</v>
      </c>
      <c r="F8" s="1065" t="s">
        <v>2509</v>
      </c>
      <c r="G8" s="1065" t="s">
        <v>2510</v>
      </c>
      <c r="H8" s="1065" t="s">
        <v>2511</v>
      </c>
      <c r="I8" s="1065" t="s">
        <v>2512</v>
      </c>
      <c r="J8" s="1065" t="s">
        <v>2513</v>
      </c>
      <c r="K8" s="1065" t="s">
        <v>2514</v>
      </c>
      <c r="L8" s="1066" t="s">
        <v>2515</v>
      </c>
      <c r="M8" s="1065" t="s">
        <v>2516</v>
      </c>
      <c r="N8" s="1065" t="s">
        <v>2517</v>
      </c>
      <c r="O8" s="1066" t="s">
        <v>2518</v>
      </c>
      <c r="P8" s="1066" t="s">
        <v>2519</v>
      </c>
      <c r="Q8" s="1067" t="s">
        <v>3627</v>
      </c>
      <c r="R8" s="1065" t="s">
        <v>3628</v>
      </c>
      <c r="S8" s="1065" t="s">
        <v>3629</v>
      </c>
      <c r="T8" s="1065" t="s">
        <v>3630</v>
      </c>
      <c r="U8" s="1065" t="s">
        <v>3631</v>
      </c>
      <c r="V8" s="1066" t="s">
        <v>3632</v>
      </c>
      <c r="W8" s="1067" t="s">
        <v>3633</v>
      </c>
      <c r="X8" s="1065" t="s">
        <v>3634</v>
      </c>
      <c r="Y8" s="1066" t="s">
        <v>3635</v>
      </c>
      <c r="Z8" s="1068" t="s">
        <v>3636</v>
      </c>
      <c r="AA8" s="314"/>
      <c r="AB8" s="314"/>
      <c r="AC8" s="314"/>
      <c r="AD8" s="314"/>
      <c r="AE8" s="314"/>
      <c r="AF8" s="314"/>
      <c r="AG8" s="314"/>
      <c r="AH8" s="314"/>
      <c r="AI8" s="314"/>
      <c r="AJ8" s="314"/>
      <c r="AK8" s="314"/>
      <c r="AL8" s="314"/>
      <c r="AM8" s="314"/>
      <c r="AN8" s="314"/>
      <c r="AO8" s="314"/>
      <c r="AP8" s="314"/>
      <c r="AQ8" s="314"/>
    </row>
    <row r="9" spans="1:43" x14ac:dyDescent="0.25">
      <c r="A9" s="316" t="s">
        <v>2380</v>
      </c>
      <c r="B9" s="313">
        <v>39988</v>
      </c>
      <c r="C9" s="316" t="s">
        <v>2381</v>
      </c>
      <c r="D9" s="314">
        <v>0</v>
      </c>
      <c r="E9" s="314">
        <v>5</v>
      </c>
    </row>
    <row r="10" spans="1:43" x14ac:dyDescent="0.25">
      <c r="A10" s="316" t="s">
        <v>2380</v>
      </c>
      <c r="B10" s="313">
        <v>39988</v>
      </c>
      <c r="C10" s="316" t="s">
        <v>2381</v>
      </c>
      <c r="D10" s="314">
        <v>5</v>
      </c>
      <c r="E10" s="314">
        <v>10</v>
      </c>
      <c r="G10" s="314" t="s">
        <v>2520</v>
      </c>
      <c r="Q10" s="314"/>
      <c r="R10" s="314"/>
    </row>
    <row r="11" spans="1:43" x14ac:dyDescent="0.25">
      <c r="A11" s="316" t="s">
        <v>2382</v>
      </c>
      <c r="B11" s="313">
        <v>39988</v>
      </c>
      <c r="C11" s="316" t="s">
        <v>2383</v>
      </c>
      <c r="D11" s="314">
        <v>0</v>
      </c>
      <c r="E11" s="314">
        <v>5</v>
      </c>
      <c r="Q11" s="314"/>
      <c r="R11" s="314"/>
    </row>
    <row r="12" spans="1:43" x14ac:dyDescent="0.25">
      <c r="A12" s="316" t="s">
        <v>2382</v>
      </c>
      <c r="B12" s="313">
        <v>39988</v>
      </c>
      <c r="C12" s="316" t="s">
        <v>2383</v>
      </c>
      <c r="D12" s="314">
        <v>5</v>
      </c>
      <c r="E12" s="314">
        <v>10</v>
      </c>
      <c r="Q12" s="314"/>
      <c r="R12" s="314"/>
    </row>
    <row r="13" spans="1:43" x14ac:dyDescent="0.25">
      <c r="A13" s="316" t="s">
        <v>2384</v>
      </c>
      <c r="B13" s="313">
        <v>39988</v>
      </c>
      <c r="C13" s="316" t="s">
        <v>2385</v>
      </c>
      <c r="D13" s="314">
        <v>0</v>
      </c>
      <c r="E13" s="314">
        <v>5</v>
      </c>
      <c r="Q13" s="314"/>
      <c r="R13" s="314"/>
    </row>
    <row r="14" spans="1:43" x14ac:dyDescent="0.25">
      <c r="A14" s="316" t="s">
        <v>2384</v>
      </c>
      <c r="B14" s="313">
        <v>39988</v>
      </c>
      <c r="C14" s="316" t="s">
        <v>2385</v>
      </c>
      <c r="D14" s="314">
        <v>5</v>
      </c>
      <c r="E14" s="314">
        <v>10</v>
      </c>
    </row>
    <row r="15" spans="1:43" x14ac:dyDescent="0.25">
      <c r="A15" s="316" t="s">
        <v>2386</v>
      </c>
      <c r="B15" s="313">
        <v>39988</v>
      </c>
      <c r="C15" s="316" t="s">
        <v>2387</v>
      </c>
      <c r="D15" s="314">
        <v>0</v>
      </c>
      <c r="E15" s="314">
        <v>5</v>
      </c>
    </row>
    <row r="16" spans="1:43" x14ac:dyDescent="0.25">
      <c r="A16" s="316" t="s">
        <v>2386</v>
      </c>
      <c r="B16" s="313">
        <v>39988</v>
      </c>
      <c r="C16" s="316" t="s">
        <v>2387</v>
      </c>
      <c r="D16" s="314">
        <v>5</v>
      </c>
      <c r="E16" s="314">
        <v>10</v>
      </c>
    </row>
    <row r="17" spans="1:5" x14ac:dyDescent="0.25">
      <c r="A17" s="316" t="s">
        <v>2388</v>
      </c>
      <c r="B17" s="313">
        <v>39988</v>
      </c>
      <c r="C17" s="316" t="s">
        <v>2389</v>
      </c>
      <c r="D17" s="314">
        <v>0</v>
      </c>
      <c r="E17" s="314">
        <v>5</v>
      </c>
    </row>
    <row r="18" spans="1:5" x14ac:dyDescent="0.25">
      <c r="A18" s="316" t="s">
        <v>2388</v>
      </c>
      <c r="B18" s="313">
        <v>39988</v>
      </c>
      <c r="C18" s="316" t="s">
        <v>2389</v>
      </c>
      <c r="D18" s="314">
        <v>5</v>
      </c>
      <c r="E18" s="314">
        <v>10</v>
      </c>
    </row>
    <row r="19" spans="1:5" x14ac:dyDescent="0.25">
      <c r="A19" s="316" t="s">
        <v>2390</v>
      </c>
      <c r="B19" s="313">
        <v>39988</v>
      </c>
      <c r="C19" s="316" t="s">
        <v>2391</v>
      </c>
      <c r="D19" s="314">
        <v>0</v>
      </c>
      <c r="E19" s="314">
        <v>5</v>
      </c>
    </row>
    <row r="20" spans="1:5" x14ac:dyDescent="0.25">
      <c r="A20" s="316" t="s">
        <v>2390</v>
      </c>
      <c r="B20" s="313">
        <v>39988</v>
      </c>
      <c r="C20" s="316" t="s">
        <v>2391</v>
      </c>
      <c r="D20" s="314">
        <v>5</v>
      </c>
      <c r="E20" s="314">
        <v>10</v>
      </c>
    </row>
    <row r="21" spans="1:5" x14ac:dyDescent="0.25">
      <c r="A21" s="316" t="s">
        <v>2392</v>
      </c>
      <c r="B21" s="313">
        <v>39988</v>
      </c>
      <c r="C21" s="316" t="s">
        <v>2393</v>
      </c>
      <c r="D21" s="314">
        <v>0</v>
      </c>
      <c r="E21" s="314">
        <v>5</v>
      </c>
    </row>
    <row r="22" spans="1:5" x14ac:dyDescent="0.25">
      <c r="A22" s="316" t="s">
        <v>2392</v>
      </c>
      <c r="B22" s="313">
        <v>39988</v>
      </c>
      <c r="C22" s="316" t="s">
        <v>2393</v>
      </c>
      <c r="D22" s="314">
        <v>5</v>
      </c>
      <c r="E22" s="314">
        <v>10</v>
      </c>
    </row>
    <row r="23" spans="1:5" x14ac:dyDescent="0.25">
      <c r="A23" s="316" t="s">
        <v>2394</v>
      </c>
      <c r="B23" s="313">
        <v>39988</v>
      </c>
      <c r="C23" s="316" t="s">
        <v>2395</v>
      </c>
      <c r="D23" s="314">
        <v>0</v>
      </c>
      <c r="E23" s="314">
        <v>5</v>
      </c>
    </row>
    <row r="24" spans="1:5" x14ac:dyDescent="0.25">
      <c r="A24" s="316" t="s">
        <v>2394</v>
      </c>
      <c r="B24" s="313">
        <v>39988</v>
      </c>
      <c r="C24" s="316" t="s">
        <v>2395</v>
      </c>
      <c r="D24" s="314">
        <v>5</v>
      </c>
      <c r="E24" s="314">
        <v>10</v>
      </c>
    </row>
    <row r="25" spans="1:5" x14ac:dyDescent="0.25">
      <c r="A25" s="316" t="s">
        <v>2396</v>
      </c>
      <c r="B25" s="313">
        <v>39988</v>
      </c>
      <c r="C25" s="316" t="s">
        <v>2397</v>
      </c>
      <c r="D25" s="314">
        <v>0</v>
      </c>
      <c r="E25" s="314">
        <v>5</v>
      </c>
    </row>
    <row r="26" spans="1:5" x14ac:dyDescent="0.25">
      <c r="A26" s="316" t="s">
        <v>2396</v>
      </c>
      <c r="B26" s="313">
        <v>39988</v>
      </c>
      <c r="C26" s="316" t="s">
        <v>2397</v>
      </c>
      <c r="D26" s="314">
        <v>5</v>
      </c>
      <c r="E26" s="314">
        <v>10</v>
      </c>
    </row>
    <row r="27" spans="1:5" x14ac:dyDescent="0.25">
      <c r="A27" s="316" t="s">
        <v>2398</v>
      </c>
      <c r="B27" s="313">
        <v>39988</v>
      </c>
      <c r="C27" s="316" t="s">
        <v>2399</v>
      </c>
      <c r="D27" s="314">
        <v>0</v>
      </c>
      <c r="E27" s="314">
        <v>5</v>
      </c>
    </row>
    <row r="28" spans="1:5" x14ac:dyDescent="0.25">
      <c r="A28" s="316" t="s">
        <v>2398</v>
      </c>
      <c r="B28" s="313">
        <v>39988</v>
      </c>
      <c r="C28" s="316" t="s">
        <v>2399</v>
      </c>
      <c r="D28" s="314">
        <v>5</v>
      </c>
      <c r="E28" s="314">
        <v>10</v>
      </c>
    </row>
    <row r="29" spans="1:5" x14ac:dyDescent="0.25">
      <c r="A29" s="316" t="s">
        <v>2400</v>
      </c>
      <c r="B29" s="313">
        <v>39988</v>
      </c>
      <c r="C29" s="316" t="s">
        <v>2401</v>
      </c>
      <c r="D29" s="314">
        <v>0</v>
      </c>
      <c r="E29" s="314">
        <v>5</v>
      </c>
    </row>
    <row r="30" spans="1:5" x14ac:dyDescent="0.25">
      <c r="A30" s="316" t="s">
        <v>2400</v>
      </c>
      <c r="B30" s="313">
        <v>39988</v>
      </c>
      <c r="C30" s="316" t="s">
        <v>2401</v>
      </c>
      <c r="D30" s="314">
        <v>5</v>
      </c>
      <c r="E30" s="314">
        <v>10</v>
      </c>
    </row>
    <row r="31" spans="1:5" x14ac:dyDescent="0.25">
      <c r="A31" s="316" t="s">
        <v>2402</v>
      </c>
      <c r="B31" s="313">
        <v>39988</v>
      </c>
      <c r="C31" s="316" t="s">
        <v>2403</v>
      </c>
      <c r="D31" s="314">
        <v>0</v>
      </c>
      <c r="E31" s="314">
        <v>5</v>
      </c>
    </row>
    <row r="32" spans="1:5" x14ac:dyDescent="0.25">
      <c r="A32" s="316" t="s">
        <v>2402</v>
      </c>
      <c r="B32" s="313">
        <v>39988</v>
      </c>
      <c r="C32" s="316" t="s">
        <v>2403</v>
      </c>
      <c r="D32" s="314">
        <v>5</v>
      </c>
      <c r="E32" s="314">
        <v>10</v>
      </c>
    </row>
    <row r="33" spans="1:5" x14ac:dyDescent="0.25">
      <c r="A33" s="316" t="s">
        <v>2404</v>
      </c>
      <c r="B33" s="313">
        <v>39988</v>
      </c>
      <c r="C33" s="316" t="s">
        <v>2405</v>
      </c>
      <c r="D33" s="314">
        <v>0</v>
      </c>
      <c r="E33" s="314">
        <v>5</v>
      </c>
    </row>
    <row r="34" spans="1:5" x14ac:dyDescent="0.25">
      <c r="A34" s="316" t="s">
        <v>2404</v>
      </c>
      <c r="B34" s="313">
        <v>39988</v>
      </c>
      <c r="C34" s="316" t="s">
        <v>2405</v>
      </c>
      <c r="D34" s="314">
        <v>5</v>
      </c>
      <c r="E34" s="314">
        <v>10</v>
      </c>
    </row>
    <row r="35" spans="1:5" x14ac:dyDescent="0.25">
      <c r="A35" s="316" t="s">
        <v>2406</v>
      </c>
      <c r="B35" s="313">
        <v>39988</v>
      </c>
      <c r="C35" s="316" t="s">
        <v>2407</v>
      </c>
      <c r="D35" s="314">
        <v>0</v>
      </c>
      <c r="E35" s="314">
        <v>5</v>
      </c>
    </row>
    <row r="36" spans="1:5" x14ac:dyDescent="0.25">
      <c r="A36" s="316" t="s">
        <v>2406</v>
      </c>
      <c r="B36" s="313">
        <v>39988</v>
      </c>
      <c r="C36" s="316" t="s">
        <v>2407</v>
      </c>
      <c r="D36" s="314">
        <v>5</v>
      </c>
      <c r="E36" s="314">
        <v>10</v>
      </c>
    </row>
    <row r="37" spans="1:5" x14ac:dyDescent="0.25">
      <c r="A37" s="316" t="s">
        <v>2408</v>
      </c>
      <c r="B37" s="313">
        <v>39988</v>
      </c>
      <c r="C37" s="316" t="s">
        <v>2409</v>
      </c>
      <c r="D37" s="314">
        <v>0</v>
      </c>
      <c r="E37" s="314">
        <v>5</v>
      </c>
    </row>
    <row r="38" spans="1:5" x14ac:dyDescent="0.25">
      <c r="A38" s="316" t="s">
        <v>2408</v>
      </c>
      <c r="B38" s="313">
        <v>39988</v>
      </c>
      <c r="C38" s="316" t="s">
        <v>2409</v>
      </c>
      <c r="D38" s="314">
        <v>5</v>
      </c>
      <c r="E38" s="314">
        <v>10</v>
      </c>
    </row>
    <row r="39" spans="1:5" x14ac:dyDescent="0.25">
      <c r="A39" s="316" t="s">
        <v>2410</v>
      </c>
      <c r="B39" s="313">
        <v>39988</v>
      </c>
      <c r="C39" s="316" t="s">
        <v>2411</v>
      </c>
      <c r="D39" s="314">
        <v>0</v>
      </c>
      <c r="E39" s="314">
        <v>5</v>
      </c>
    </row>
    <row r="40" spans="1:5" x14ac:dyDescent="0.25">
      <c r="A40" s="316" t="s">
        <v>2410</v>
      </c>
      <c r="B40" s="313">
        <v>39988</v>
      </c>
      <c r="C40" s="316" t="s">
        <v>2411</v>
      </c>
      <c r="D40" s="314">
        <v>5</v>
      </c>
      <c r="E40" s="314">
        <v>10</v>
      </c>
    </row>
    <row r="41" spans="1:5" x14ac:dyDescent="0.25">
      <c r="A41" s="316" t="s">
        <v>2412</v>
      </c>
      <c r="B41" s="313">
        <v>39988</v>
      </c>
      <c r="C41" s="316" t="s">
        <v>2381</v>
      </c>
      <c r="D41" s="314">
        <v>0</v>
      </c>
      <c r="E41" s="314">
        <v>5</v>
      </c>
    </row>
    <row r="42" spans="1:5" x14ac:dyDescent="0.25">
      <c r="A42" s="316" t="s">
        <v>2412</v>
      </c>
      <c r="B42" s="313">
        <v>39988</v>
      </c>
      <c r="C42" s="316" t="s">
        <v>2381</v>
      </c>
      <c r="D42" s="314">
        <v>5</v>
      </c>
      <c r="E42" s="314">
        <v>10</v>
      </c>
    </row>
    <row r="43" spans="1:5" x14ac:dyDescent="0.25">
      <c r="A43" s="316" t="s">
        <v>2413</v>
      </c>
      <c r="B43" s="313">
        <v>39988</v>
      </c>
      <c r="C43" s="316" t="s">
        <v>2389</v>
      </c>
      <c r="D43" s="314">
        <v>0</v>
      </c>
      <c r="E43" s="314">
        <v>5</v>
      </c>
    </row>
    <row r="44" spans="1:5" x14ac:dyDescent="0.25">
      <c r="A44" s="316" t="s">
        <v>2413</v>
      </c>
      <c r="B44" s="313">
        <v>39988</v>
      </c>
      <c r="C44" s="316" t="s">
        <v>2389</v>
      </c>
      <c r="D44" s="314">
        <v>5</v>
      </c>
      <c r="E44" s="314">
        <v>10</v>
      </c>
    </row>
    <row r="45" spans="1:5" x14ac:dyDescent="0.25">
      <c r="A45" s="316" t="s">
        <v>2414</v>
      </c>
      <c r="B45" s="313">
        <v>39988</v>
      </c>
      <c r="C45" s="316" t="s">
        <v>2387</v>
      </c>
      <c r="D45" s="314">
        <v>0</v>
      </c>
      <c r="E45" s="314">
        <v>5</v>
      </c>
    </row>
    <row r="46" spans="1:5" x14ac:dyDescent="0.25">
      <c r="A46" s="316" t="s">
        <v>2414</v>
      </c>
      <c r="B46" s="313">
        <v>39988</v>
      </c>
      <c r="C46" s="316" t="s">
        <v>2387</v>
      </c>
      <c r="D46" s="314">
        <v>5</v>
      </c>
      <c r="E46" s="314">
        <v>10</v>
      </c>
    </row>
    <row r="47" spans="1:5" x14ac:dyDescent="0.25">
      <c r="A47" s="316" t="s">
        <v>2415</v>
      </c>
      <c r="B47" s="313">
        <v>39988</v>
      </c>
      <c r="C47" s="316" t="s">
        <v>2391</v>
      </c>
      <c r="D47" s="314">
        <v>0</v>
      </c>
      <c r="E47" s="314">
        <v>5</v>
      </c>
    </row>
    <row r="48" spans="1:5" x14ac:dyDescent="0.25">
      <c r="A48" s="316" t="s">
        <v>2415</v>
      </c>
      <c r="B48" s="313">
        <v>39988</v>
      </c>
      <c r="C48" s="316" t="s">
        <v>2391</v>
      </c>
      <c r="D48" s="314">
        <v>5</v>
      </c>
      <c r="E48" s="314">
        <v>10</v>
      </c>
    </row>
    <row r="49" spans="1:5" x14ac:dyDescent="0.25">
      <c r="A49" s="316" t="s">
        <v>2416</v>
      </c>
      <c r="B49" s="313">
        <v>39988</v>
      </c>
      <c r="C49" s="316" t="s">
        <v>2393</v>
      </c>
      <c r="D49" s="314">
        <v>0</v>
      </c>
      <c r="E49" s="314">
        <v>5</v>
      </c>
    </row>
    <row r="50" spans="1:5" x14ac:dyDescent="0.25">
      <c r="A50" s="316" t="s">
        <v>2416</v>
      </c>
      <c r="B50" s="313">
        <v>39988</v>
      </c>
      <c r="C50" s="316" t="s">
        <v>2393</v>
      </c>
      <c r="D50" s="314">
        <v>5</v>
      </c>
      <c r="E50" s="314">
        <v>10</v>
      </c>
    </row>
    <row r="51" spans="1:5" x14ac:dyDescent="0.25">
      <c r="A51" s="316" t="s">
        <v>2417</v>
      </c>
      <c r="B51" s="313">
        <v>39988</v>
      </c>
      <c r="C51" s="316" t="s">
        <v>2395</v>
      </c>
      <c r="D51" s="314">
        <v>0</v>
      </c>
      <c r="E51" s="314">
        <v>5</v>
      </c>
    </row>
    <row r="52" spans="1:5" x14ac:dyDescent="0.25">
      <c r="A52" s="316" t="s">
        <v>2417</v>
      </c>
      <c r="B52" s="313">
        <v>39988</v>
      </c>
      <c r="C52" s="316" t="s">
        <v>2395</v>
      </c>
      <c r="D52" s="314">
        <v>5</v>
      </c>
      <c r="E52" s="314">
        <v>10</v>
      </c>
    </row>
    <row r="53" spans="1:5" x14ac:dyDescent="0.25">
      <c r="A53" s="316" t="s">
        <v>2418</v>
      </c>
      <c r="B53" s="313">
        <v>39988</v>
      </c>
      <c r="C53" s="316" t="s">
        <v>2385</v>
      </c>
      <c r="D53" s="314">
        <v>0</v>
      </c>
      <c r="E53" s="314">
        <v>5</v>
      </c>
    </row>
    <row r="54" spans="1:5" x14ac:dyDescent="0.25">
      <c r="A54" s="316" t="s">
        <v>2418</v>
      </c>
      <c r="B54" s="313">
        <v>39988</v>
      </c>
      <c r="C54" s="316" t="s">
        <v>2385</v>
      </c>
      <c r="D54" s="314">
        <v>5</v>
      </c>
      <c r="E54" s="314">
        <v>10</v>
      </c>
    </row>
    <row r="55" spans="1:5" x14ac:dyDescent="0.25">
      <c r="A55" s="316" t="s">
        <v>2419</v>
      </c>
      <c r="B55" s="313">
        <v>39988</v>
      </c>
      <c r="C55" s="316" t="s">
        <v>2383</v>
      </c>
      <c r="D55" s="314">
        <v>0</v>
      </c>
      <c r="E55" s="314">
        <v>5</v>
      </c>
    </row>
    <row r="56" spans="1:5" x14ac:dyDescent="0.25">
      <c r="A56" s="316" t="s">
        <v>2419</v>
      </c>
      <c r="B56" s="313">
        <v>39988</v>
      </c>
      <c r="C56" s="316" t="s">
        <v>2383</v>
      </c>
      <c r="D56" s="314">
        <v>5</v>
      </c>
      <c r="E56" s="314">
        <v>10</v>
      </c>
    </row>
    <row r="57" spans="1:5" x14ac:dyDescent="0.25">
      <c r="A57" s="316" t="s">
        <v>2420</v>
      </c>
      <c r="B57" s="313">
        <v>39988</v>
      </c>
      <c r="C57" s="316" t="s">
        <v>2411</v>
      </c>
      <c r="D57" s="314">
        <v>0</v>
      </c>
      <c r="E57" s="314">
        <v>5</v>
      </c>
    </row>
    <row r="58" spans="1:5" x14ac:dyDescent="0.25">
      <c r="A58" s="316" t="s">
        <v>2420</v>
      </c>
      <c r="B58" s="313">
        <v>39988</v>
      </c>
      <c r="C58" s="316" t="s">
        <v>2411</v>
      </c>
      <c r="D58" s="314">
        <v>5</v>
      </c>
      <c r="E58" s="314">
        <v>10</v>
      </c>
    </row>
    <row r="59" spans="1:5" x14ac:dyDescent="0.25">
      <c r="A59" s="316" t="s">
        <v>2421</v>
      </c>
      <c r="B59" s="313">
        <v>39988</v>
      </c>
      <c r="C59" s="316" t="s">
        <v>2407</v>
      </c>
      <c r="D59" s="314">
        <v>0</v>
      </c>
      <c r="E59" s="314">
        <v>5</v>
      </c>
    </row>
    <row r="60" spans="1:5" x14ac:dyDescent="0.25">
      <c r="A60" s="316" t="s">
        <v>2421</v>
      </c>
      <c r="B60" s="313">
        <v>39988</v>
      </c>
      <c r="C60" s="316" t="s">
        <v>2407</v>
      </c>
      <c r="D60" s="314">
        <v>5</v>
      </c>
      <c r="E60" s="314">
        <v>10</v>
      </c>
    </row>
    <row r="61" spans="1:5" x14ac:dyDescent="0.25">
      <c r="A61" s="316" t="s">
        <v>2422</v>
      </c>
      <c r="B61" s="313">
        <v>39988</v>
      </c>
      <c r="C61" s="316" t="s">
        <v>2409</v>
      </c>
      <c r="D61" s="314">
        <v>0</v>
      </c>
      <c r="E61" s="314">
        <v>5</v>
      </c>
    </row>
    <row r="62" spans="1:5" x14ac:dyDescent="0.25">
      <c r="A62" s="316" t="s">
        <v>2422</v>
      </c>
      <c r="B62" s="313">
        <v>39988</v>
      </c>
      <c r="C62" s="316" t="s">
        <v>2409</v>
      </c>
      <c r="D62" s="314">
        <v>5</v>
      </c>
      <c r="E62" s="314">
        <v>10</v>
      </c>
    </row>
    <row r="63" spans="1:5" x14ac:dyDescent="0.25">
      <c r="A63" s="316" t="s">
        <v>2423</v>
      </c>
      <c r="B63" s="313">
        <v>39988</v>
      </c>
      <c r="C63" s="316" t="s">
        <v>2405</v>
      </c>
      <c r="D63" s="314">
        <v>0</v>
      </c>
      <c r="E63" s="314">
        <v>5</v>
      </c>
    </row>
    <row r="64" spans="1:5" x14ac:dyDescent="0.25">
      <c r="A64" s="316" t="s">
        <v>2423</v>
      </c>
      <c r="B64" s="313">
        <v>39988</v>
      </c>
      <c r="C64" s="316" t="s">
        <v>2405</v>
      </c>
      <c r="D64" s="314">
        <v>5</v>
      </c>
      <c r="E64" s="314">
        <v>10</v>
      </c>
    </row>
    <row r="65" spans="1:5" x14ac:dyDescent="0.25">
      <c r="A65" s="316" t="s">
        <v>2424</v>
      </c>
      <c r="B65" s="313">
        <v>39988</v>
      </c>
      <c r="C65" s="316" t="s">
        <v>2403</v>
      </c>
      <c r="D65" s="314">
        <v>0</v>
      </c>
      <c r="E65" s="314">
        <v>5</v>
      </c>
    </row>
    <row r="66" spans="1:5" x14ac:dyDescent="0.25">
      <c r="A66" s="316" t="s">
        <v>2424</v>
      </c>
      <c r="B66" s="313">
        <v>39988</v>
      </c>
      <c r="C66" s="316" t="s">
        <v>2403</v>
      </c>
      <c r="D66" s="314">
        <v>5</v>
      </c>
      <c r="E66" s="314">
        <v>10</v>
      </c>
    </row>
    <row r="67" spans="1:5" x14ac:dyDescent="0.25">
      <c r="A67" s="316" t="s">
        <v>2425</v>
      </c>
      <c r="B67" s="313">
        <v>39988</v>
      </c>
      <c r="C67" s="316" t="s">
        <v>2399</v>
      </c>
      <c r="D67" s="314">
        <v>0</v>
      </c>
      <c r="E67" s="314">
        <v>5</v>
      </c>
    </row>
    <row r="68" spans="1:5" x14ac:dyDescent="0.25">
      <c r="A68" s="316" t="s">
        <v>2425</v>
      </c>
      <c r="B68" s="313">
        <v>39988</v>
      </c>
      <c r="C68" s="316" t="s">
        <v>2399</v>
      </c>
      <c r="D68" s="314">
        <v>5</v>
      </c>
      <c r="E68" s="314">
        <v>10</v>
      </c>
    </row>
    <row r="69" spans="1:5" x14ac:dyDescent="0.25">
      <c r="A69" s="316" t="s">
        <v>2426</v>
      </c>
      <c r="B69" s="313">
        <v>39988</v>
      </c>
      <c r="C69" s="316" t="s">
        <v>2397</v>
      </c>
      <c r="D69" s="314">
        <v>0</v>
      </c>
      <c r="E69" s="314">
        <v>5</v>
      </c>
    </row>
    <row r="70" spans="1:5" x14ac:dyDescent="0.25">
      <c r="A70" s="316" t="s">
        <v>2426</v>
      </c>
      <c r="B70" s="313">
        <v>39988</v>
      </c>
      <c r="C70" s="316" t="s">
        <v>2397</v>
      </c>
      <c r="D70" s="314">
        <v>5</v>
      </c>
      <c r="E70" s="314">
        <v>10</v>
      </c>
    </row>
    <row r="71" spans="1:5" x14ac:dyDescent="0.25">
      <c r="A71" s="316" t="s">
        <v>2427</v>
      </c>
      <c r="B71" s="313">
        <v>39988</v>
      </c>
      <c r="C71" s="316" t="s">
        <v>2401</v>
      </c>
      <c r="D71" s="314">
        <v>0</v>
      </c>
      <c r="E71" s="314">
        <v>5</v>
      </c>
    </row>
    <row r="72" spans="1:5" x14ac:dyDescent="0.25">
      <c r="A72" s="316" t="s">
        <v>2427</v>
      </c>
      <c r="B72" s="313">
        <v>39988</v>
      </c>
      <c r="C72" s="316" t="s">
        <v>2401</v>
      </c>
      <c r="D72" s="314">
        <v>5</v>
      </c>
      <c r="E72" s="314">
        <v>10</v>
      </c>
    </row>
    <row r="73" spans="1:5" x14ac:dyDescent="0.25">
      <c r="A73" s="316" t="s">
        <v>2428</v>
      </c>
      <c r="B73" s="313">
        <v>39988</v>
      </c>
      <c r="C73" s="316" t="s">
        <v>2389</v>
      </c>
      <c r="D73" s="314">
        <v>0</v>
      </c>
      <c r="E73" s="314">
        <v>5</v>
      </c>
    </row>
    <row r="74" spans="1:5" x14ac:dyDescent="0.25">
      <c r="A74" s="316" t="s">
        <v>2428</v>
      </c>
      <c r="B74" s="313">
        <v>39988</v>
      </c>
      <c r="C74" s="316" t="s">
        <v>2389</v>
      </c>
      <c r="D74" s="314">
        <v>5</v>
      </c>
      <c r="E74" s="314">
        <v>10</v>
      </c>
    </row>
    <row r="75" spans="1:5" x14ac:dyDescent="0.25">
      <c r="A75" s="316" t="s">
        <v>2429</v>
      </c>
      <c r="B75" s="313">
        <v>39988</v>
      </c>
      <c r="C75" s="316" t="s">
        <v>2381</v>
      </c>
      <c r="D75" s="314">
        <v>0</v>
      </c>
      <c r="E75" s="314">
        <v>5</v>
      </c>
    </row>
    <row r="76" spans="1:5" x14ac:dyDescent="0.25">
      <c r="A76" s="316" t="s">
        <v>2429</v>
      </c>
      <c r="B76" s="313">
        <v>39988</v>
      </c>
      <c r="C76" s="316" t="s">
        <v>2381</v>
      </c>
      <c r="D76" s="314">
        <v>5</v>
      </c>
      <c r="E76" s="314">
        <v>10</v>
      </c>
    </row>
    <row r="77" spans="1:5" x14ac:dyDescent="0.25">
      <c r="A77" s="316" t="s">
        <v>2430</v>
      </c>
      <c r="B77" s="313">
        <v>39988</v>
      </c>
      <c r="C77" s="316" t="s">
        <v>2395</v>
      </c>
      <c r="D77" s="314">
        <v>0</v>
      </c>
      <c r="E77" s="314">
        <v>5</v>
      </c>
    </row>
    <row r="78" spans="1:5" x14ac:dyDescent="0.25">
      <c r="A78" s="316" t="s">
        <v>2430</v>
      </c>
      <c r="B78" s="313">
        <v>39988</v>
      </c>
      <c r="C78" s="316" t="s">
        <v>2395</v>
      </c>
      <c r="D78" s="314">
        <v>5</v>
      </c>
      <c r="E78" s="314">
        <v>10</v>
      </c>
    </row>
    <row r="79" spans="1:5" x14ac:dyDescent="0.25">
      <c r="A79" s="316" t="s">
        <v>2431</v>
      </c>
      <c r="B79" s="313">
        <v>39988</v>
      </c>
      <c r="C79" s="316" t="s">
        <v>2393</v>
      </c>
      <c r="D79" s="314">
        <v>0</v>
      </c>
      <c r="E79" s="314">
        <v>5</v>
      </c>
    </row>
    <row r="80" spans="1:5" x14ac:dyDescent="0.25">
      <c r="A80" s="316" t="s">
        <v>2431</v>
      </c>
      <c r="B80" s="313">
        <v>39988</v>
      </c>
      <c r="C80" s="316" t="s">
        <v>2393</v>
      </c>
      <c r="D80" s="314">
        <v>5</v>
      </c>
      <c r="E80" s="314">
        <v>10</v>
      </c>
    </row>
    <row r="81" spans="1:5" x14ac:dyDescent="0.25">
      <c r="A81" s="316" t="s">
        <v>2432</v>
      </c>
      <c r="B81" s="313">
        <v>39988</v>
      </c>
      <c r="C81" s="316" t="s">
        <v>2387</v>
      </c>
      <c r="D81" s="314">
        <v>0</v>
      </c>
      <c r="E81" s="314">
        <v>5</v>
      </c>
    </row>
    <row r="82" spans="1:5" x14ac:dyDescent="0.25">
      <c r="A82" s="316" t="s">
        <v>2432</v>
      </c>
      <c r="B82" s="313">
        <v>39988</v>
      </c>
      <c r="C82" s="316" t="s">
        <v>2387</v>
      </c>
      <c r="D82" s="314">
        <v>5</v>
      </c>
      <c r="E82" s="314">
        <v>10</v>
      </c>
    </row>
    <row r="83" spans="1:5" x14ac:dyDescent="0.25">
      <c r="A83" s="316" t="s">
        <v>2433</v>
      </c>
      <c r="B83" s="313">
        <v>39988</v>
      </c>
      <c r="C83" s="316" t="s">
        <v>2391</v>
      </c>
      <c r="D83" s="314">
        <v>0</v>
      </c>
      <c r="E83" s="314">
        <v>5</v>
      </c>
    </row>
    <row r="84" spans="1:5" x14ac:dyDescent="0.25">
      <c r="A84" s="316" t="s">
        <v>2433</v>
      </c>
      <c r="B84" s="313">
        <v>39988</v>
      </c>
      <c r="C84" s="316" t="s">
        <v>2391</v>
      </c>
      <c r="D84" s="314">
        <v>5</v>
      </c>
      <c r="E84" s="314">
        <v>10</v>
      </c>
    </row>
    <row r="85" spans="1:5" x14ac:dyDescent="0.25">
      <c r="A85" s="316" t="s">
        <v>2434</v>
      </c>
      <c r="B85" s="313">
        <v>39988</v>
      </c>
      <c r="C85" s="316" t="s">
        <v>2383</v>
      </c>
      <c r="D85" s="314">
        <v>0</v>
      </c>
      <c r="E85" s="314">
        <v>5</v>
      </c>
    </row>
    <row r="86" spans="1:5" x14ac:dyDescent="0.25">
      <c r="A86" s="316" t="s">
        <v>2434</v>
      </c>
      <c r="B86" s="313">
        <v>39988</v>
      </c>
      <c r="C86" s="316" t="s">
        <v>2383</v>
      </c>
      <c r="D86" s="314">
        <v>5</v>
      </c>
      <c r="E86" s="314">
        <v>10</v>
      </c>
    </row>
    <row r="87" spans="1:5" x14ac:dyDescent="0.25">
      <c r="A87" s="316" t="s">
        <v>2435</v>
      </c>
      <c r="B87" s="313">
        <v>39988</v>
      </c>
      <c r="C87" s="316" t="s">
        <v>2385</v>
      </c>
      <c r="D87" s="314">
        <v>0</v>
      </c>
      <c r="E87" s="314">
        <v>5</v>
      </c>
    </row>
    <row r="88" spans="1:5" x14ac:dyDescent="0.25">
      <c r="A88" s="316" t="s">
        <v>2435</v>
      </c>
      <c r="B88" s="313">
        <v>39988</v>
      </c>
      <c r="C88" s="316" t="s">
        <v>2385</v>
      </c>
      <c r="D88" s="314">
        <v>5</v>
      </c>
      <c r="E88" s="314">
        <v>10</v>
      </c>
    </row>
    <row r="89" spans="1:5" x14ac:dyDescent="0.25">
      <c r="A89" s="316" t="s">
        <v>2436</v>
      </c>
      <c r="B89" s="313">
        <v>39988</v>
      </c>
      <c r="C89" s="316" t="s">
        <v>2407</v>
      </c>
      <c r="D89" s="314">
        <v>0</v>
      </c>
      <c r="E89" s="314">
        <v>5</v>
      </c>
    </row>
    <row r="90" spans="1:5" x14ac:dyDescent="0.25">
      <c r="A90" s="316" t="s">
        <v>2436</v>
      </c>
      <c r="B90" s="313">
        <v>39988</v>
      </c>
      <c r="C90" s="316" t="s">
        <v>2407</v>
      </c>
      <c r="D90" s="314">
        <v>5</v>
      </c>
      <c r="E90" s="314">
        <v>10</v>
      </c>
    </row>
    <row r="91" spans="1:5" x14ac:dyDescent="0.25">
      <c r="A91" s="316" t="s">
        <v>2437</v>
      </c>
      <c r="B91" s="313">
        <v>39988</v>
      </c>
      <c r="C91" s="316" t="s">
        <v>2397</v>
      </c>
      <c r="D91" s="314">
        <v>0</v>
      </c>
      <c r="E91" s="314">
        <v>5</v>
      </c>
    </row>
    <row r="92" spans="1:5" x14ac:dyDescent="0.25">
      <c r="A92" s="316" t="s">
        <v>2437</v>
      </c>
      <c r="B92" s="313">
        <v>39988</v>
      </c>
      <c r="C92" s="316" t="s">
        <v>2397</v>
      </c>
      <c r="D92" s="314">
        <v>5</v>
      </c>
      <c r="E92" s="314">
        <v>10</v>
      </c>
    </row>
    <row r="93" spans="1:5" x14ac:dyDescent="0.25">
      <c r="A93" s="316" t="s">
        <v>2438</v>
      </c>
      <c r="B93" s="313">
        <v>39988</v>
      </c>
      <c r="C93" s="316" t="s">
        <v>2401</v>
      </c>
      <c r="D93" s="314">
        <v>0</v>
      </c>
      <c r="E93" s="314">
        <v>5</v>
      </c>
    </row>
    <row r="94" spans="1:5" x14ac:dyDescent="0.25">
      <c r="A94" s="316" t="s">
        <v>2438</v>
      </c>
      <c r="B94" s="313">
        <v>39988</v>
      </c>
      <c r="C94" s="316" t="s">
        <v>2401</v>
      </c>
      <c r="D94" s="314">
        <v>5</v>
      </c>
      <c r="E94" s="314">
        <v>10</v>
      </c>
    </row>
    <row r="95" spans="1:5" x14ac:dyDescent="0.25">
      <c r="A95" s="316" t="s">
        <v>2439</v>
      </c>
      <c r="B95" s="313">
        <v>39988</v>
      </c>
      <c r="C95" s="316" t="s">
        <v>2399</v>
      </c>
      <c r="D95" s="314">
        <v>0</v>
      </c>
      <c r="E95" s="314">
        <v>5</v>
      </c>
    </row>
    <row r="96" spans="1:5" x14ac:dyDescent="0.25">
      <c r="A96" s="316" t="s">
        <v>2439</v>
      </c>
      <c r="B96" s="313">
        <v>39988</v>
      </c>
      <c r="C96" s="316" t="s">
        <v>2399</v>
      </c>
      <c r="D96" s="314">
        <v>5</v>
      </c>
      <c r="E96" s="314">
        <v>10</v>
      </c>
    </row>
    <row r="97" spans="1:5" x14ac:dyDescent="0.25">
      <c r="A97" s="316" t="s">
        <v>2440</v>
      </c>
      <c r="B97" s="313">
        <v>39988</v>
      </c>
      <c r="C97" s="316" t="s">
        <v>2411</v>
      </c>
      <c r="D97" s="314">
        <v>0</v>
      </c>
      <c r="E97" s="314">
        <v>5</v>
      </c>
    </row>
    <row r="98" spans="1:5" x14ac:dyDescent="0.25">
      <c r="A98" s="316" t="s">
        <v>2440</v>
      </c>
      <c r="B98" s="313">
        <v>39988</v>
      </c>
      <c r="C98" s="316" t="s">
        <v>2411</v>
      </c>
      <c r="D98" s="314">
        <v>5</v>
      </c>
      <c r="E98" s="314">
        <v>10</v>
      </c>
    </row>
    <row r="99" spans="1:5" x14ac:dyDescent="0.25">
      <c r="A99" s="316" t="s">
        <v>2441</v>
      </c>
      <c r="B99" s="313">
        <v>39988</v>
      </c>
      <c r="C99" s="316" t="s">
        <v>2409</v>
      </c>
      <c r="D99" s="314">
        <v>0</v>
      </c>
      <c r="E99" s="314">
        <v>5</v>
      </c>
    </row>
    <row r="100" spans="1:5" x14ac:dyDescent="0.25">
      <c r="A100" s="316" t="s">
        <v>2441</v>
      </c>
      <c r="B100" s="313">
        <v>39988</v>
      </c>
      <c r="C100" s="316" t="s">
        <v>2409</v>
      </c>
      <c r="D100" s="314">
        <v>5</v>
      </c>
      <c r="E100" s="314">
        <v>10</v>
      </c>
    </row>
    <row r="101" spans="1:5" x14ac:dyDescent="0.25">
      <c r="A101" s="316" t="s">
        <v>2442</v>
      </c>
      <c r="B101" s="313">
        <v>39988</v>
      </c>
      <c r="C101" s="316" t="s">
        <v>2403</v>
      </c>
      <c r="D101" s="314">
        <v>0</v>
      </c>
      <c r="E101" s="314">
        <v>5</v>
      </c>
    </row>
    <row r="102" spans="1:5" x14ac:dyDescent="0.25">
      <c r="A102" s="316" t="s">
        <v>2442</v>
      </c>
      <c r="B102" s="313">
        <v>39988</v>
      </c>
      <c r="C102" s="316" t="s">
        <v>2403</v>
      </c>
      <c r="D102" s="314">
        <v>5</v>
      </c>
      <c r="E102" s="314">
        <v>10</v>
      </c>
    </row>
    <row r="103" spans="1:5" x14ac:dyDescent="0.25">
      <c r="A103" s="316" t="s">
        <v>2443</v>
      </c>
      <c r="B103" s="313">
        <v>39988</v>
      </c>
      <c r="C103" s="316" t="s">
        <v>2405</v>
      </c>
      <c r="D103" s="314">
        <v>0</v>
      </c>
      <c r="E103" s="314">
        <v>5</v>
      </c>
    </row>
    <row r="104" spans="1:5" x14ac:dyDescent="0.25">
      <c r="A104" s="316" t="s">
        <v>2443</v>
      </c>
      <c r="B104" s="313">
        <v>39988</v>
      </c>
      <c r="C104" s="316" t="s">
        <v>2405</v>
      </c>
      <c r="D104" s="314">
        <v>5</v>
      </c>
      <c r="E104" s="314">
        <v>10</v>
      </c>
    </row>
    <row r="105" spans="1:5" x14ac:dyDescent="0.25">
      <c r="A105" s="316" t="s">
        <v>2444</v>
      </c>
      <c r="B105" s="313">
        <v>39988</v>
      </c>
      <c r="C105" s="316" t="s">
        <v>2387</v>
      </c>
      <c r="D105" s="314">
        <v>0</v>
      </c>
      <c r="E105" s="314">
        <v>5</v>
      </c>
    </row>
    <row r="106" spans="1:5" x14ac:dyDescent="0.25">
      <c r="A106" s="316" t="s">
        <v>2444</v>
      </c>
      <c r="B106" s="313">
        <v>39988</v>
      </c>
      <c r="C106" s="316" t="s">
        <v>2387</v>
      </c>
      <c r="D106" s="314">
        <v>5</v>
      </c>
      <c r="E106" s="314">
        <v>10</v>
      </c>
    </row>
    <row r="107" spans="1:5" x14ac:dyDescent="0.25">
      <c r="A107" s="316" t="s">
        <v>2445</v>
      </c>
      <c r="B107" s="313">
        <v>39988</v>
      </c>
      <c r="C107" s="316" t="s">
        <v>2385</v>
      </c>
      <c r="D107" s="314">
        <v>0</v>
      </c>
      <c r="E107" s="314">
        <v>5</v>
      </c>
    </row>
    <row r="108" spans="1:5" x14ac:dyDescent="0.25">
      <c r="A108" s="316" t="s">
        <v>2445</v>
      </c>
      <c r="B108" s="313">
        <v>39988</v>
      </c>
      <c r="C108" s="316" t="s">
        <v>2385</v>
      </c>
      <c r="D108" s="314">
        <v>5</v>
      </c>
      <c r="E108" s="314">
        <v>10</v>
      </c>
    </row>
    <row r="109" spans="1:5" x14ac:dyDescent="0.25">
      <c r="A109" s="316" t="s">
        <v>2446</v>
      </c>
      <c r="B109" s="313">
        <v>39988</v>
      </c>
      <c r="C109" s="316" t="s">
        <v>2391</v>
      </c>
      <c r="D109" s="314">
        <v>0</v>
      </c>
      <c r="E109" s="314">
        <v>5</v>
      </c>
    </row>
    <row r="110" spans="1:5" x14ac:dyDescent="0.25">
      <c r="A110" s="316" t="s">
        <v>2446</v>
      </c>
      <c r="B110" s="313">
        <v>39988</v>
      </c>
      <c r="C110" s="316" t="s">
        <v>2391</v>
      </c>
      <c r="D110" s="314">
        <v>5</v>
      </c>
      <c r="E110" s="314">
        <v>10</v>
      </c>
    </row>
    <row r="111" spans="1:5" x14ac:dyDescent="0.25">
      <c r="A111" s="316" t="s">
        <v>2447</v>
      </c>
      <c r="B111" s="313">
        <v>39988</v>
      </c>
      <c r="C111" s="316" t="s">
        <v>2389</v>
      </c>
      <c r="D111" s="314">
        <v>0</v>
      </c>
      <c r="E111" s="314">
        <v>5</v>
      </c>
    </row>
    <row r="112" spans="1:5" x14ac:dyDescent="0.25">
      <c r="A112" s="316" t="s">
        <v>2447</v>
      </c>
      <c r="B112" s="313">
        <v>39988</v>
      </c>
      <c r="C112" s="316" t="s">
        <v>2389</v>
      </c>
      <c r="D112" s="314">
        <v>5</v>
      </c>
      <c r="E112" s="314">
        <v>10</v>
      </c>
    </row>
    <row r="113" spans="1:5" x14ac:dyDescent="0.25">
      <c r="A113" s="316" t="s">
        <v>2448</v>
      </c>
      <c r="B113" s="313">
        <v>39988</v>
      </c>
      <c r="C113" s="316" t="s">
        <v>2381</v>
      </c>
      <c r="D113" s="314">
        <v>0</v>
      </c>
      <c r="E113" s="314">
        <v>5</v>
      </c>
    </row>
    <row r="114" spans="1:5" x14ac:dyDescent="0.25">
      <c r="A114" s="316" t="s">
        <v>2448</v>
      </c>
      <c r="B114" s="313">
        <v>39988</v>
      </c>
      <c r="C114" s="316" t="s">
        <v>2381</v>
      </c>
      <c r="D114" s="314">
        <v>5</v>
      </c>
      <c r="E114" s="314">
        <v>10</v>
      </c>
    </row>
    <row r="115" spans="1:5" x14ac:dyDescent="0.25">
      <c r="A115" s="316" t="s">
        <v>2449</v>
      </c>
      <c r="B115" s="313">
        <v>39988</v>
      </c>
      <c r="C115" s="316" t="s">
        <v>2393</v>
      </c>
      <c r="D115" s="314">
        <v>0</v>
      </c>
      <c r="E115" s="314">
        <v>5</v>
      </c>
    </row>
    <row r="116" spans="1:5" x14ac:dyDescent="0.25">
      <c r="A116" s="316" t="s">
        <v>2449</v>
      </c>
      <c r="B116" s="313">
        <v>39988</v>
      </c>
      <c r="C116" s="316" t="s">
        <v>2393</v>
      </c>
      <c r="D116" s="314">
        <v>5</v>
      </c>
      <c r="E116" s="314">
        <v>10</v>
      </c>
    </row>
    <row r="117" spans="1:5" x14ac:dyDescent="0.25">
      <c r="A117" s="316" t="s">
        <v>2450</v>
      </c>
      <c r="B117" s="313">
        <v>39988</v>
      </c>
      <c r="C117" s="316" t="s">
        <v>2383</v>
      </c>
      <c r="D117" s="314">
        <v>0</v>
      </c>
      <c r="E117" s="314">
        <v>5</v>
      </c>
    </row>
    <row r="118" spans="1:5" x14ac:dyDescent="0.25">
      <c r="A118" s="316" t="s">
        <v>2450</v>
      </c>
      <c r="B118" s="313">
        <v>39988</v>
      </c>
      <c r="C118" s="316" t="s">
        <v>2383</v>
      </c>
      <c r="D118" s="314">
        <v>5</v>
      </c>
      <c r="E118" s="314">
        <v>10</v>
      </c>
    </row>
    <row r="119" spans="1:5" x14ac:dyDescent="0.25">
      <c r="A119" s="316" t="s">
        <v>2451</v>
      </c>
      <c r="B119" s="313">
        <v>39988</v>
      </c>
      <c r="C119" s="316" t="s">
        <v>2395</v>
      </c>
      <c r="D119" s="314">
        <v>0</v>
      </c>
      <c r="E119" s="314">
        <v>5</v>
      </c>
    </row>
    <row r="120" spans="1:5" x14ac:dyDescent="0.25">
      <c r="A120" s="316" t="s">
        <v>2451</v>
      </c>
      <c r="B120" s="313">
        <v>39988</v>
      </c>
      <c r="C120" s="316" t="s">
        <v>2395</v>
      </c>
      <c r="D120" s="314">
        <v>5</v>
      </c>
      <c r="E120" s="314">
        <v>10</v>
      </c>
    </row>
    <row r="121" spans="1:5" x14ac:dyDescent="0.25">
      <c r="A121" s="316" t="s">
        <v>2452</v>
      </c>
      <c r="B121" s="313">
        <v>39988</v>
      </c>
      <c r="C121" s="316" t="s">
        <v>2397</v>
      </c>
      <c r="D121" s="314">
        <v>0</v>
      </c>
      <c r="E121" s="314">
        <v>5</v>
      </c>
    </row>
    <row r="122" spans="1:5" x14ac:dyDescent="0.25">
      <c r="A122" s="316" t="s">
        <v>2452</v>
      </c>
      <c r="B122" s="313">
        <v>39988</v>
      </c>
      <c r="C122" s="316" t="s">
        <v>2397</v>
      </c>
      <c r="D122" s="314">
        <v>5</v>
      </c>
      <c r="E122" s="314">
        <v>10</v>
      </c>
    </row>
    <row r="123" spans="1:5" x14ac:dyDescent="0.25">
      <c r="A123" s="316" t="s">
        <v>2453</v>
      </c>
      <c r="B123" s="313">
        <v>39988</v>
      </c>
      <c r="C123" s="316" t="s">
        <v>2409</v>
      </c>
      <c r="D123" s="314">
        <v>0</v>
      </c>
      <c r="E123" s="314">
        <v>5</v>
      </c>
    </row>
    <row r="124" spans="1:5" x14ac:dyDescent="0.25">
      <c r="A124" s="316" t="s">
        <v>2453</v>
      </c>
      <c r="B124" s="313">
        <v>39988</v>
      </c>
      <c r="C124" s="316" t="s">
        <v>2409</v>
      </c>
      <c r="D124" s="314">
        <v>5</v>
      </c>
      <c r="E124" s="314">
        <v>10</v>
      </c>
    </row>
    <row r="125" spans="1:5" x14ac:dyDescent="0.25">
      <c r="A125" s="316" t="s">
        <v>2454</v>
      </c>
      <c r="B125" s="313">
        <v>39988</v>
      </c>
      <c r="C125" s="316" t="s">
        <v>2399</v>
      </c>
      <c r="D125" s="314">
        <v>0</v>
      </c>
      <c r="E125" s="314">
        <v>5</v>
      </c>
    </row>
    <row r="126" spans="1:5" x14ac:dyDescent="0.25">
      <c r="A126" s="316" t="s">
        <v>2454</v>
      </c>
      <c r="B126" s="313">
        <v>39988</v>
      </c>
      <c r="C126" s="316" t="s">
        <v>2399</v>
      </c>
      <c r="D126" s="314">
        <v>5</v>
      </c>
      <c r="E126" s="314">
        <v>10</v>
      </c>
    </row>
    <row r="127" spans="1:5" x14ac:dyDescent="0.25">
      <c r="A127" s="316" t="s">
        <v>2455</v>
      </c>
      <c r="B127" s="313">
        <v>39988</v>
      </c>
      <c r="C127" s="316" t="s">
        <v>2401</v>
      </c>
      <c r="D127" s="314">
        <v>0</v>
      </c>
      <c r="E127" s="314">
        <v>5</v>
      </c>
    </row>
    <row r="128" spans="1:5" x14ac:dyDescent="0.25">
      <c r="A128" s="316" t="s">
        <v>2455</v>
      </c>
      <c r="B128" s="313">
        <v>39988</v>
      </c>
      <c r="C128" s="316" t="s">
        <v>2401</v>
      </c>
      <c r="D128" s="314">
        <v>5</v>
      </c>
      <c r="E128" s="314">
        <v>10</v>
      </c>
    </row>
    <row r="129" spans="1:5" x14ac:dyDescent="0.25">
      <c r="A129" s="316" t="s">
        <v>2456</v>
      </c>
      <c r="B129" s="313">
        <v>39988</v>
      </c>
      <c r="C129" s="316" t="s">
        <v>2407</v>
      </c>
      <c r="D129" s="314">
        <v>0</v>
      </c>
      <c r="E129" s="314">
        <v>5</v>
      </c>
    </row>
    <row r="130" spans="1:5" x14ac:dyDescent="0.25">
      <c r="A130" s="316" t="s">
        <v>2456</v>
      </c>
      <c r="B130" s="313">
        <v>39988</v>
      </c>
      <c r="C130" s="316" t="s">
        <v>2407</v>
      </c>
      <c r="D130" s="314">
        <v>5</v>
      </c>
      <c r="E130" s="314">
        <v>10</v>
      </c>
    </row>
    <row r="131" spans="1:5" x14ac:dyDescent="0.25">
      <c r="A131" s="316" t="s">
        <v>2457</v>
      </c>
      <c r="B131" s="313">
        <v>39988</v>
      </c>
      <c r="C131" s="316" t="s">
        <v>2403</v>
      </c>
      <c r="D131" s="314">
        <v>0</v>
      </c>
      <c r="E131" s="314">
        <v>5</v>
      </c>
    </row>
    <row r="132" spans="1:5" x14ac:dyDescent="0.25">
      <c r="A132" s="316" t="s">
        <v>2457</v>
      </c>
      <c r="B132" s="313">
        <v>39988</v>
      </c>
      <c r="C132" s="316" t="s">
        <v>2403</v>
      </c>
      <c r="D132" s="314">
        <v>5</v>
      </c>
      <c r="E132" s="314">
        <v>10</v>
      </c>
    </row>
    <row r="133" spans="1:5" x14ac:dyDescent="0.25">
      <c r="A133" s="316" t="s">
        <v>2458</v>
      </c>
      <c r="B133" s="313">
        <v>39988</v>
      </c>
      <c r="C133" s="316" t="s">
        <v>2411</v>
      </c>
      <c r="D133" s="314">
        <v>0</v>
      </c>
      <c r="E133" s="314">
        <v>5</v>
      </c>
    </row>
    <row r="134" spans="1:5" x14ac:dyDescent="0.25">
      <c r="A134" s="316" t="s">
        <v>2458</v>
      </c>
      <c r="B134" s="313">
        <v>39988</v>
      </c>
      <c r="C134" s="316" t="s">
        <v>2411</v>
      </c>
      <c r="D134" s="314">
        <v>5</v>
      </c>
      <c r="E134" s="314">
        <v>10</v>
      </c>
    </row>
    <row r="135" spans="1:5" x14ac:dyDescent="0.25">
      <c r="A135" s="316" t="s">
        <v>2459</v>
      </c>
      <c r="B135" s="313">
        <v>39988</v>
      </c>
      <c r="C135" s="316" t="s">
        <v>2405</v>
      </c>
      <c r="D135" s="314">
        <v>0</v>
      </c>
      <c r="E135" s="314">
        <v>5</v>
      </c>
    </row>
    <row r="136" spans="1:5" x14ac:dyDescent="0.25">
      <c r="A136" s="316" t="s">
        <v>2459</v>
      </c>
      <c r="B136" s="313">
        <v>39988</v>
      </c>
      <c r="C136" s="316" t="s">
        <v>2405</v>
      </c>
      <c r="D136" s="314">
        <v>5</v>
      </c>
      <c r="E136" s="314">
        <v>10</v>
      </c>
    </row>
    <row r="137" spans="1:5" x14ac:dyDescent="0.25">
      <c r="A137" s="316" t="s">
        <v>2460</v>
      </c>
      <c r="B137" s="313">
        <v>39988</v>
      </c>
      <c r="C137" s="316" t="s">
        <v>2461</v>
      </c>
      <c r="D137" s="314">
        <v>0</v>
      </c>
      <c r="E137" s="314">
        <v>5</v>
      </c>
    </row>
    <row r="138" spans="1:5" x14ac:dyDescent="0.25">
      <c r="A138" s="316" t="s">
        <v>2460</v>
      </c>
      <c r="B138" s="313">
        <v>39988</v>
      </c>
      <c r="C138" s="316" t="s">
        <v>2461</v>
      </c>
      <c r="D138" s="314">
        <v>5</v>
      </c>
      <c r="E138" s="314">
        <v>10</v>
      </c>
    </row>
    <row r="139" spans="1:5" x14ac:dyDescent="0.25">
      <c r="A139" s="316" t="s">
        <v>2462</v>
      </c>
      <c r="B139" s="313">
        <v>39988</v>
      </c>
      <c r="C139" s="316" t="s">
        <v>2463</v>
      </c>
      <c r="D139" s="314">
        <v>0</v>
      </c>
      <c r="E139" s="314">
        <v>5</v>
      </c>
    </row>
    <row r="140" spans="1:5" x14ac:dyDescent="0.25">
      <c r="A140" s="316" t="s">
        <v>2462</v>
      </c>
      <c r="B140" s="313">
        <v>39988</v>
      </c>
      <c r="C140" s="316" t="s">
        <v>2463</v>
      </c>
      <c r="D140" s="314">
        <v>5</v>
      </c>
      <c r="E140" s="314">
        <v>10</v>
      </c>
    </row>
    <row r="141" spans="1:5" x14ac:dyDescent="0.25">
      <c r="A141" s="316" t="s">
        <v>2464</v>
      </c>
      <c r="B141" s="313">
        <v>39988</v>
      </c>
      <c r="C141" s="316" t="s">
        <v>2465</v>
      </c>
      <c r="D141" s="314">
        <v>0</v>
      </c>
      <c r="E141" s="314">
        <v>5</v>
      </c>
    </row>
    <row r="142" spans="1:5" x14ac:dyDescent="0.25">
      <c r="A142" s="316" t="s">
        <v>2464</v>
      </c>
      <c r="B142" s="313">
        <v>39988</v>
      </c>
      <c r="C142" s="316" t="s">
        <v>2465</v>
      </c>
      <c r="D142" s="314">
        <v>5</v>
      </c>
      <c r="E142" s="314">
        <v>10</v>
      </c>
    </row>
    <row r="143" spans="1:5" x14ac:dyDescent="0.25">
      <c r="A143" s="316" t="s">
        <v>2466</v>
      </c>
      <c r="B143" s="313">
        <v>39988</v>
      </c>
      <c r="C143" s="316" t="s">
        <v>2467</v>
      </c>
      <c r="D143" s="314">
        <v>0</v>
      </c>
      <c r="E143" s="314">
        <v>5</v>
      </c>
    </row>
    <row r="144" spans="1:5" x14ac:dyDescent="0.25">
      <c r="A144" s="316" t="s">
        <v>2466</v>
      </c>
      <c r="B144" s="313">
        <v>39988</v>
      </c>
      <c r="C144" s="316" t="s">
        <v>2467</v>
      </c>
      <c r="D144" s="314">
        <v>5</v>
      </c>
      <c r="E144" s="314">
        <v>10</v>
      </c>
    </row>
    <row r="145" spans="1:5" x14ac:dyDescent="0.25">
      <c r="A145" s="316" t="s">
        <v>2468</v>
      </c>
      <c r="B145" s="313">
        <v>39988</v>
      </c>
      <c r="C145" s="316" t="s">
        <v>2469</v>
      </c>
      <c r="D145" s="314">
        <v>0</v>
      </c>
      <c r="E145" s="314">
        <v>5</v>
      </c>
    </row>
    <row r="146" spans="1:5" x14ac:dyDescent="0.25">
      <c r="A146" s="316" t="s">
        <v>2468</v>
      </c>
      <c r="B146" s="313">
        <v>39988</v>
      </c>
      <c r="C146" s="316" t="s">
        <v>2469</v>
      </c>
      <c r="D146" s="314">
        <v>5</v>
      </c>
      <c r="E146" s="314">
        <v>10</v>
      </c>
    </row>
    <row r="147" spans="1:5" x14ac:dyDescent="0.25">
      <c r="A147" s="316" t="s">
        <v>2470</v>
      </c>
      <c r="B147" s="313">
        <v>39988</v>
      </c>
      <c r="C147" s="316" t="s">
        <v>2471</v>
      </c>
      <c r="D147" s="314">
        <v>0</v>
      </c>
      <c r="E147" s="314">
        <v>5</v>
      </c>
    </row>
    <row r="148" spans="1:5" x14ac:dyDescent="0.25">
      <c r="A148" s="316" t="s">
        <v>2470</v>
      </c>
      <c r="B148" s="313">
        <v>39988</v>
      </c>
      <c r="C148" s="316" t="s">
        <v>2471</v>
      </c>
      <c r="D148" s="314">
        <v>5</v>
      </c>
      <c r="E148" s="314">
        <v>10</v>
      </c>
    </row>
    <row r="149" spans="1:5" x14ac:dyDescent="0.25">
      <c r="A149" s="316" t="s">
        <v>2472</v>
      </c>
      <c r="B149" s="313">
        <v>39988</v>
      </c>
      <c r="C149" s="316" t="s">
        <v>2473</v>
      </c>
      <c r="D149" s="314">
        <v>0</v>
      </c>
      <c r="E149" s="314">
        <v>5</v>
      </c>
    </row>
    <row r="150" spans="1:5" x14ac:dyDescent="0.25">
      <c r="A150" s="316" t="s">
        <v>2472</v>
      </c>
      <c r="B150" s="313">
        <v>39988</v>
      </c>
      <c r="C150" s="316" t="s">
        <v>2473</v>
      </c>
      <c r="D150" s="314">
        <v>5</v>
      </c>
      <c r="E150" s="314">
        <v>10</v>
      </c>
    </row>
    <row r="151" spans="1:5" x14ac:dyDescent="0.25">
      <c r="A151" s="316" t="s">
        <v>2474</v>
      </c>
      <c r="B151" s="313">
        <v>39988</v>
      </c>
      <c r="C151" s="316" t="s">
        <v>2475</v>
      </c>
      <c r="D151" s="314">
        <v>0</v>
      </c>
      <c r="E151" s="314">
        <v>5</v>
      </c>
    </row>
    <row r="152" spans="1:5" x14ac:dyDescent="0.25">
      <c r="A152" s="316" t="s">
        <v>2474</v>
      </c>
      <c r="B152" s="313">
        <v>39988</v>
      </c>
      <c r="C152" s="316" t="s">
        <v>2475</v>
      </c>
      <c r="D152" s="314">
        <v>5</v>
      </c>
      <c r="E152" s="314">
        <v>10</v>
      </c>
    </row>
    <row r="153" spans="1:5" x14ac:dyDescent="0.25">
      <c r="A153" s="316" t="s">
        <v>2476</v>
      </c>
      <c r="B153" s="313">
        <v>39988</v>
      </c>
      <c r="C153" s="316" t="s">
        <v>2471</v>
      </c>
      <c r="D153" s="314">
        <v>0</v>
      </c>
      <c r="E153" s="314">
        <v>5</v>
      </c>
    </row>
    <row r="154" spans="1:5" x14ac:dyDescent="0.25">
      <c r="A154" s="316" t="s">
        <v>2476</v>
      </c>
      <c r="B154" s="313">
        <v>39988</v>
      </c>
      <c r="C154" s="316" t="s">
        <v>2471</v>
      </c>
      <c r="D154" s="314">
        <v>5</v>
      </c>
      <c r="E154" s="314">
        <v>10</v>
      </c>
    </row>
    <row r="155" spans="1:5" x14ac:dyDescent="0.25">
      <c r="A155" s="316" t="s">
        <v>2477</v>
      </c>
      <c r="B155" s="313">
        <v>39988</v>
      </c>
      <c r="C155" s="316" t="s">
        <v>2463</v>
      </c>
      <c r="D155" s="314">
        <v>0</v>
      </c>
      <c r="E155" s="314">
        <v>5</v>
      </c>
    </row>
    <row r="156" spans="1:5" x14ac:dyDescent="0.25">
      <c r="A156" s="316" t="s">
        <v>2477</v>
      </c>
      <c r="B156" s="313">
        <v>39988</v>
      </c>
      <c r="C156" s="316" t="s">
        <v>2463</v>
      </c>
      <c r="D156" s="314">
        <v>5</v>
      </c>
      <c r="E156" s="314">
        <v>10</v>
      </c>
    </row>
    <row r="157" spans="1:5" x14ac:dyDescent="0.25">
      <c r="A157" s="316" t="s">
        <v>2478</v>
      </c>
      <c r="B157" s="313">
        <v>39988</v>
      </c>
      <c r="C157" s="316" t="s">
        <v>2465</v>
      </c>
      <c r="D157" s="314">
        <v>0</v>
      </c>
      <c r="E157" s="314">
        <v>5</v>
      </c>
    </row>
    <row r="158" spans="1:5" x14ac:dyDescent="0.25">
      <c r="A158" s="316" t="s">
        <v>2478</v>
      </c>
      <c r="B158" s="313">
        <v>39988</v>
      </c>
      <c r="C158" s="316" t="s">
        <v>2465</v>
      </c>
      <c r="D158" s="314">
        <v>5</v>
      </c>
      <c r="E158" s="314">
        <v>10</v>
      </c>
    </row>
    <row r="159" spans="1:5" x14ac:dyDescent="0.25">
      <c r="A159" s="316" t="s">
        <v>2479</v>
      </c>
      <c r="B159" s="313">
        <v>39988</v>
      </c>
      <c r="C159" s="316" t="s">
        <v>2469</v>
      </c>
      <c r="D159" s="314">
        <v>0</v>
      </c>
      <c r="E159" s="314">
        <v>5</v>
      </c>
    </row>
    <row r="160" spans="1:5" x14ac:dyDescent="0.25">
      <c r="A160" s="316" t="s">
        <v>2479</v>
      </c>
      <c r="B160" s="313">
        <v>39988</v>
      </c>
      <c r="C160" s="316" t="s">
        <v>2469</v>
      </c>
      <c r="D160" s="314">
        <v>5</v>
      </c>
      <c r="E160" s="314">
        <v>10</v>
      </c>
    </row>
    <row r="161" spans="1:5" x14ac:dyDescent="0.25">
      <c r="A161" s="316" t="s">
        <v>2480</v>
      </c>
      <c r="B161" s="313">
        <v>39988</v>
      </c>
      <c r="C161" s="316" t="s">
        <v>2467</v>
      </c>
      <c r="D161" s="314">
        <v>0</v>
      </c>
      <c r="E161" s="314">
        <v>5</v>
      </c>
    </row>
    <row r="162" spans="1:5" x14ac:dyDescent="0.25">
      <c r="A162" s="316" t="s">
        <v>2480</v>
      </c>
      <c r="B162" s="313">
        <v>39988</v>
      </c>
      <c r="C162" s="316" t="s">
        <v>2467</v>
      </c>
      <c r="D162" s="314">
        <v>5</v>
      </c>
      <c r="E162" s="314">
        <v>10</v>
      </c>
    </row>
    <row r="163" spans="1:5" x14ac:dyDescent="0.25">
      <c r="A163" s="316" t="s">
        <v>2481</v>
      </c>
      <c r="B163" s="313">
        <v>39988</v>
      </c>
      <c r="C163" s="316" t="s">
        <v>2473</v>
      </c>
      <c r="D163" s="314">
        <v>0</v>
      </c>
      <c r="E163" s="314">
        <v>5</v>
      </c>
    </row>
    <row r="164" spans="1:5" x14ac:dyDescent="0.25">
      <c r="A164" s="316" t="s">
        <v>2481</v>
      </c>
      <c r="B164" s="313">
        <v>39988</v>
      </c>
      <c r="C164" s="316" t="s">
        <v>2473</v>
      </c>
      <c r="D164" s="314">
        <v>5</v>
      </c>
      <c r="E164" s="314">
        <v>10</v>
      </c>
    </row>
    <row r="165" spans="1:5" x14ac:dyDescent="0.25">
      <c r="A165" s="316" t="s">
        <v>2482</v>
      </c>
      <c r="B165" s="313">
        <v>39988</v>
      </c>
      <c r="C165" s="316" t="s">
        <v>2461</v>
      </c>
      <c r="D165" s="314">
        <v>0</v>
      </c>
      <c r="E165" s="314">
        <v>5</v>
      </c>
    </row>
    <row r="166" spans="1:5" x14ac:dyDescent="0.25">
      <c r="A166" s="316" t="s">
        <v>2482</v>
      </c>
      <c r="B166" s="313">
        <v>39988</v>
      </c>
      <c r="C166" s="316" t="s">
        <v>2461</v>
      </c>
      <c r="D166" s="314">
        <v>5</v>
      </c>
      <c r="E166" s="314">
        <v>10</v>
      </c>
    </row>
    <row r="167" spans="1:5" x14ac:dyDescent="0.25">
      <c r="A167" s="316" t="s">
        <v>2483</v>
      </c>
      <c r="B167" s="313">
        <v>39988</v>
      </c>
      <c r="C167" s="316" t="s">
        <v>2475</v>
      </c>
      <c r="D167" s="314">
        <v>0</v>
      </c>
      <c r="E167" s="314">
        <v>5</v>
      </c>
    </row>
    <row r="168" spans="1:5" x14ac:dyDescent="0.25">
      <c r="A168" s="316" t="s">
        <v>2483</v>
      </c>
      <c r="B168" s="313">
        <v>39988</v>
      </c>
      <c r="C168" s="316" t="s">
        <v>2475</v>
      </c>
      <c r="D168" s="314">
        <v>5</v>
      </c>
      <c r="E168" s="314">
        <v>10</v>
      </c>
    </row>
    <row r="169" spans="1:5" x14ac:dyDescent="0.25">
      <c r="A169" s="316" t="s">
        <v>2484</v>
      </c>
      <c r="B169" s="313">
        <v>39988</v>
      </c>
      <c r="C169" s="316" t="s">
        <v>2465</v>
      </c>
      <c r="D169" s="314">
        <v>0</v>
      </c>
      <c r="E169" s="314">
        <v>5</v>
      </c>
    </row>
    <row r="170" spans="1:5" x14ac:dyDescent="0.25">
      <c r="A170" s="316" t="s">
        <v>2484</v>
      </c>
      <c r="B170" s="313">
        <v>39988</v>
      </c>
      <c r="C170" s="316" t="s">
        <v>2465</v>
      </c>
      <c r="D170" s="314">
        <v>5</v>
      </c>
      <c r="E170" s="314">
        <v>10</v>
      </c>
    </row>
    <row r="171" spans="1:5" x14ac:dyDescent="0.25">
      <c r="A171" s="316" t="s">
        <v>2485</v>
      </c>
      <c r="B171" s="313">
        <v>39988</v>
      </c>
      <c r="C171" s="316" t="s">
        <v>2463</v>
      </c>
      <c r="D171" s="314">
        <v>0</v>
      </c>
      <c r="E171" s="314">
        <v>5</v>
      </c>
    </row>
    <row r="172" spans="1:5" x14ac:dyDescent="0.25">
      <c r="A172" s="316" t="s">
        <v>2485</v>
      </c>
      <c r="B172" s="313">
        <v>39988</v>
      </c>
      <c r="C172" s="316" t="s">
        <v>2463</v>
      </c>
      <c r="D172" s="314">
        <v>5</v>
      </c>
      <c r="E172" s="314">
        <v>10</v>
      </c>
    </row>
    <row r="173" spans="1:5" x14ac:dyDescent="0.25">
      <c r="A173" s="316" t="s">
        <v>2486</v>
      </c>
      <c r="B173" s="313">
        <v>39988</v>
      </c>
      <c r="C173" s="316" t="s">
        <v>2469</v>
      </c>
      <c r="D173" s="314">
        <v>0</v>
      </c>
      <c r="E173" s="314">
        <v>5</v>
      </c>
    </row>
    <row r="174" spans="1:5" x14ac:dyDescent="0.25">
      <c r="A174" s="316" t="s">
        <v>2486</v>
      </c>
      <c r="B174" s="313">
        <v>39988</v>
      </c>
      <c r="C174" s="316" t="s">
        <v>2469</v>
      </c>
      <c r="D174" s="314">
        <v>5</v>
      </c>
      <c r="E174" s="314">
        <v>10</v>
      </c>
    </row>
    <row r="175" spans="1:5" x14ac:dyDescent="0.25">
      <c r="A175" s="316" t="s">
        <v>2487</v>
      </c>
      <c r="B175" s="313">
        <v>39988</v>
      </c>
      <c r="C175" s="316" t="s">
        <v>2475</v>
      </c>
      <c r="D175" s="314">
        <v>0</v>
      </c>
      <c r="E175" s="314">
        <v>5</v>
      </c>
    </row>
    <row r="176" spans="1:5" x14ac:dyDescent="0.25">
      <c r="A176" s="316" t="s">
        <v>2487</v>
      </c>
      <c r="B176" s="313">
        <v>39988</v>
      </c>
      <c r="C176" s="316" t="s">
        <v>2475</v>
      </c>
      <c r="D176" s="314">
        <v>5</v>
      </c>
      <c r="E176" s="314">
        <v>10</v>
      </c>
    </row>
    <row r="177" spans="1:5" x14ac:dyDescent="0.25">
      <c r="A177" s="316" t="s">
        <v>2488</v>
      </c>
      <c r="B177" s="313">
        <v>39988</v>
      </c>
      <c r="C177" s="316" t="s">
        <v>2461</v>
      </c>
      <c r="D177" s="314">
        <v>0</v>
      </c>
      <c r="E177" s="314">
        <v>5</v>
      </c>
    </row>
    <row r="178" spans="1:5" x14ac:dyDescent="0.25">
      <c r="A178" s="316" t="s">
        <v>2488</v>
      </c>
      <c r="B178" s="313">
        <v>39988</v>
      </c>
      <c r="C178" s="316" t="s">
        <v>2461</v>
      </c>
      <c r="D178" s="314">
        <v>5</v>
      </c>
      <c r="E178" s="314">
        <v>10</v>
      </c>
    </row>
    <row r="179" spans="1:5" x14ac:dyDescent="0.25">
      <c r="A179" s="316" t="s">
        <v>2489</v>
      </c>
      <c r="B179" s="313">
        <v>39988</v>
      </c>
      <c r="C179" s="316" t="s">
        <v>2473</v>
      </c>
      <c r="D179" s="314">
        <v>0</v>
      </c>
      <c r="E179" s="314">
        <v>5</v>
      </c>
    </row>
    <row r="180" spans="1:5" x14ac:dyDescent="0.25">
      <c r="A180" s="316" t="s">
        <v>2489</v>
      </c>
      <c r="B180" s="313">
        <v>39988</v>
      </c>
      <c r="C180" s="316" t="s">
        <v>2473</v>
      </c>
      <c r="D180" s="314">
        <v>5</v>
      </c>
      <c r="E180" s="314">
        <v>10</v>
      </c>
    </row>
    <row r="181" spans="1:5" x14ac:dyDescent="0.25">
      <c r="A181" s="316" t="s">
        <v>2490</v>
      </c>
      <c r="B181" s="313">
        <v>39988</v>
      </c>
      <c r="C181" s="316" t="s">
        <v>2467</v>
      </c>
      <c r="D181" s="314">
        <v>0</v>
      </c>
      <c r="E181" s="314">
        <v>5</v>
      </c>
    </row>
    <row r="182" spans="1:5" x14ac:dyDescent="0.25">
      <c r="A182" s="316" t="s">
        <v>2490</v>
      </c>
      <c r="B182" s="313">
        <v>39988</v>
      </c>
      <c r="C182" s="316" t="s">
        <v>2467</v>
      </c>
      <c r="D182" s="314">
        <v>5</v>
      </c>
      <c r="E182" s="314">
        <v>10</v>
      </c>
    </row>
    <row r="183" spans="1:5" x14ac:dyDescent="0.25">
      <c r="A183" s="316" t="s">
        <v>2491</v>
      </c>
      <c r="B183" s="313">
        <v>39988</v>
      </c>
      <c r="C183" s="316" t="s">
        <v>2471</v>
      </c>
      <c r="D183" s="314">
        <v>0</v>
      </c>
      <c r="E183" s="314">
        <v>5</v>
      </c>
    </row>
    <row r="184" spans="1:5" x14ac:dyDescent="0.25">
      <c r="A184" s="316" t="s">
        <v>2491</v>
      </c>
      <c r="B184" s="313">
        <v>39988</v>
      </c>
      <c r="C184" s="316" t="s">
        <v>2471</v>
      </c>
      <c r="D184" s="314">
        <v>5</v>
      </c>
      <c r="E184" s="314">
        <v>10</v>
      </c>
    </row>
    <row r="185" spans="1:5" x14ac:dyDescent="0.25">
      <c r="A185" s="316" t="s">
        <v>2492</v>
      </c>
      <c r="B185" s="313">
        <v>39988</v>
      </c>
      <c r="C185" s="316" t="s">
        <v>2471</v>
      </c>
      <c r="D185" s="314">
        <v>0</v>
      </c>
      <c r="E185" s="314">
        <v>5</v>
      </c>
    </row>
    <row r="186" spans="1:5" x14ac:dyDescent="0.25">
      <c r="A186" s="316" t="s">
        <v>2492</v>
      </c>
      <c r="B186" s="313">
        <v>39988</v>
      </c>
      <c r="C186" s="316" t="s">
        <v>2471</v>
      </c>
      <c r="D186" s="314">
        <v>5</v>
      </c>
      <c r="E186" s="314">
        <v>10</v>
      </c>
    </row>
    <row r="187" spans="1:5" x14ac:dyDescent="0.25">
      <c r="A187" s="316" t="s">
        <v>2493</v>
      </c>
      <c r="B187" s="313">
        <v>39988</v>
      </c>
      <c r="C187" s="316" t="s">
        <v>2469</v>
      </c>
      <c r="D187" s="314">
        <v>0</v>
      </c>
      <c r="E187" s="314">
        <v>5</v>
      </c>
    </row>
    <row r="188" spans="1:5" x14ac:dyDescent="0.25">
      <c r="A188" s="316" t="s">
        <v>2493</v>
      </c>
      <c r="B188" s="313">
        <v>39988</v>
      </c>
      <c r="C188" s="316" t="s">
        <v>2469</v>
      </c>
      <c r="D188" s="314">
        <v>5</v>
      </c>
      <c r="E188" s="314">
        <v>10</v>
      </c>
    </row>
    <row r="189" spans="1:5" x14ac:dyDescent="0.25">
      <c r="A189" s="316" t="s">
        <v>2494</v>
      </c>
      <c r="B189" s="313">
        <v>39988</v>
      </c>
      <c r="C189" s="316" t="s">
        <v>2465</v>
      </c>
      <c r="D189" s="314">
        <v>0</v>
      </c>
      <c r="E189" s="314">
        <v>5</v>
      </c>
    </row>
    <row r="190" spans="1:5" x14ac:dyDescent="0.25">
      <c r="A190" s="316" t="s">
        <v>2494</v>
      </c>
      <c r="B190" s="313">
        <v>39988</v>
      </c>
      <c r="C190" s="316" t="s">
        <v>2465</v>
      </c>
      <c r="D190" s="314">
        <v>5</v>
      </c>
      <c r="E190" s="314">
        <v>10</v>
      </c>
    </row>
    <row r="191" spans="1:5" x14ac:dyDescent="0.25">
      <c r="A191" s="316" t="s">
        <v>2495</v>
      </c>
      <c r="B191" s="313">
        <v>39988</v>
      </c>
      <c r="C191" s="316" t="s">
        <v>2475</v>
      </c>
      <c r="D191" s="314">
        <v>0</v>
      </c>
      <c r="E191" s="314">
        <v>5</v>
      </c>
    </row>
    <row r="192" spans="1:5" x14ac:dyDescent="0.25">
      <c r="A192" s="316" t="s">
        <v>2495</v>
      </c>
      <c r="B192" s="313">
        <v>39988</v>
      </c>
      <c r="C192" s="316" t="s">
        <v>2475</v>
      </c>
      <c r="D192" s="314">
        <v>5</v>
      </c>
      <c r="E192" s="314">
        <v>10</v>
      </c>
    </row>
    <row r="193" spans="1:5" x14ac:dyDescent="0.25">
      <c r="A193" s="316" t="s">
        <v>2496</v>
      </c>
      <c r="B193" s="313">
        <v>39988</v>
      </c>
      <c r="C193" s="316" t="s">
        <v>2463</v>
      </c>
      <c r="D193" s="314">
        <v>0</v>
      </c>
      <c r="E193" s="314">
        <v>5</v>
      </c>
    </row>
    <row r="194" spans="1:5" x14ac:dyDescent="0.25">
      <c r="A194" s="316" t="s">
        <v>2496</v>
      </c>
      <c r="B194" s="313">
        <v>39988</v>
      </c>
      <c r="C194" s="316" t="s">
        <v>2463</v>
      </c>
      <c r="D194" s="314">
        <v>5</v>
      </c>
      <c r="E194" s="314">
        <v>10</v>
      </c>
    </row>
    <row r="195" spans="1:5" x14ac:dyDescent="0.25">
      <c r="A195" s="316" t="s">
        <v>2497</v>
      </c>
      <c r="B195" s="313">
        <v>39988</v>
      </c>
      <c r="C195" s="316" t="s">
        <v>2473</v>
      </c>
      <c r="D195" s="314">
        <v>0</v>
      </c>
      <c r="E195" s="314">
        <v>5</v>
      </c>
    </row>
    <row r="196" spans="1:5" x14ac:dyDescent="0.25">
      <c r="A196" s="316" t="s">
        <v>2497</v>
      </c>
      <c r="B196" s="313">
        <v>39988</v>
      </c>
      <c r="C196" s="316" t="s">
        <v>2473</v>
      </c>
      <c r="D196" s="314">
        <v>5</v>
      </c>
      <c r="E196" s="314">
        <v>10</v>
      </c>
    </row>
    <row r="197" spans="1:5" x14ac:dyDescent="0.25">
      <c r="A197" s="316" t="s">
        <v>2498</v>
      </c>
      <c r="B197" s="313">
        <v>39988</v>
      </c>
      <c r="C197" s="316" t="s">
        <v>2467</v>
      </c>
      <c r="D197" s="314">
        <v>0</v>
      </c>
      <c r="E197" s="314">
        <v>5</v>
      </c>
    </row>
    <row r="198" spans="1:5" x14ac:dyDescent="0.25">
      <c r="A198" s="316" t="s">
        <v>2498</v>
      </c>
      <c r="B198" s="313">
        <v>39988</v>
      </c>
      <c r="C198" s="316" t="s">
        <v>2467</v>
      </c>
      <c r="D198" s="314">
        <v>5</v>
      </c>
      <c r="E198" s="314">
        <v>10</v>
      </c>
    </row>
    <row r="199" spans="1:5" x14ac:dyDescent="0.25">
      <c r="A199" s="316" t="s">
        <v>2499</v>
      </c>
      <c r="B199" s="313">
        <v>39988</v>
      </c>
      <c r="C199" s="316" t="s">
        <v>2461</v>
      </c>
      <c r="D199" s="314">
        <v>0</v>
      </c>
      <c r="E199" s="314">
        <v>5</v>
      </c>
    </row>
    <row r="200" spans="1:5" x14ac:dyDescent="0.25">
      <c r="A200" s="316" t="s">
        <v>2499</v>
      </c>
      <c r="B200" s="313">
        <v>39988</v>
      </c>
      <c r="C200" s="316" t="s">
        <v>2461</v>
      </c>
      <c r="D200" s="314">
        <v>5</v>
      </c>
      <c r="E200" s="314">
        <v>10</v>
      </c>
    </row>
    <row r="201" spans="1:5" x14ac:dyDescent="0.25">
      <c r="A201" s="316" t="s">
        <v>2400</v>
      </c>
      <c r="B201" s="313">
        <v>39561</v>
      </c>
      <c r="C201" s="316" t="s">
        <v>2401</v>
      </c>
      <c r="D201" s="314">
        <v>0</v>
      </c>
      <c r="E201" s="314">
        <v>5</v>
      </c>
    </row>
    <row r="202" spans="1:5" x14ac:dyDescent="0.25">
      <c r="A202" s="316" t="s">
        <v>2427</v>
      </c>
      <c r="B202" s="313">
        <v>39561</v>
      </c>
      <c r="C202" s="316" t="s">
        <v>2401</v>
      </c>
      <c r="D202" s="314">
        <v>0</v>
      </c>
      <c r="E202" s="314">
        <v>5</v>
      </c>
    </row>
    <row r="203" spans="1:5" x14ac:dyDescent="0.25">
      <c r="A203" s="316" t="s">
        <v>2438</v>
      </c>
      <c r="B203" s="313">
        <v>39561</v>
      </c>
      <c r="C203" s="316" t="s">
        <v>2401</v>
      </c>
      <c r="D203" s="314">
        <v>0</v>
      </c>
      <c r="E203" s="314">
        <v>5</v>
      </c>
    </row>
    <row r="204" spans="1:5" x14ac:dyDescent="0.25">
      <c r="A204" s="316" t="s">
        <v>2455</v>
      </c>
      <c r="B204" s="313">
        <v>39561</v>
      </c>
      <c r="C204" s="316" t="s">
        <v>2401</v>
      </c>
      <c r="D204" s="314">
        <v>0</v>
      </c>
      <c r="E204" s="314">
        <v>5</v>
      </c>
    </row>
    <row r="205" spans="1:5" x14ac:dyDescent="0.25">
      <c r="A205" s="316" t="s">
        <v>2402</v>
      </c>
      <c r="B205" s="313">
        <v>39561</v>
      </c>
      <c r="C205" s="316" t="s">
        <v>2403</v>
      </c>
      <c r="D205" s="314">
        <v>0</v>
      </c>
      <c r="E205" s="314">
        <v>5</v>
      </c>
    </row>
    <row r="206" spans="1:5" x14ac:dyDescent="0.25">
      <c r="A206" s="316" t="s">
        <v>2424</v>
      </c>
      <c r="B206" s="313">
        <v>39561</v>
      </c>
      <c r="C206" s="316" t="s">
        <v>2403</v>
      </c>
      <c r="D206" s="314">
        <v>0</v>
      </c>
      <c r="E206" s="314">
        <v>5</v>
      </c>
    </row>
    <row r="207" spans="1:5" x14ac:dyDescent="0.25">
      <c r="A207" s="316" t="s">
        <v>2442</v>
      </c>
      <c r="B207" s="313">
        <v>39561</v>
      </c>
      <c r="C207" s="316" t="s">
        <v>2403</v>
      </c>
      <c r="D207" s="314">
        <v>0</v>
      </c>
      <c r="E207" s="314">
        <v>5</v>
      </c>
    </row>
    <row r="208" spans="1:5" x14ac:dyDescent="0.25">
      <c r="A208" s="316" t="s">
        <v>2457</v>
      </c>
      <c r="B208" s="313">
        <v>39561</v>
      </c>
      <c r="C208" s="316" t="s">
        <v>2403</v>
      </c>
      <c r="D208" s="314">
        <v>0</v>
      </c>
      <c r="E208" s="314">
        <v>5</v>
      </c>
    </row>
    <row r="209" spans="1:5" x14ac:dyDescent="0.25">
      <c r="A209" s="316" t="s">
        <v>2398</v>
      </c>
      <c r="B209" s="313">
        <v>39561</v>
      </c>
      <c r="C209" s="316" t="s">
        <v>2399</v>
      </c>
      <c r="D209" s="314">
        <v>0</v>
      </c>
      <c r="E209" s="314">
        <v>5</v>
      </c>
    </row>
    <row r="210" spans="1:5" x14ac:dyDescent="0.25">
      <c r="A210" s="316" t="s">
        <v>2425</v>
      </c>
      <c r="B210" s="313">
        <v>39561</v>
      </c>
      <c r="C210" s="316" t="s">
        <v>2399</v>
      </c>
      <c r="D210" s="314">
        <v>0</v>
      </c>
      <c r="E210" s="314">
        <v>5</v>
      </c>
    </row>
    <row r="211" spans="1:5" x14ac:dyDescent="0.25">
      <c r="A211" s="316" t="s">
        <v>2439</v>
      </c>
      <c r="B211" s="313">
        <v>39561</v>
      </c>
      <c r="C211" s="316" t="s">
        <v>2399</v>
      </c>
      <c r="D211" s="314">
        <v>0</v>
      </c>
      <c r="E211" s="314">
        <v>5</v>
      </c>
    </row>
    <row r="212" spans="1:5" x14ac:dyDescent="0.25">
      <c r="A212" s="316" t="s">
        <v>2454</v>
      </c>
      <c r="B212" s="313">
        <v>39561</v>
      </c>
      <c r="C212" s="316" t="s">
        <v>2399</v>
      </c>
      <c r="D212" s="314">
        <v>0</v>
      </c>
      <c r="E212" s="314">
        <v>5</v>
      </c>
    </row>
    <row r="213" spans="1:5" x14ac:dyDescent="0.25">
      <c r="A213" s="316" t="s">
        <v>2406</v>
      </c>
      <c r="B213" s="313">
        <v>39561</v>
      </c>
      <c r="C213" s="316" t="s">
        <v>2407</v>
      </c>
      <c r="D213" s="314">
        <v>0</v>
      </c>
      <c r="E213" s="314">
        <v>5</v>
      </c>
    </row>
    <row r="214" spans="1:5" x14ac:dyDescent="0.25">
      <c r="A214" s="316" t="s">
        <v>2421</v>
      </c>
      <c r="B214" s="313">
        <v>39561</v>
      </c>
      <c r="C214" s="316" t="s">
        <v>2407</v>
      </c>
      <c r="D214" s="314">
        <v>0</v>
      </c>
      <c r="E214" s="314">
        <v>5</v>
      </c>
    </row>
    <row r="215" spans="1:5" x14ac:dyDescent="0.25">
      <c r="A215" s="316" t="s">
        <v>2436</v>
      </c>
      <c r="B215" s="313">
        <v>39561</v>
      </c>
      <c r="C215" s="316" t="s">
        <v>2407</v>
      </c>
      <c r="D215" s="314">
        <v>0</v>
      </c>
      <c r="E215" s="314">
        <v>5</v>
      </c>
    </row>
    <row r="216" spans="1:5" x14ac:dyDescent="0.25">
      <c r="A216" s="316" t="s">
        <v>2456</v>
      </c>
      <c r="B216" s="313">
        <v>39561</v>
      </c>
      <c r="C216" s="316" t="s">
        <v>2407</v>
      </c>
      <c r="D216" s="314">
        <v>0</v>
      </c>
      <c r="E216" s="314">
        <v>5</v>
      </c>
    </row>
    <row r="217" spans="1:5" x14ac:dyDescent="0.25">
      <c r="A217" s="316" t="s">
        <v>2464</v>
      </c>
      <c r="B217" s="313">
        <v>39561</v>
      </c>
      <c r="C217" s="316" t="s">
        <v>2465</v>
      </c>
      <c r="D217" s="314">
        <v>0</v>
      </c>
      <c r="E217" s="314">
        <v>5</v>
      </c>
    </row>
    <row r="218" spans="1:5" x14ac:dyDescent="0.25">
      <c r="A218" s="316" t="s">
        <v>2478</v>
      </c>
      <c r="B218" s="313">
        <v>39561</v>
      </c>
      <c r="C218" s="316" t="s">
        <v>2465</v>
      </c>
      <c r="D218" s="314">
        <v>0</v>
      </c>
      <c r="E218" s="314">
        <v>5</v>
      </c>
    </row>
    <row r="219" spans="1:5" x14ac:dyDescent="0.25">
      <c r="A219" s="316" t="s">
        <v>2484</v>
      </c>
      <c r="B219" s="313">
        <v>39561</v>
      </c>
      <c r="C219" s="316" t="s">
        <v>2465</v>
      </c>
      <c r="D219" s="314">
        <v>0</v>
      </c>
      <c r="E219" s="314">
        <v>5</v>
      </c>
    </row>
    <row r="220" spans="1:5" x14ac:dyDescent="0.25">
      <c r="A220" s="316" t="s">
        <v>2494</v>
      </c>
      <c r="B220" s="313">
        <v>39561</v>
      </c>
      <c r="C220" s="316" t="s">
        <v>2465</v>
      </c>
      <c r="D220" s="314">
        <v>0</v>
      </c>
      <c r="E220" s="314">
        <v>5</v>
      </c>
    </row>
    <row r="221" spans="1:5" x14ac:dyDescent="0.25">
      <c r="A221" s="316" t="s">
        <v>2470</v>
      </c>
      <c r="B221" s="313">
        <v>39561</v>
      </c>
      <c r="C221" s="316" t="s">
        <v>2471</v>
      </c>
      <c r="D221" s="314">
        <v>0</v>
      </c>
      <c r="E221" s="314">
        <v>5</v>
      </c>
    </row>
    <row r="222" spans="1:5" x14ac:dyDescent="0.25">
      <c r="A222" s="316" t="s">
        <v>2476</v>
      </c>
      <c r="B222" s="313">
        <v>39561</v>
      </c>
      <c r="C222" s="316" t="s">
        <v>2471</v>
      </c>
      <c r="D222" s="314">
        <v>0</v>
      </c>
      <c r="E222" s="314">
        <v>5</v>
      </c>
    </row>
    <row r="223" spans="1:5" x14ac:dyDescent="0.25">
      <c r="A223" s="316" t="s">
        <v>2491</v>
      </c>
      <c r="B223" s="313">
        <v>39561</v>
      </c>
      <c r="C223" s="316" t="s">
        <v>2471</v>
      </c>
      <c r="D223" s="314">
        <v>0</v>
      </c>
      <c r="E223" s="314">
        <v>5</v>
      </c>
    </row>
    <row r="224" spans="1:5" x14ac:dyDescent="0.25">
      <c r="A224" s="316" t="s">
        <v>2492</v>
      </c>
      <c r="B224" s="313">
        <v>39561</v>
      </c>
      <c r="C224" s="316" t="s">
        <v>2471</v>
      </c>
      <c r="D224" s="314">
        <v>0</v>
      </c>
      <c r="E224" s="314">
        <v>5</v>
      </c>
    </row>
    <row r="225" spans="1:5" x14ac:dyDescent="0.25">
      <c r="A225" s="316" t="s">
        <v>2466</v>
      </c>
      <c r="B225" s="313">
        <v>39561</v>
      </c>
      <c r="C225" s="316" t="s">
        <v>2467</v>
      </c>
      <c r="D225" s="314">
        <v>0</v>
      </c>
      <c r="E225" s="314">
        <v>5</v>
      </c>
    </row>
    <row r="226" spans="1:5" x14ac:dyDescent="0.25">
      <c r="A226" s="316" t="s">
        <v>2480</v>
      </c>
      <c r="B226" s="313">
        <v>39561</v>
      </c>
      <c r="C226" s="316" t="s">
        <v>2467</v>
      </c>
      <c r="D226" s="314">
        <v>0</v>
      </c>
      <c r="E226" s="314">
        <v>5</v>
      </c>
    </row>
    <row r="227" spans="1:5" x14ac:dyDescent="0.25">
      <c r="A227" s="316" t="s">
        <v>2490</v>
      </c>
      <c r="B227" s="313">
        <v>39561</v>
      </c>
      <c r="C227" s="316" t="s">
        <v>2467</v>
      </c>
      <c r="D227" s="314">
        <v>0</v>
      </c>
      <c r="E227" s="314">
        <v>5</v>
      </c>
    </row>
    <row r="228" spans="1:5" x14ac:dyDescent="0.25">
      <c r="A228" s="316" t="s">
        <v>2498</v>
      </c>
      <c r="B228" s="313">
        <v>39561</v>
      </c>
      <c r="C228" s="316" t="s">
        <v>2467</v>
      </c>
      <c r="D228" s="314">
        <v>0</v>
      </c>
      <c r="E228" s="314">
        <v>5</v>
      </c>
    </row>
    <row r="229" spans="1:5" x14ac:dyDescent="0.25">
      <c r="A229" s="316" t="s">
        <v>2468</v>
      </c>
      <c r="B229" s="313">
        <v>39561</v>
      </c>
      <c r="C229" s="316" t="s">
        <v>2469</v>
      </c>
      <c r="D229" s="314">
        <v>0</v>
      </c>
      <c r="E229" s="314">
        <v>5</v>
      </c>
    </row>
    <row r="230" spans="1:5" x14ac:dyDescent="0.25">
      <c r="A230" s="316" t="s">
        <v>2479</v>
      </c>
      <c r="B230" s="313">
        <v>39561</v>
      </c>
      <c r="C230" s="316" t="s">
        <v>2469</v>
      </c>
      <c r="D230" s="314">
        <v>0</v>
      </c>
      <c r="E230" s="314">
        <v>5</v>
      </c>
    </row>
    <row r="231" spans="1:5" x14ac:dyDescent="0.25">
      <c r="A231" s="316" t="s">
        <v>2486</v>
      </c>
      <c r="B231" s="313">
        <v>39561</v>
      </c>
      <c r="C231" s="316" t="s">
        <v>2469</v>
      </c>
      <c r="D231" s="314">
        <v>0</v>
      </c>
      <c r="E231" s="314">
        <v>5</v>
      </c>
    </row>
    <row r="232" spans="1:5" x14ac:dyDescent="0.25">
      <c r="A232" s="316" t="s">
        <v>2493</v>
      </c>
      <c r="B232" s="313">
        <v>39561</v>
      </c>
      <c r="C232" s="316" t="s">
        <v>2469</v>
      </c>
      <c r="D232" s="314">
        <v>0</v>
      </c>
      <c r="E232" s="314">
        <v>5</v>
      </c>
    </row>
    <row r="233" spans="1:5" x14ac:dyDescent="0.25">
      <c r="A233" s="316" t="s">
        <v>2384</v>
      </c>
      <c r="B233" s="313">
        <v>39561</v>
      </c>
      <c r="C233" s="316" t="s">
        <v>2385</v>
      </c>
      <c r="D233" s="314">
        <v>0</v>
      </c>
      <c r="E233" s="314">
        <v>5</v>
      </c>
    </row>
    <row r="234" spans="1:5" x14ac:dyDescent="0.25">
      <c r="A234" s="316" t="s">
        <v>2418</v>
      </c>
      <c r="B234" s="313">
        <v>39561</v>
      </c>
      <c r="C234" s="316" t="s">
        <v>2385</v>
      </c>
      <c r="D234" s="314">
        <v>0</v>
      </c>
      <c r="E234" s="314">
        <v>5</v>
      </c>
    </row>
    <row r="235" spans="1:5" x14ac:dyDescent="0.25">
      <c r="A235" s="316" t="s">
        <v>2435</v>
      </c>
      <c r="B235" s="313">
        <v>39561</v>
      </c>
      <c r="C235" s="316" t="s">
        <v>2385</v>
      </c>
      <c r="D235" s="314">
        <v>0</v>
      </c>
      <c r="E235" s="314">
        <v>5</v>
      </c>
    </row>
    <row r="236" spans="1:5" x14ac:dyDescent="0.25">
      <c r="A236" s="316" t="s">
        <v>2445</v>
      </c>
      <c r="B236" s="313">
        <v>39561</v>
      </c>
      <c r="C236" s="316" t="s">
        <v>2385</v>
      </c>
      <c r="D236" s="314">
        <v>0</v>
      </c>
      <c r="E236" s="314">
        <v>5</v>
      </c>
    </row>
    <row r="237" spans="1:5" x14ac:dyDescent="0.25">
      <c r="A237" s="316" t="s">
        <v>2392</v>
      </c>
      <c r="B237" s="313">
        <v>39561</v>
      </c>
      <c r="C237" s="316" t="s">
        <v>2393</v>
      </c>
      <c r="D237" s="314">
        <v>0</v>
      </c>
      <c r="E237" s="314">
        <v>5</v>
      </c>
    </row>
    <row r="238" spans="1:5" x14ac:dyDescent="0.25">
      <c r="A238" s="316" t="s">
        <v>2416</v>
      </c>
      <c r="B238" s="313">
        <v>39561</v>
      </c>
      <c r="C238" s="316" t="s">
        <v>2393</v>
      </c>
      <c r="D238" s="314">
        <v>0</v>
      </c>
      <c r="E238" s="314">
        <v>5</v>
      </c>
    </row>
    <row r="239" spans="1:5" x14ac:dyDescent="0.25">
      <c r="A239" s="316" t="s">
        <v>2431</v>
      </c>
      <c r="B239" s="313">
        <v>39561</v>
      </c>
      <c r="C239" s="316" t="s">
        <v>2393</v>
      </c>
      <c r="D239" s="314">
        <v>0</v>
      </c>
      <c r="E239" s="314">
        <v>5</v>
      </c>
    </row>
    <row r="240" spans="1:5" x14ac:dyDescent="0.25">
      <c r="A240" s="316" t="s">
        <v>2449</v>
      </c>
      <c r="B240" s="313">
        <v>39561</v>
      </c>
      <c r="C240" s="316" t="s">
        <v>2393</v>
      </c>
      <c r="D240" s="314">
        <v>0</v>
      </c>
      <c r="E240" s="314">
        <v>5</v>
      </c>
    </row>
    <row r="241" spans="1:5" x14ac:dyDescent="0.25">
      <c r="A241" s="316" t="s">
        <v>2394</v>
      </c>
      <c r="B241" s="313">
        <v>39561</v>
      </c>
      <c r="C241" s="316" t="s">
        <v>2395</v>
      </c>
      <c r="D241" s="314">
        <v>0</v>
      </c>
      <c r="E241" s="314">
        <v>5</v>
      </c>
    </row>
    <row r="242" spans="1:5" x14ac:dyDescent="0.25">
      <c r="A242" s="316" t="s">
        <v>2417</v>
      </c>
      <c r="B242" s="313">
        <v>39561</v>
      </c>
      <c r="C242" s="316" t="s">
        <v>2395</v>
      </c>
      <c r="D242" s="314">
        <v>0</v>
      </c>
      <c r="E242" s="314">
        <v>5</v>
      </c>
    </row>
    <row r="243" spans="1:5" x14ac:dyDescent="0.25">
      <c r="A243" s="316" t="s">
        <v>2430</v>
      </c>
      <c r="B243" s="313">
        <v>39561</v>
      </c>
      <c r="C243" s="316" t="s">
        <v>2395</v>
      </c>
      <c r="D243" s="314">
        <v>0</v>
      </c>
      <c r="E243" s="314">
        <v>5</v>
      </c>
    </row>
    <row r="244" spans="1:5" x14ac:dyDescent="0.25">
      <c r="A244" s="316" t="s">
        <v>2451</v>
      </c>
      <c r="B244" s="313">
        <v>39561</v>
      </c>
      <c r="C244" s="316" t="s">
        <v>2395</v>
      </c>
      <c r="D244" s="314">
        <v>0</v>
      </c>
      <c r="E244" s="314">
        <v>5</v>
      </c>
    </row>
    <row r="245" spans="1:5" x14ac:dyDescent="0.25">
      <c r="A245" s="316" t="s">
        <v>2386</v>
      </c>
      <c r="B245" s="313">
        <v>39561</v>
      </c>
      <c r="C245" s="316" t="s">
        <v>2387</v>
      </c>
      <c r="D245" s="314">
        <v>0</v>
      </c>
      <c r="E245" s="314">
        <v>5</v>
      </c>
    </row>
    <row r="246" spans="1:5" x14ac:dyDescent="0.25">
      <c r="A246" s="316" t="s">
        <v>2414</v>
      </c>
      <c r="B246" s="313">
        <v>39561</v>
      </c>
      <c r="C246" s="316" t="s">
        <v>2387</v>
      </c>
      <c r="D246" s="314">
        <v>0</v>
      </c>
      <c r="E246" s="314">
        <v>5</v>
      </c>
    </row>
    <row r="247" spans="1:5" x14ac:dyDescent="0.25">
      <c r="A247" s="316" t="s">
        <v>2432</v>
      </c>
      <c r="B247" s="313">
        <v>39561</v>
      </c>
      <c r="C247" s="316" t="s">
        <v>2387</v>
      </c>
      <c r="D247" s="314">
        <v>0</v>
      </c>
      <c r="E247" s="314">
        <v>5</v>
      </c>
    </row>
    <row r="248" spans="1:5" x14ac:dyDescent="0.25">
      <c r="A248" s="316" t="s">
        <v>2444</v>
      </c>
      <c r="B248" s="313">
        <v>39561</v>
      </c>
      <c r="C248" s="316" t="s">
        <v>2387</v>
      </c>
      <c r="D248" s="314">
        <v>0</v>
      </c>
      <c r="E248" s="314">
        <v>5</v>
      </c>
    </row>
    <row r="249" spans="1:5" x14ac:dyDescent="0.25">
      <c r="A249" s="316" t="s">
        <v>2400</v>
      </c>
      <c r="B249" s="313">
        <v>39561</v>
      </c>
      <c r="C249" s="316" t="s">
        <v>2401</v>
      </c>
      <c r="D249" s="314">
        <v>5</v>
      </c>
      <c r="E249" s="314">
        <v>10</v>
      </c>
    </row>
    <row r="250" spans="1:5" x14ac:dyDescent="0.25">
      <c r="A250" s="316" t="s">
        <v>2427</v>
      </c>
      <c r="B250" s="313">
        <v>39561</v>
      </c>
      <c r="C250" s="316" t="s">
        <v>2401</v>
      </c>
      <c r="D250" s="314">
        <v>5</v>
      </c>
      <c r="E250" s="314">
        <v>10</v>
      </c>
    </row>
    <row r="251" spans="1:5" x14ac:dyDescent="0.25">
      <c r="A251" s="316" t="s">
        <v>2438</v>
      </c>
      <c r="B251" s="313">
        <v>39561</v>
      </c>
      <c r="C251" s="316" t="s">
        <v>2401</v>
      </c>
      <c r="D251" s="314">
        <v>5</v>
      </c>
      <c r="E251" s="314">
        <v>10</v>
      </c>
    </row>
    <row r="252" spans="1:5" x14ac:dyDescent="0.25">
      <c r="A252" s="316" t="s">
        <v>2455</v>
      </c>
      <c r="B252" s="313">
        <v>39561</v>
      </c>
      <c r="C252" s="316" t="s">
        <v>2401</v>
      </c>
      <c r="D252" s="314">
        <v>5</v>
      </c>
      <c r="E252" s="314">
        <v>10</v>
      </c>
    </row>
    <row r="253" spans="1:5" x14ac:dyDescent="0.25">
      <c r="A253" s="316" t="s">
        <v>2402</v>
      </c>
      <c r="B253" s="313">
        <v>39561</v>
      </c>
      <c r="C253" s="316" t="s">
        <v>2403</v>
      </c>
      <c r="D253" s="314">
        <v>5</v>
      </c>
      <c r="E253" s="314">
        <v>10</v>
      </c>
    </row>
    <row r="254" spans="1:5" x14ac:dyDescent="0.25">
      <c r="A254" s="316" t="s">
        <v>2424</v>
      </c>
      <c r="B254" s="313">
        <v>39561</v>
      </c>
      <c r="C254" s="316" t="s">
        <v>2403</v>
      </c>
      <c r="D254" s="314">
        <v>5</v>
      </c>
      <c r="E254" s="314">
        <v>10</v>
      </c>
    </row>
    <row r="255" spans="1:5" x14ac:dyDescent="0.25">
      <c r="A255" s="316" t="s">
        <v>2442</v>
      </c>
      <c r="B255" s="313">
        <v>39561</v>
      </c>
      <c r="C255" s="316" t="s">
        <v>2403</v>
      </c>
      <c r="D255" s="314">
        <v>5</v>
      </c>
      <c r="E255" s="314">
        <v>10</v>
      </c>
    </row>
    <row r="256" spans="1:5" x14ac:dyDescent="0.25">
      <c r="A256" s="316" t="s">
        <v>2457</v>
      </c>
      <c r="B256" s="313">
        <v>39561</v>
      </c>
      <c r="C256" s="316" t="s">
        <v>2403</v>
      </c>
      <c r="D256" s="314">
        <v>5</v>
      </c>
      <c r="E256" s="314">
        <v>10</v>
      </c>
    </row>
    <row r="257" spans="1:5" x14ac:dyDescent="0.25">
      <c r="A257" s="316" t="s">
        <v>2398</v>
      </c>
      <c r="B257" s="313">
        <v>39561</v>
      </c>
      <c r="C257" s="316" t="s">
        <v>2399</v>
      </c>
      <c r="D257" s="314">
        <v>5</v>
      </c>
      <c r="E257" s="314">
        <v>10</v>
      </c>
    </row>
    <row r="258" spans="1:5" x14ac:dyDescent="0.25">
      <c r="A258" s="316" t="s">
        <v>2425</v>
      </c>
      <c r="B258" s="313">
        <v>39561</v>
      </c>
      <c r="C258" s="316" t="s">
        <v>2399</v>
      </c>
      <c r="D258" s="314">
        <v>5</v>
      </c>
      <c r="E258" s="314">
        <v>10</v>
      </c>
    </row>
    <row r="259" spans="1:5" x14ac:dyDescent="0.25">
      <c r="A259" s="316" t="s">
        <v>2439</v>
      </c>
      <c r="B259" s="313">
        <v>39561</v>
      </c>
      <c r="C259" s="316" t="s">
        <v>2399</v>
      </c>
      <c r="D259" s="314">
        <v>5</v>
      </c>
      <c r="E259" s="314">
        <v>10</v>
      </c>
    </row>
    <row r="260" spans="1:5" x14ac:dyDescent="0.25">
      <c r="A260" s="316" t="s">
        <v>2454</v>
      </c>
      <c r="B260" s="313">
        <v>39561</v>
      </c>
      <c r="C260" s="316" t="s">
        <v>2399</v>
      </c>
      <c r="D260" s="314">
        <v>5</v>
      </c>
      <c r="E260" s="314">
        <v>10</v>
      </c>
    </row>
    <row r="261" spans="1:5" x14ac:dyDescent="0.25">
      <c r="A261" s="316" t="s">
        <v>2406</v>
      </c>
      <c r="B261" s="313">
        <v>39561</v>
      </c>
      <c r="C261" s="316" t="s">
        <v>2407</v>
      </c>
      <c r="D261" s="314">
        <v>5</v>
      </c>
      <c r="E261" s="314">
        <v>10</v>
      </c>
    </row>
    <row r="262" spans="1:5" x14ac:dyDescent="0.25">
      <c r="A262" s="316" t="s">
        <v>2421</v>
      </c>
      <c r="B262" s="313">
        <v>39561</v>
      </c>
      <c r="C262" s="316" t="s">
        <v>2407</v>
      </c>
      <c r="D262" s="314">
        <v>5</v>
      </c>
      <c r="E262" s="314">
        <v>10</v>
      </c>
    </row>
    <row r="263" spans="1:5" x14ac:dyDescent="0.25">
      <c r="A263" s="316" t="s">
        <v>2436</v>
      </c>
      <c r="B263" s="313">
        <v>39561</v>
      </c>
      <c r="C263" s="316" t="s">
        <v>2407</v>
      </c>
      <c r="D263" s="314">
        <v>5</v>
      </c>
      <c r="E263" s="314">
        <v>10</v>
      </c>
    </row>
    <row r="264" spans="1:5" x14ac:dyDescent="0.25">
      <c r="A264" s="316" t="s">
        <v>2456</v>
      </c>
      <c r="B264" s="313">
        <v>39561</v>
      </c>
      <c r="C264" s="316" t="s">
        <v>2407</v>
      </c>
      <c r="D264" s="314">
        <v>5</v>
      </c>
      <c r="E264" s="314">
        <v>10</v>
      </c>
    </row>
    <row r="265" spans="1:5" x14ac:dyDescent="0.25">
      <c r="A265" s="316" t="s">
        <v>2464</v>
      </c>
      <c r="B265" s="313">
        <v>39561</v>
      </c>
      <c r="C265" s="316" t="s">
        <v>2465</v>
      </c>
      <c r="D265" s="314">
        <v>5</v>
      </c>
      <c r="E265" s="314">
        <v>10</v>
      </c>
    </row>
    <row r="266" spans="1:5" x14ac:dyDescent="0.25">
      <c r="A266" s="316" t="s">
        <v>2478</v>
      </c>
      <c r="B266" s="313">
        <v>39561</v>
      </c>
      <c r="C266" s="316" t="s">
        <v>2465</v>
      </c>
      <c r="D266" s="314">
        <v>5</v>
      </c>
      <c r="E266" s="314">
        <v>10</v>
      </c>
    </row>
    <row r="267" spans="1:5" x14ac:dyDescent="0.25">
      <c r="A267" s="316" t="s">
        <v>2484</v>
      </c>
      <c r="B267" s="313">
        <v>39561</v>
      </c>
      <c r="C267" s="316" t="s">
        <v>2465</v>
      </c>
      <c r="D267" s="314">
        <v>5</v>
      </c>
      <c r="E267" s="314">
        <v>10</v>
      </c>
    </row>
    <row r="268" spans="1:5" x14ac:dyDescent="0.25">
      <c r="A268" s="316" t="s">
        <v>2494</v>
      </c>
      <c r="B268" s="313">
        <v>39561</v>
      </c>
      <c r="C268" s="316" t="s">
        <v>2465</v>
      </c>
      <c r="D268" s="314">
        <v>5</v>
      </c>
      <c r="E268" s="314">
        <v>10</v>
      </c>
    </row>
    <row r="269" spans="1:5" x14ac:dyDescent="0.25">
      <c r="A269" s="316" t="s">
        <v>2470</v>
      </c>
      <c r="B269" s="313">
        <v>39561</v>
      </c>
      <c r="C269" s="316" t="s">
        <v>2471</v>
      </c>
      <c r="D269" s="314">
        <v>5</v>
      </c>
      <c r="E269" s="314">
        <v>10</v>
      </c>
    </row>
    <row r="270" spans="1:5" x14ac:dyDescent="0.25">
      <c r="A270" s="316" t="s">
        <v>2476</v>
      </c>
      <c r="B270" s="313">
        <v>39561</v>
      </c>
      <c r="C270" s="316" t="s">
        <v>2471</v>
      </c>
      <c r="D270" s="314">
        <v>5</v>
      </c>
      <c r="E270" s="314">
        <v>10</v>
      </c>
    </row>
    <row r="271" spans="1:5" x14ac:dyDescent="0.25">
      <c r="A271" s="316" t="s">
        <v>2491</v>
      </c>
      <c r="B271" s="313">
        <v>39561</v>
      </c>
      <c r="C271" s="316" t="s">
        <v>2471</v>
      </c>
      <c r="D271" s="314">
        <v>5</v>
      </c>
      <c r="E271" s="314">
        <v>10</v>
      </c>
    </row>
    <row r="272" spans="1:5" x14ac:dyDescent="0.25">
      <c r="A272" s="316" t="s">
        <v>2492</v>
      </c>
      <c r="B272" s="313">
        <v>39561</v>
      </c>
      <c r="C272" s="316" t="s">
        <v>2471</v>
      </c>
      <c r="D272" s="314">
        <v>5</v>
      </c>
      <c r="E272" s="314">
        <v>10</v>
      </c>
    </row>
    <row r="273" spans="1:5" x14ac:dyDescent="0.25">
      <c r="A273" s="316" t="s">
        <v>2466</v>
      </c>
      <c r="B273" s="313">
        <v>39561</v>
      </c>
      <c r="C273" s="316" t="s">
        <v>2467</v>
      </c>
      <c r="D273" s="314">
        <v>5</v>
      </c>
      <c r="E273" s="314">
        <v>10</v>
      </c>
    </row>
    <row r="274" spans="1:5" x14ac:dyDescent="0.25">
      <c r="A274" s="316" t="s">
        <v>2480</v>
      </c>
      <c r="B274" s="313">
        <v>39561</v>
      </c>
      <c r="C274" s="316" t="s">
        <v>2467</v>
      </c>
      <c r="D274" s="314">
        <v>5</v>
      </c>
      <c r="E274" s="314">
        <v>10</v>
      </c>
    </row>
    <row r="275" spans="1:5" x14ac:dyDescent="0.25">
      <c r="A275" s="316" t="s">
        <v>2490</v>
      </c>
      <c r="B275" s="313">
        <v>39561</v>
      </c>
      <c r="C275" s="316" t="s">
        <v>2467</v>
      </c>
      <c r="D275" s="314">
        <v>5</v>
      </c>
      <c r="E275" s="314">
        <v>10</v>
      </c>
    </row>
    <row r="276" spans="1:5" x14ac:dyDescent="0.25">
      <c r="A276" s="316" t="s">
        <v>2498</v>
      </c>
      <c r="B276" s="313">
        <v>39561</v>
      </c>
      <c r="C276" s="316" t="s">
        <v>2467</v>
      </c>
      <c r="D276" s="314">
        <v>5</v>
      </c>
      <c r="E276" s="314">
        <v>10</v>
      </c>
    </row>
    <row r="277" spans="1:5" x14ac:dyDescent="0.25">
      <c r="A277" s="316" t="s">
        <v>2468</v>
      </c>
      <c r="B277" s="313">
        <v>39561</v>
      </c>
      <c r="C277" s="316" t="s">
        <v>2469</v>
      </c>
      <c r="D277" s="314">
        <v>5</v>
      </c>
      <c r="E277" s="314">
        <v>10</v>
      </c>
    </row>
    <row r="278" spans="1:5" x14ac:dyDescent="0.25">
      <c r="A278" s="316" t="s">
        <v>2479</v>
      </c>
      <c r="B278" s="313">
        <v>39561</v>
      </c>
      <c r="C278" s="316" t="s">
        <v>2469</v>
      </c>
      <c r="D278" s="314">
        <v>5</v>
      </c>
      <c r="E278" s="314">
        <v>10</v>
      </c>
    </row>
    <row r="279" spans="1:5" x14ac:dyDescent="0.25">
      <c r="A279" s="316" t="s">
        <v>2486</v>
      </c>
      <c r="B279" s="313">
        <v>39561</v>
      </c>
      <c r="C279" s="316" t="s">
        <v>2469</v>
      </c>
      <c r="D279" s="314">
        <v>5</v>
      </c>
      <c r="E279" s="314">
        <v>10</v>
      </c>
    </row>
    <row r="280" spans="1:5" x14ac:dyDescent="0.25">
      <c r="A280" s="316" t="s">
        <v>2493</v>
      </c>
      <c r="B280" s="313">
        <v>39561</v>
      </c>
      <c r="C280" s="316" t="s">
        <v>2469</v>
      </c>
      <c r="D280" s="314">
        <v>5</v>
      </c>
      <c r="E280" s="314">
        <v>10</v>
      </c>
    </row>
    <row r="281" spans="1:5" x14ac:dyDescent="0.25">
      <c r="A281" s="316" t="s">
        <v>2384</v>
      </c>
      <c r="B281" s="313">
        <v>39561</v>
      </c>
      <c r="C281" s="316" t="s">
        <v>2385</v>
      </c>
      <c r="D281" s="314">
        <v>5</v>
      </c>
      <c r="E281" s="314">
        <v>10</v>
      </c>
    </row>
    <row r="282" spans="1:5" x14ac:dyDescent="0.25">
      <c r="A282" s="316" t="s">
        <v>2418</v>
      </c>
      <c r="B282" s="313">
        <v>39561</v>
      </c>
      <c r="C282" s="316" t="s">
        <v>2385</v>
      </c>
      <c r="D282" s="314">
        <v>5</v>
      </c>
      <c r="E282" s="314">
        <v>10</v>
      </c>
    </row>
    <row r="283" spans="1:5" x14ac:dyDescent="0.25">
      <c r="A283" s="316" t="s">
        <v>2435</v>
      </c>
      <c r="B283" s="313">
        <v>39561</v>
      </c>
      <c r="C283" s="316" t="s">
        <v>2385</v>
      </c>
      <c r="D283" s="314">
        <v>5</v>
      </c>
      <c r="E283" s="314">
        <v>10</v>
      </c>
    </row>
    <row r="284" spans="1:5" x14ac:dyDescent="0.25">
      <c r="A284" s="316" t="s">
        <v>2445</v>
      </c>
      <c r="B284" s="313">
        <v>39561</v>
      </c>
      <c r="C284" s="316" t="s">
        <v>2385</v>
      </c>
      <c r="D284" s="314">
        <v>5</v>
      </c>
      <c r="E284" s="314">
        <v>10</v>
      </c>
    </row>
    <row r="285" spans="1:5" x14ac:dyDescent="0.25">
      <c r="A285" s="316" t="s">
        <v>2392</v>
      </c>
      <c r="B285" s="313">
        <v>39561</v>
      </c>
      <c r="C285" s="316" t="s">
        <v>2393</v>
      </c>
      <c r="D285" s="314">
        <v>5</v>
      </c>
      <c r="E285" s="314">
        <v>10</v>
      </c>
    </row>
    <row r="286" spans="1:5" x14ac:dyDescent="0.25">
      <c r="A286" s="316" t="s">
        <v>2416</v>
      </c>
      <c r="B286" s="313">
        <v>39561</v>
      </c>
      <c r="C286" s="316" t="s">
        <v>2393</v>
      </c>
      <c r="D286" s="314">
        <v>5</v>
      </c>
      <c r="E286" s="314">
        <v>10</v>
      </c>
    </row>
    <row r="287" spans="1:5" x14ac:dyDescent="0.25">
      <c r="A287" s="316" t="s">
        <v>2431</v>
      </c>
      <c r="B287" s="313">
        <v>39561</v>
      </c>
      <c r="C287" s="316" t="s">
        <v>2393</v>
      </c>
      <c r="D287" s="314">
        <v>5</v>
      </c>
      <c r="E287" s="314">
        <v>10</v>
      </c>
    </row>
    <row r="288" spans="1:5" x14ac:dyDescent="0.25">
      <c r="A288" s="316" t="s">
        <v>2449</v>
      </c>
      <c r="B288" s="313">
        <v>39561</v>
      </c>
      <c r="C288" s="316" t="s">
        <v>2393</v>
      </c>
      <c r="D288" s="314">
        <v>5</v>
      </c>
      <c r="E288" s="314">
        <v>10</v>
      </c>
    </row>
    <row r="289" spans="1:5" x14ac:dyDescent="0.25">
      <c r="A289" s="316" t="s">
        <v>2394</v>
      </c>
      <c r="B289" s="313">
        <v>39561</v>
      </c>
      <c r="C289" s="316" t="s">
        <v>2395</v>
      </c>
      <c r="D289" s="314">
        <v>5</v>
      </c>
      <c r="E289" s="314">
        <v>10</v>
      </c>
    </row>
    <row r="290" spans="1:5" x14ac:dyDescent="0.25">
      <c r="A290" s="316" t="s">
        <v>2417</v>
      </c>
      <c r="B290" s="313">
        <v>39561</v>
      </c>
      <c r="C290" s="316" t="s">
        <v>2395</v>
      </c>
      <c r="D290" s="314">
        <v>5</v>
      </c>
      <c r="E290" s="314">
        <v>10</v>
      </c>
    </row>
    <row r="291" spans="1:5" x14ac:dyDescent="0.25">
      <c r="A291" s="316" t="s">
        <v>2430</v>
      </c>
      <c r="B291" s="313">
        <v>39561</v>
      </c>
      <c r="C291" s="316" t="s">
        <v>2395</v>
      </c>
      <c r="D291" s="314">
        <v>5</v>
      </c>
      <c r="E291" s="314">
        <v>10</v>
      </c>
    </row>
    <row r="292" spans="1:5" x14ac:dyDescent="0.25">
      <c r="A292" s="316" t="s">
        <v>2451</v>
      </c>
      <c r="B292" s="313">
        <v>39561</v>
      </c>
      <c r="C292" s="316" t="s">
        <v>2395</v>
      </c>
      <c r="D292" s="314">
        <v>5</v>
      </c>
      <c r="E292" s="314">
        <v>10</v>
      </c>
    </row>
    <row r="293" spans="1:5" x14ac:dyDescent="0.25">
      <c r="A293" s="316" t="s">
        <v>2386</v>
      </c>
      <c r="B293" s="313">
        <v>39561</v>
      </c>
      <c r="C293" s="316" t="s">
        <v>2387</v>
      </c>
      <c r="D293" s="314">
        <v>5</v>
      </c>
      <c r="E293" s="314">
        <v>10</v>
      </c>
    </row>
    <row r="294" spans="1:5" x14ac:dyDescent="0.25">
      <c r="A294" s="316" t="s">
        <v>2414</v>
      </c>
      <c r="B294" s="313">
        <v>39561</v>
      </c>
      <c r="C294" s="316" t="s">
        <v>2387</v>
      </c>
      <c r="D294" s="314">
        <v>5</v>
      </c>
      <c r="E294" s="314">
        <v>10</v>
      </c>
    </row>
    <row r="295" spans="1:5" x14ac:dyDescent="0.25">
      <c r="A295" s="316" t="s">
        <v>2432</v>
      </c>
      <c r="B295" s="313">
        <v>39561</v>
      </c>
      <c r="C295" s="316" t="s">
        <v>2387</v>
      </c>
      <c r="D295" s="314">
        <v>5</v>
      </c>
      <c r="E295" s="314">
        <v>10</v>
      </c>
    </row>
    <row r="296" spans="1:5" x14ac:dyDescent="0.25">
      <c r="A296" s="316" t="s">
        <v>2444</v>
      </c>
      <c r="B296" s="313">
        <v>39561</v>
      </c>
      <c r="C296" s="316" t="s">
        <v>2387</v>
      </c>
      <c r="D296" s="314">
        <v>5</v>
      </c>
      <c r="E296" s="314">
        <v>10</v>
      </c>
    </row>
    <row r="297" spans="1:5" x14ac:dyDescent="0.25">
      <c r="A297" s="316" t="s">
        <v>2380</v>
      </c>
      <c r="B297" s="313">
        <v>38644</v>
      </c>
      <c r="C297" s="316" t="s">
        <v>2381</v>
      </c>
      <c r="D297" s="314">
        <v>0</v>
      </c>
      <c r="E297" s="314">
        <v>5</v>
      </c>
    </row>
    <row r="298" spans="1:5" x14ac:dyDescent="0.25">
      <c r="A298" s="316" t="s">
        <v>2382</v>
      </c>
      <c r="B298" s="313">
        <v>38644</v>
      </c>
      <c r="C298" s="316" t="s">
        <v>2383</v>
      </c>
      <c r="D298" s="314">
        <v>0</v>
      </c>
      <c r="E298" s="314">
        <v>5</v>
      </c>
    </row>
    <row r="299" spans="1:5" x14ac:dyDescent="0.25">
      <c r="A299" s="316" t="s">
        <v>2384</v>
      </c>
      <c r="B299" s="313">
        <v>38644</v>
      </c>
      <c r="C299" s="316" t="s">
        <v>2385</v>
      </c>
      <c r="D299" s="314">
        <v>0</v>
      </c>
      <c r="E299" s="314">
        <v>5</v>
      </c>
    </row>
    <row r="300" spans="1:5" x14ac:dyDescent="0.25">
      <c r="A300" s="316" t="s">
        <v>2386</v>
      </c>
      <c r="B300" s="313">
        <v>38644</v>
      </c>
      <c r="C300" s="316" t="s">
        <v>2387</v>
      </c>
      <c r="D300" s="314">
        <v>0</v>
      </c>
      <c r="E300" s="314">
        <v>5</v>
      </c>
    </row>
    <row r="301" spans="1:5" x14ac:dyDescent="0.25">
      <c r="A301" s="316" t="s">
        <v>2388</v>
      </c>
      <c r="B301" s="313">
        <v>38644</v>
      </c>
      <c r="C301" s="316" t="s">
        <v>2389</v>
      </c>
      <c r="D301" s="314">
        <v>0</v>
      </c>
      <c r="E301" s="314">
        <v>5</v>
      </c>
    </row>
    <row r="302" spans="1:5" x14ac:dyDescent="0.25">
      <c r="A302" s="316" t="s">
        <v>2390</v>
      </c>
      <c r="B302" s="313">
        <v>38644</v>
      </c>
      <c r="C302" s="316" t="s">
        <v>2391</v>
      </c>
      <c r="D302" s="314">
        <v>0</v>
      </c>
      <c r="E302" s="314">
        <v>5</v>
      </c>
    </row>
    <row r="303" spans="1:5" x14ac:dyDescent="0.25">
      <c r="A303" s="316" t="s">
        <v>2392</v>
      </c>
      <c r="B303" s="313">
        <v>38644</v>
      </c>
      <c r="C303" s="316" t="s">
        <v>2393</v>
      </c>
      <c r="D303" s="314">
        <v>0</v>
      </c>
      <c r="E303" s="314">
        <v>5</v>
      </c>
    </row>
    <row r="304" spans="1:5" x14ac:dyDescent="0.25">
      <c r="A304" s="316" t="s">
        <v>2394</v>
      </c>
      <c r="B304" s="313">
        <v>38644</v>
      </c>
      <c r="C304" s="316" t="s">
        <v>2395</v>
      </c>
      <c r="D304" s="314">
        <v>0</v>
      </c>
      <c r="E304" s="314">
        <v>5</v>
      </c>
    </row>
    <row r="305" spans="1:5" x14ac:dyDescent="0.25">
      <c r="A305" s="316" t="s">
        <v>2396</v>
      </c>
      <c r="B305" s="313">
        <v>38644</v>
      </c>
      <c r="C305" s="316" t="s">
        <v>2397</v>
      </c>
      <c r="D305" s="314">
        <v>0</v>
      </c>
      <c r="E305" s="314">
        <v>5</v>
      </c>
    </row>
    <row r="306" spans="1:5" x14ac:dyDescent="0.25">
      <c r="A306" s="316" t="s">
        <v>2398</v>
      </c>
      <c r="B306" s="313">
        <v>38644</v>
      </c>
      <c r="C306" s="316" t="s">
        <v>2399</v>
      </c>
      <c r="D306" s="314">
        <v>0</v>
      </c>
      <c r="E306" s="314">
        <v>5</v>
      </c>
    </row>
    <row r="307" spans="1:5" x14ac:dyDescent="0.25">
      <c r="A307" s="316" t="s">
        <v>2400</v>
      </c>
      <c r="B307" s="313">
        <v>38644</v>
      </c>
      <c r="C307" s="316" t="s">
        <v>2401</v>
      </c>
      <c r="D307" s="314">
        <v>0</v>
      </c>
      <c r="E307" s="314">
        <v>5</v>
      </c>
    </row>
    <row r="308" spans="1:5" x14ac:dyDescent="0.25">
      <c r="A308" s="316" t="s">
        <v>2402</v>
      </c>
      <c r="B308" s="313">
        <v>38644</v>
      </c>
      <c r="C308" s="316" t="s">
        <v>2403</v>
      </c>
      <c r="D308" s="314">
        <v>0</v>
      </c>
      <c r="E308" s="314">
        <v>5</v>
      </c>
    </row>
    <row r="309" spans="1:5" x14ac:dyDescent="0.25">
      <c r="A309" s="316" t="s">
        <v>2404</v>
      </c>
      <c r="B309" s="313">
        <v>38644</v>
      </c>
      <c r="C309" s="316" t="s">
        <v>2405</v>
      </c>
      <c r="D309" s="314">
        <v>0</v>
      </c>
      <c r="E309" s="314">
        <v>5</v>
      </c>
    </row>
    <row r="310" spans="1:5" x14ac:dyDescent="0.25">
      <c r="A310" s="316" t="s">
        <v>2406</v>
      </c>
      <c r="B310" s="313">
        <v>38644</v>
      </c>
      <c r="C310" s="316" t="s">
        <v>2407</v>
      </c>
      <c r="D310" s="314">
        <v>0</v>
      </c>
      <c r="E310" s="314">
        <v>5</v>
      </c>
    </row>
    <row r="311" spans="1:5" x14ac:dyDescent="0.25">
      <c r="A311" s="316" t="s">
        <v>2408</v>
      </c>
      <c r="B311" s="313">
        <v>38644</v>
      </c>
      <c r="C311" s="316" t="s">
        <v>2409</v>
      </c>
      <c r="D311" s="314">
        <v>0</v>
      </c>
      <c r="E311" s="314">
        <v>5</v>
      </c>
    </row>
    <row r="312" spans="1:5" x14ac:dyDescent="0.25">
      <c r="A312" s="316" t="s">
        <v>2410</v>
      </c>
      <c r="B312" s="313">
        <v>38644</v>
      </c>
      <c r="C312" s="316" t="s">
        <v>2411</v>
      </c>
      <c r="D312" s="314">
        <v>0</v>
      </c>
      <c r="E312" s="314">
        <v>5</v>
      </c>
    </row>
    <row r="313" spans="1:5" x14ac:dyDescent="0.25">
      <c r="A313" s="316" t="s">
        <v>2412</v>
      </c>
      <c r="B313" s="313">
        <v>38644</v>
      </c>
      <c r="C313" s="316" t="s">
        <v>2381</v>
      </c>
      <c r="D313" s="314">
        <v>0</v>
      </c>
      <c r="E313" s="314">
        <v>5</v>
      </c>
    </row>
    <row r="314" spans="1:5" x14ac:dyDescent="0.25">
      <c r="A314" s="316" t="s">
        <v>2413</v>
      </c>
      <c r="B314" s="313">
        <v>38644</v>
      </c>
      <c r="C314" s="316" t="s">
        <v>2389</v>
      </c>
      <c r="D314" s="314">
        <v>0</v>
      </c>
      <c r="E314" s="314">
        <v>5</v>
      </c>
    </row>
    <row r="315" spans="1:5" x14ac:dyDescent="0.25">
      <c r="A315" s="316" t="s">
        <v>2414</v>
      </c>
      <c r="B315" s="313">
        <v>38644</v>
      </c>
      <c r="C315" s="316" t="s">
        <v>2387</v>
      </c>
      <c r="D315" s="314">
        <v>0</v>
      </c>
      <c r="E315" s="314">
        <v>5</v>
      </c>
    </row>
    <row r="316" spans="1:5" x14ac:dyDescent="0.25">
      <c r="A316" s="316" t="s">
        <v>2415</v>
      </c>
      <c r="B316" s="313">
        <v>38644</v>
      </c>
      <c r="C316" s="316" t="s">
        <v>2391</v>
      </c>
      <c r="D316" s="314">
        <v>0</v>
      </c>
      <c r="E316" s="314">
        <v>5</v>
      </c>
    </row>
    <row r="317" spans="1:5" x14ac:dyDescent="0.25">
      <c r="A317" s="316" t="s">
        <v>2416</v>
      </c>
      <c r="B317" s="313">
        <v>38644</v>
      </c>
      <c r="C317" s="316" t="s">
        <v>2393</v>
      </c>
      <c r="D317" s="314">
        <v>0</v>
      </c>
      <c r="E317" s="314">
        <v>5</v>
      </c>
    </row>
    <row r="318" spans="1:5" x14ac:dyDescent="0.25">
      <c r="A318" s="316" t="s">
        <v>2417</v>
      </c>
      <c r="B318" s="313">
        <v>38644</v>
      </c>
      <c r="C318" s="316" t="s">
        <v>2395</v>
      </c>
      <c r="D318" s="314">
        <v>0</v>
      </c>
      <c r="E318" s="314">
        <v>5</v>
      </c>
    </row>
    <row r="319" spans="1:5" x14ac:dyDescent="0.25">
      <c r="A319" s="316" t="s">
        <v>2418</v>
      </c>
      <c r="B319" s="313">
        <v>38644</v>
      </c>
      <c r="C319" s="316" t="s">
        <v>2385</v>
      </c>
      <c r="D319" s="314">
        <v>0</v>
      </c>
      <c r="E319" s="314">
        <v>5</v>
      </c>
    </row>
    <row r="320" spans="1:5" x14ac:dyDescent="0.25">
      <c r="A320" s="316" t="s">
        <v>2419</v>
      </c>
      <c r="B320" s="313">
        <v>38644</v>
      </c>
      <c r="C320" s="316" t="s">
        <v>2383</v>
      </c>
      <c r="D320" s="314">
        <v>0</v>
      </c>
      <c r="E320" s="314">
        <v>5</v>
      </c>
    </row>
    <row r="321" spans="1:5" x14ac:dyDescent="0.25">
      <c r="A321" s="316" t="s">
        <v>2420</v>
      </c>
      <c r="B321" s="313">
        <v>38644</v>
      </c>
      <c r="C321" s="316" t="s">
        <v>2411</v>
      </c>
      <c r="D321" s="314">
        <v>0</v>
      </c>
      <c r="E321" s="314">
        <v>5</v>
      </c>
    </row>
    <row r="322" spans="1:5" x14ac:dyDescent="0.25">
      <c r="A322" s="316" t="s">
        <v>2421</v>
      </c>
      <c r="B322" s="313">
        <v>38644</v>
      </c>
      <c r="C322" s="316" t="s">
        <v>2407</v>
      </c>
      <c r="D322" s="314">
        <v>0</v>
      </c>
      <c r="E322" s="314">
        <v>5</v>
      </c>
    </row>
    <row r="323" spans="1:5" x14ac:dyDescent="0.25">
      <c r="A323" s="316" t="s">
        <v>2422</v>
      </c>
      <c r="B323" s="313">
        <v>38644</v>
      </c>
      <c r="C323" s="316" t="s">
        <v>2409</v>
      </c>
      <c r="D323" s="314">
        <v>0</v>
      </c>
      <c r="E323" s="314">
        <v>5</v>
      </c>
    </row>
    <row r="324" spans="1:5" x14ac:dyDescent="0.25">
      <c r="A324" s="316" t="s">
        <v>2423</v>
      </c>
      <c r="B324" s="313">
        <v>38644</v>
      </c>
      <c r="C324" s="316" t="s">
        <v>2405</v>
      </c>
      <c r="D324" s="314">
        <v>0</v>
      </c>
      <c r="E324" s="314">
        <v>5</v>
      </c>
    </row>
    <row r="325" spans="1:5" x14ac:dyDescent="0.25">
      <c r="A325" s="316" t="s">
        <v>2424</v>
      </c>
      <c r="B325" s="313">
        <v>38644</v>
      </c>
      <c r="C325" s="316" t="s">
        <v>2403</v>
      </c>
      <c r="D325" s="314">
        <v>0</v>
      </c>
      <c r="E325" s="314">
        <v>5</v>
      </c>
    </row>
    <row r="326" spans="1:5" x14ac:dyDescent="0.25">
      <c r="A326" s="316" t="s">
        <v>2425</v>
      </c>
      <c r="B326" s="313">
        <v>38644</v>
      </c>
      <c r="C326" s="316" t="s">
        <v>2399</v>
      </c>
      <c r="D326" s="314">
        <v>0</v>
      </c>
      <c r="E326" s="314">
        <v>5</v>
      </c>
    </row>
    <row r="327" spans="1:5" x14ac:dyDescent="0.25">
      <c r="A327" s="316" t="s">
        <v>2426</v>
      </c>
      <c r="B327" s="313">
        <v>38644</v>
      </c>
      <c r="C327" s="316" t="s">
        <v>2397</v>
      </c>
      <c r="D327" s="314">
        <v>0</v>
      </c>
      <c r="E327" s="314">
        <v>5</v>
      </c>
    </row>
    <row r="328" spans="1:5" x14ac:dyDescent="0.25">
      <c r="A328" s="316" t="s">
        <v>2427</v>
      </c>
      <c r="B328" s="313">
        <v>38644</v>
      </c>
      <c r="C328" s="316" t="s">
        <v>2401</v>
      </c>
      <c r="D328" s="314">
        <v>0</v>
      </c>
      <c r="E328" s="314">
        <v>5</v>
      </c>
    </row>
    <row r="329" spans="1:5" x14ac:dyDescent="0.25">
      <c r="A329" s="316" t="s">
        <v>2428</v>
      </c>
      <c r="B329" s="313">
        <v>38645</v>
      </c>
      <c r="C329" s="316" t="s">
        <v>2389</v>
      </c>
      <c r="D329" s="314">
        <v>0</v>
      </c>
      <c r="E329" s="314">
        <v>5</v>
      </c>
    </row>
    <row r="330" spans="1:5" x14ac:dyDescent="0.25">
      <c r="A330" s="316" t="s">
        <v>2429</v>
      </c>
      <c r="B330" s="313">
        <v>38645</v>
      </c>
      <c r="C330" s="316" t="s">
        <v>2381</v>
      </c>
      <c r="D330" s="314">
        <v>0</v>
      </c>
      <c r="E330" s="314">
        <v>5</v>
      </c>
    </row>
    <row r="331" spans="1:5" x14ac:dyDescent="0.25">
      <c r="A331" s="316" t="s">
        <v>2430</v>
      </c>
      <c r="B331" s="313">
        <v>38645</v>
      </c>
      <c r="C331" s="316" t="s">
        <v>2395</v>
      </c>
      <c r="D331" s="314">
        <v>0</v>
      </c>
      <c r="E331" s="314">
        <v>5</v>
      </c>
    </row>
    <row r="332" spans="1:5" x14ac:dyDescent="0.25">
      <c r="A332" s="316" t="s">
        <v>2431</v>
      </c>
      <c r="B332" s="313">
        <v>38645</v>
      </c>
      <c r="C332" s="316" t="s">
        <v>2393</v>
      </c>
      <c r="D332" s="314">
        <v>0</v>
      </c>
      <c r="E332" s="314">
        <v>5</v>
      </c>
    </row>
    <row r="333" spans="1:5" x14ac:dyDescent="0.25">
      <c r="A333" s="316" t="s">
        <v>2432</v>
      </c>
      <c r="B333" s="313">
        <v>38645</v>
      </c>
      <c r="C333" s="316" t="s">
        <v>2387</v>
      </c>
      <c r="D333" s="314">
        <v>0</v>
      </c>
      <c r="E333" s="314">
        <v>5</v>
      </c>
    </row>
    <row r="334" spans="1:5" x14ac:dyDescent="0.25">
      <c r="A334" s="316" t="s">
        <v>2433</v>
      </c>
      <c r="B334" s="313">
        <v>38645</v>
      </c>
      <c r="C334" s="316" t="s">
        <v>2391</v>
      </c>
      <c r="D334" s="314">
        <v>0</v>
      </c>
      <c r="E334" s="314">
        <v>5</v>
      </c>
    </row>
    <row r="335" spans="1:5" x14ac:dyDescent="0.25">
      <c r="A335" s="316" t="s">
        <v>2434</v>
      </c>
      <c r="B335" s="313">
        <v>38645</v>
      </c>
      <c r="C335" s="316" t="s">
        <v>2383</v>
      </c>
      <c r="D335" s="314">
        <v>0</v>
      </c>
      <c r="E335" s="314">
        <v>5</v>
      </c>
    </row>
    <row r="336" spans="1:5" x14ac:dyDescent="0.25">
      <c r="A336" s="316" t="s">
        <v>2435</v>
      </c>
      <c r="B336" s="313">
        <v>38645</v>
      </c>
      <c r="C336" s="316" t="s">
        <v>2385</v>
      </c>
      <c r="D336" s="314">
        <v>0</v>
      </c>
      <c r="E336" s="314">
        <v>5</v>
      </c>
    </row>
    <row r="337" spans="1:5" x14ac:dyDescent="0.25">
      <c r="A337" s="316" t="s">
        <v>2436</v>
      </c>
      <c r="B337" s="313">
        <v>38645</v>
      </c>
      <c r="C337" s="316" t="s">
        <v>2407</v>
      </c>
      <c r="D337" s="314">
        <v>0</v>
      </c>
      <c r="E337" s="314">
        <v>5</v>
      </c>
    </row>
    <row r="338" spans="1:5" x14ac:dyDescent="0.25">
      <c r="A338" s="316" t="s">
        <v>2437</v>
      </c>
      <c r="B338" s="313">
        <v>38645</v>
      </c>
      <c r="C338" s="316" t="s">
        <v>2397</v>
      </c>
      <c r="D338" s="314">
        <v>0</v>
      </c>
      <c r="E338" s="314">
        <v>5</v>
      </c>
    </row>
    <row r="339" spans="1:5" x14ac:dyDescent="0.25">
      <c r="A339" s="316" t="s">
        <v>2438</v>
      </c>
      <c r="B339" s="313">
        <v>38645</v>
      </c>
      <c r="C339" s="316" t="s">
        <v>2401</v>
      </c>
      <c r="D339" s="314">
        <v>0</v>
      </c>
      <c r="E339" s="314">
        <v>5</v>
      </c>
    </row>
    <row r="340" spans="1:5" x14ac:dyDescent="0.25">
      <c r="A340" s="316" t="s">
        <v>2439</v>
      </c>
      <c r="B340" s="313">
        <v>38645</v>
      </c>
      <c r="C340" s="316" t="s">
        <v>2399</v>
      </c>
      <c r="D340" s="314">
        <v>0</v>
      </c>
      <c r="E340" s="314">
        <v>5</v>
      </c>
    </row>
    <row r="341" spans="1:5" x14ac:dyDescent="0.25">
      <c r="A341" s="316" t="s">
        <v>2440</v>
      </c>
      <c r="B341" s="313">
        <v>38645</v>
      </c>
      <c r="C341" s="316" t="s">
        <v>2411</v>
      </c>
      <c r="D341" s="314">
        <v>0</v>
      </c>
      <c r="E341" s="314">
        <v>5</v>
      </c>
    </row>
    <row r="342" spans="1:5" x14ac:dyDescent="0.25">
      <c r="A342" s="316" t="s">
        <v>2441</v>
      </c>
      <c r="B342" s="313">
        <v>38645</v>
      </c>
      <c r="C342" s="316" t="s">
        <v>2409</v>
      </c>
      <c r="D342" s="314">
        <v>0</v>
      </c>
      <c r="E342" s="314">
        <v>5</v>
      </c>
    </row>
    <row r="343" spans="1:5" x14ac:dyDescent="0.25">
      <c r="A343" s="316" t="s">
        <v>2442</v>
      </c>
      <c r="B343" s="313">
        <v>38645</v>
      </c>
      <c r="C343" s="316" t="s">
        <v>2403</v>
      </c>
      <c r="D343" s="314">
        <v>0</v>
      </c>
      <c r="E343" s="314">
        <v>5</v>
      </c>
    </row>
    <row r="344" spans="1:5" x14ac:dyDescent="0.25">
      <c r="A344" s="316" t="s">
        <v>2443</v>
      </c>
      <c r="B344" s="313">
        <v>38645</v>
      </c>
      <c r="C344" s="316" t="s">
        <v>2405</v>
      </c>
      <c r="D344" s="314">
        <v>0</v>
      </c>
      <c r="E344" s="314">
        <v>5</v>
      </c>
    </row>
    <row r="345" spans="1:5" x14ac:dyDescent="0.25">
      <c r="A345" s="316" t="s">
        <v>2444</v>
      </c>
      <c r="B345" s="313">
        <v>38645</v>
      </c>
      <c r="C345" s="316" t="s">
        <v>2387</v>
      </c>
      <c r="D345" s="314">
        <v>0</v>
      </c>
      <c r="E345" s="314">
        <v>5</v>
      </c>
    </row>
    <row r="346" spans="1:5" x14ac:dyDescent="0.25">
      <c r="A346" s="316" t="s">
        <v>2445</v>
      </c>
      <c r="B346" s="313">
        <v>38645</v>
      </c>
      <c r="C346" s="316" t="s">
        <v>2385</v>
      </c>
      <c r="D346" s="314">
        <v>0</v>
      </c>
      <c r="E346" s="314">
        <v>5</v>
      </c>
    </row>
    <row r="347" spans="1:5" x14ac:dyDescent="0.25">
      <c r="A347" s="316" t="s">
        <v>2446</v>
      </c>
      <c r="B347" s="313">
        <v>38645</v>
      </c>
      <c r="C347" s="316" t="s">
        <v>2391</v>
      </c>
      <c r="D347" s="314">
        <v>0</v>
      </c>
      <c r="E347" s="314">
        <v>5</v>
      </c>
    </row>
    <row r="348" spans="1:5" x14ac:dyDescent="0.25">
      <c r="A348" s="316" t="s">
        <v>2447</v>
      </c>
      <c r="B348" s="313">
        <v>38645</v>
      </c>
      <c r="C348" s="316" t="s">
        <v>2389</v>
      </c>
      <c r="D348" s="314">
        <v>0</v>
      </c>
      <c r="E348" s="314">
        <v>5</v>
      </c>
    </row>
    <row r="349" spans="1:5" x14ac:dyDescent="0.25">
      <c r="A349" s="316" t="s">
        <v>2448</v>
      </c>
      <c r="B349" s="313">
        <v>38645</v>
      </c>
      <c r="C349" s="316" t="s">
        <v>2381</v>
      </c>
      <c r="D349" s="314">
        <v>0</v>
      </c>
      <c r="E349" s="314">
        <v>5</v>
      </c>
    </row>
    <row r="350" spans="1:5" x14ac:dyDescent="0.25">
      <c r="A350" s="316" t="s">
        <v>2449</v>
      </c>
      <c r="B350" s="313">
        <v>38645</v>
      </c>
      <c r="C350" s="316" t="s">
        <v>2393</v>
      </c>
      <c r="D350" s="314">
        <v>0</v>
      </c>
      <c r="E350" s="314">
        <v>5</v>
      </c>
    </row>
    <row r="351" spans="1:5" x14ac:dyDescent="0.25">
      <c r="A351" s="316" t="s">
        <v>2450</v>
      </c>
      <c r="B351" s="313">
        <v>38645</v>
      </c>
      <c r="C351" s="316" t="s">
        <v>2383</v>
      </c>
      <c r="D351" s="314">
        <v>0</v>
      </c>
      <c r="E351" s="314">
        <v>5</v>
      </c>
    </row>
    <row r="352" spans="1:5" x14ac:dyDescent="0.25">
      <c r="A352" s="316" t="s">
        <v>2451</v>
      </c>
      <c r="B352" s="313">
        <v>38645</v>
      </c>
      <c r="C352" s="316" t="s">
        <v>2395</v>
      </c>
      <c r="D352" s="314">
        <v>0</v>
      </c>
      <c r="E352" s="314">
        <v>5</v>
      </c>
    </row>
    <row r="353" spans="1:5" x14ac:dyDescent="0.25">
      <c r="A353" s="316" t="s">
        <v>2452</v>
      </c>
      <c r="B353" s="313">
        <v>38645</v>
      </c>
      <c r="C353" s="316" t="s">
        <v>2397</v>
      </c>
      <c r="D353" s="314">
        <v>0</v>
      </c>
      <c r="E353" s="314">
        <v>5</v>
      </c>
    </row>
    <row r="354" spans="1:5" x14ac:dyDescent="0.25">
      <c r="A354" s="316" t="s">
        <v>2453</v>
      </c>
      <c r="B354" s="313">
        <v>38645</v>
      </c>
      <c r="C354" s="316" t="s">
        <v>2409</v>
      </c>
      <c r="D354" s="314">
        <v>0</v>
      </c>
      <c r="E354" s="314">
        <v>5</v>
      </c>
    </row>
    <row r="355" spans="1:5" x14ac:dyDescent="0.25">
      <c r="A355" s="316" t="s">
        <v>2454</v>
      </c>
      <c r="B355" s="313">
        <v>38645</v>
      </c>
      <c r="C355" s="316" t="s">
        <v>2399</v>
      </c>
      <c r="D355" s="314">
        <v>0</v>
      </c>
      <c r="E355" s="314">
        <v>5</v>
      </c>
    </row>
    <row r="356" spans="1:5" x14ac:dyDescent="0.25">
      <c r="A356" s="316" t="s">
        <v>2455</v>
      </c>
      <c r="B356" s="313">
        <v>38645</v>
      </c>
      <c r="C356" s="316" t="s">
        <v>2401</v>
      </c>
      <c r="D356" s="314">
        <v>0</v>
      </c>
      <c r="E356" s="314">
        <v>5</v>
      </c>
    </row>
    <row r="357" spans="1:5" x14ac:dyDescent="0.25">
      <c r="A357" s="316" t="s">
        <v>2456</v>
      </c>
      <c r="B357" s="313">
        <v>38645</v>
      </c>
      <c r="C357" s="316" t="s">
        <v>2407</v>
      </c>
      <c r="D357" s="314">
        <v>0</v>
      </c>
      <c r="E357" s="314">
        <v>5</v>
      </c>
    </row>
    <row r="358" spans="1:5" x14ac:dyDescent="0.25">
      <c r="A358" s="316" t="s">
        <v>2457</v>
      </c>
      <c r="B358" s="313">
        <v>38645</v>
      </c>
      <c r="C358" s="316" t="s">
        <v>2403</v>
      </c>
      <c r="D358" s="314">
        <v>0</v>
      </c>
      <c r="E358" s="314">
        <v>5</v>
      </c>
    </row>
    <row r="359" spans="1:5" x14ac:dyDescent="0.25">
      <c r="A359" s="316" t="s">
        <v>2458</v>
      </c>
      <c r="B359" s="313">
        <v>38645</v>
      </c>
      <c r="C359" s="316" t="s">
        <v>2411</v>
      </c>
      <c r="D359" s="314">
        <v>0</v>
      </c>
      <c r="E359" s="314">
        <v>5</v>
      </c>
    </row>
    <row r="360" spans="1:5" x14ac:dyDescent="0.25">
      <c r="A360" s="316" t="s">
        <v>2459</v>
      </c>
      <c r="B360" s="313">
        <v>38645</v>
      </c>
      <c r="C360" s="316" t="s">
        <v>2405</v>
      </c>
      <c r="D360" s="314">
        <v>0</v>
      </c>
      <c r="E360" s="314">
        <v>5</v>
      </c>
    </row>
    <row r="361" spans="1:5" x14ac:dyDescent="0.25">
      <c r="A361" s="316" t="s">
        <v>2460</v>
      </c>
      <c r="B361" s="313">
        <v>38622</v>
      </c>
      <c r="C361" s="316" t="s">
        <v>2461</v>
      </c>
      <c r="D361" s="314">
        <v>0</v>
      </c>
      <c r="E361" s="314">
        <v>5</v>
      </c>
    </row>
    <row r="362" spans="1:5" x14ac:dyDescent="0.25">
      <c r="A362" s="316" t="s">
        <v>2462</v>
      </c>
      <c r="B362" s="313">
        <v>38622</v>
      </c>
      <c r="C362" s="316" t="s">
        <v>2463</v>
      </c>
      <c r="D362" s="314">
        <v>0</v>
      </c>
      <c r="E362" s="314">
        <v>5</v>
      </c>
    </row>
    <row r="363" spans="1:5" x14ac:dyDescent="0.25">
      <c r="A363" s="316" t="s">
        <v>2464</v>
      </c>
      <c r="B363" s="313">
        <v>38622</v>
      </c>
      <c r="C363" s="316" t="s">
        <v>2465</v>
      </c>
      <c r="D363" s="314">
        <v>0</v>
      </c>
      <c r="E363" s="314">
        <v>5</v>
      </c>
    </row>
    <row r="364" spans="1:5" x14ac:dyDescent="0.25">
      <c r="A364" s="316" t="s">
        <v>2466</v>
      </c>
      <c r="B364" s="313">
        <v>38622</v>
      </c>
      <c r="C364" s="316" t="s">
        <v>2467</v>
      </c>
      <c r="D364" s="314">
        <v>0</v>
      </c>
      <c r="E364" s="314">
        <v>5</v>
      </c>
    </row>
    <row r="365" spans="1:5" x14ac:dyDescent="0.25">
      <c r="A365" s="316" t="s">
        <v>2468</v>
      </c>
      <c r="B365" s="313">
        <v>38622</v>
      </c>
      <c r="C365" s="316" t="s">
        <v>2469</v>
      </c>
      <c r="D365" s="314">
        <v>0</v>
      </c>
      <c r="E365" s="314">
        <v>5</v>
      </c>
    </row>
    <row r="366" spans="1:5" x14ac:dyDescent="0.25">
      <c r="A366" s="316" t="s">
        <v>2470</v>
      </c>
      <c r="B366" s="313">
        <v>38622</v>
      </c>
      <c r="C366" s="316" t="s">
        <v>2471</v>
      </c>
      <c r="D366" s="314">
        <v>0</v>
      </c>
      <c r="E366" s="314">
        <v>5</v>
      </c>
    </row>
    <row r="367" spans="1:5" x14ac:dyDescent="0.25">
      <c r="A367" s="316" t="s">
        <v>2472</v>
      </c>
      <c r="B367" s="313">
        <v>38622</v>
      </c>
      <c r="C367" s="316" t="s">
        <v>2473</v>
      </c>
      <c r="D367" s="314">
        <v>0</v>
      </c>
      <c r="E367" s="314">
        <v>5</v>
      </c>
    </row>
    <row r="368" spans="1:5" x14ac:dyDescent="0.25">
      <c r="A368" s="316" t="s">
        <v>2474</v>
      </c>
      <c r="B368" s="313">
        <v>38622</v>
      </c>
      <c r="C368" s="316" t="s">
        <v>2475</v>
      </c>
      <c r="D368" s="314">
        <v>0</v>
      </c>
      <c r="E368" s="314">
        <v>5</v>
      </c>
    </row>
    <row r="369" spans="1:5" x14ac:dyDescent="0.25">
      <c r="A369" s="316" t="s">
        <v>2476</v>
      </c>
      <c r="B369" s="313">
        <v>38622</v>
      </c>
      <c r="C369" s="316" t="s">
        <v>2471</v>
      </c>
      <c r="D369" s="314">
        <v>0</v>
      </c>
      <c r="E369" s="314">
        <v>5</v>
      </c>
    </row>
    <row r="370" spans="1:5" x14ac:dyDescent="0.25">
      <c r="A370" s="316" t="s">
        <v>2477</v>
      </c>
      <c r="B370" s="313">
        <v>38622</v>
      </c>
      <c r="C370" s="316" t="s">
        <v>2463</v>
      </c>
      <c r="D370" s="314">
        <v>0</v>
      </c>
      <c r="E370" s="314">
        <v>5</v>
      </c>
    </row>
    <row r="371" spans="1:5" x14ac:dyDescent="0.25">
      <c r="A371" s="316" t="s">
        <v>2478</v>
      </c>
      <c r="B371" s="313">
        <v>38622</v>
      </c>
      <c r="C371" s="316" t="s">
        <v>2465</v>
      </c>
      <c r="D371" s="314">
        <v>0</v>
      </c>
      <c r="E371" s="314">
        <v>5</v>
      </c>
    </row>
    <row r="372" spans="1:5" x14ac:dyDescent="0.25">
      <c r="A372" s="316" t="s">
        <v>2479</v>
      </c>
      <c r="B372" s="313">
        <v>38622</v>
      </c>
      <c r="C372" s="316" t="s">
        <v>2469</v>
      </c>
      <c r="D372" s="314">
        <v>0</v>
      </c>
      <c r="E372" s="314">
        <v>5</v>
      </c>
    </row>
    <row r="373" spans="1:5" x14ac:dyDescent="0.25">
      <c r="A373" s="316" t="s">
        <v>2480</v>
      </c>
      <c r="B373" s="313">
        <v>38622</v>
      </c>
      <c r="C373" s="316" t="s">
        <v>2467</v>
      </c>
      <c r="D373" s="314">
        <v>0</v>
      </c>
      <c r="E373" s="314">
        <v>5</v>
      </c>
    </row>
    <row r="374" spans="1:5" x14ac:dyDescent="0.25">
      <c r="A374" s="316" t="s">
        <v>2481</v>
      </c>
      <c r="B374" s="313">
        <v>38622</v>
      </c>
      <c r="C374" s="316" t="s">
        <v>2473</v>
      </c>
      <c r="D374" s="314">
        <v>0</v>
      </c>
      <c r="E374" s="314">
        <v>5</v>
      </c>
    </row>
    <row r="375" spans="1:5" x14ac:dyDescent="0.25">
      <c r="A375" s="316" t="s">
        <v>2482</v>
      </c>
      <c r="B375" s="313">
        <v>38622</v>
      </c>
      <c r="C375" s="316" t="s">
        <v>2461</v>
      </c>
      <c r="D375" s="314">
        <v>0</v>
      </c>
      <c r="E375" s="314">
        <v>5</v>
      </c>
    </row>
    <row r="376" spans="1:5" x14ac:dyDescent="0.25">
      <c r="A376" s="316" t="s">
        <v>2483</v>
      </c>
      <c r="B376" s="313">
        <v>38622</v>
      </c>
      <c r="C376" s="316" t="s">
        <v>2475</v>
      </c>
      <c r="D376" s="314">
        <v>0</v>
      </c>
      <c r="E376" s="314">
        <v>5</v>
      </c>
    </row>
    <row r="377" spans="1:5" x14ac:dyDescent="0.25">
      <c r="A377" s="316" t="s">
        <v>2484</v>
      </c>
      <c r="B377" s="313">
        <v>38622</v>
      </c>
      <c r="C377" s="316" t="s">
        <v>2465</v>
      </c>
      <c r="D377" s="314">
        <v>0</v>
      </c>
      <c r="E377" s="314">
        <v>5</v>
      </c>
    </row>
    <row r="378" spans="1:5" x14ac:dyDescent="0.25">
      <c r="A378" s="316" t="s">
        <v>2485</v>
      </c>
      <c r="B378" s="313">
        <v>38622</v>
      </c>
      <c r="C378" s="316" t="s">
        <v>2463</v>
      </c>
      <c r="D378" s="314">
        <v>0</v>
      </c>
      <c r="E378" s="314">
        <v>5</v>
      </c>
    </row>
    <row r="379" spans="1:5" x14ac:dyDescent="0.25">
      <c r="A379" s="316" t="s">
        <v>2486</v>
      </c>
      <c r="B379" s="313">
        <v>38622</v>
      </c>
      <c r="C379" s="316" t="s">
        <v>2469</v>
      </c>
      <c r="D379" s="314">
        <v>0</v>
      </c>
      <c r="E379" s="314">
        <v>5</v>
      </c>
    </row>
    <row r="380" spans="1:5" x14ac:dyDescent="0.25">
      <c r="A380" s="316" t="s">
        <v>2487</v>
      </c>
      <c r="B380" s="313">
        <v>38622</v>
      </c>
      <c r="C380" s="316" t="s">
        <v>2475</v>
      </c>
      <c r="D380" s="314">
        <v>0</v>
      </c>
      <c r="E380" s="314">
        <v>5</v>
      </c>
    </row>
    <row r="381" spans="1:5" x14ac:dyDescent="0.25">
      <c r="A381" s="316" t="s">
        <v>2488</v>
      </c>
      <c r="B381" s="313">
        <v>38622</v>
      </c>
      <c r="C381" s="316" t="s">
        <v>2461</v>
      </c>
      <c r="D381" s="314">
        <v>0</v>
      </c>
      <c r="E381" s="314">
        <v>5</v>
      </c>
    </row>
    <row r="382" spans="1:5" x14ac:dyDescent="0.25">
      <c r="A382" s="316" t="s">
        <v>2489</v>
      </c>
      <c r="B382" s="313">
        <v>38622</v>
      </c>
      <c r="C382" s="316" t="s">
        <v>2473</v>
      </c>
      <c r="D382" s="314">
        <v>0</v>
      </c>
      <c r="E382" s="314">
        <v>5</v>
      </c>
    </row>
    <row r="383" spans="1:5" x14ac:dyDescent="0.25">
      <c r="A383" s="316" t="s">
        <v>2490</v>
      </c>
      <c r="B383" s="313">
        <v>38622</v>
      </c>
      <c r="C383" s="316" t="s">
        <v>2467</v>
      </c>
      <c r="D383" s="314">
        <v>0</v>
      </c>
      <c r="E383" s="314">
        <v>5</v>
      </c>
    </row>
    <row r="384" spans="1:5" x14ac:dyDescent="0.25">
      <c r="A384" s="316" t="s">
        <v>2491</v>
      </c>
      <c r="B384" s="313">
        <v>38622</v>
      </c>
      <c r="C384" s="316" t="s">
        <v>2471</v>
      </c>
      <c r="D384" s="314">
        <v>0</v>
      </c>
      <c r="E384" s="314">
        <v>5</v>
      </c>
    </row>
    <row r="385" spans="1:5" x14ac:dyDescent="0.25">
      <c r="A385" s="316" t="s">
        <v>2492</v>
      </c>
      <c r="B385" s="313">
        <v>38622</v>
      </c>
      <c r="C385" s="316" t="s">
        <v>2471</v>
      </c>
      <c r="D385" s="314">
        <v>0</v>
      </c>
      <c r="E385" s="314">
        <v>5</v>
      </c>
    </row>
    <row r="386" spans="1:5" x14ac:dyDescent="0.25">
      <c r="A386" s="316" t="s">
        <v>2493</v>
      </c>
      <c r="B386" s="313">
        <v>38622</v>
      </c>
      <c r="C386" s="316" t="s">
        <v>2469</v>
      </c>
      <c r="D386" s="314">
        <v>0</v>
      </c>
      <c r="E386" s="314">
        <v>5</v>
      </c>
    </row>
    <row r="387" spans="1:5" x14ac:dyDescent="0.25">
      <c r="A387" s="316" t="s">
        <v>2494</v>
      </c>
      <c r="B387" s="313">
        <v>38622</v>
      </c>
      <c r="C387" s="316" t="s">
        <v>2465</v>
      </c>
      <c r="D387" s="314">
        <v>0</v>
      </c>
      <c r="E387" s="314">
        <v>5</v>
      </c>
    </row>
    <row r="388" spans="1:5" x14ac:dyDescent="0.25">
      <c r="A388" s="316" t="s">
        <v>2495</v>
      </c>
      <c r="B388" s="313">
        <v>38622</v>
      </c>
      <c r="C388" s="316" t="s">
        <v>2475</v>
      </c>
      <c r="D388" s="314">
        <v>0</v>
      </c>
      <c r="E388" s="314">
        <v>5</v>
      </c>
    </row>
    <row r="389" spans="1:5" x14ac:dyDescent="0.25">
      <c r="A389" s="316" t="s">
        <v>2496</v>
      </c>
      <c r="B389" s="313">
        <v>38622</v>
      </c>
      <c r="C389" s="316" t="s">
        <v>2463</v>
      </c>
      <c r="D389" s="314">
        <v>0</v>
      </c>
      <c r="E389" s="314">
        <v>5</v>
      </c>
    </row>
    <row r="390" spans="1:5" x14ac:dyDescent="0.25">
      <c r="A390" s="316" t="s">
        <v>2497</v>
      </c>
      <c r="B390" s="313">
        <v>38622</v>
      </c>
      <c r="C390" s="316" t="s">
        <v>2473</v>
      </c>
      <c r="D390" s="314">
        <v>0</v>
      </c>
      <c r="E390" s="314">
        <v>5</v>
      </c>
    </row>
    <row r="391" spans="1:5" x14ac:dyDescent="0.25">
      <c r="A391" s="316" t="s">
        <v>2382</v>
      </c>
      <c r="B391" s="313">
        <v>38644</v>
      </c>
      <c r="C391" s="316" t="s">
        <v>2383</v>
      </c>
      <c r="D391" s="314">
        <v>5</v>
      </c>
      <c r="E391" s="314">
        <v>10</v>
      </c>
    </row>
    <row r="392" spans="1:5" x14ac:dyDescent="0.25">
      <c r="A392" s="316" t="s">
        <v>2384</v>
      </c>
      <c r="B392" s="313">
        <v>38644</v>
      </c>
      <c r="C392" s="316" t="s">
        <v>2385</v>
      </c>
      <c r="D392" s="314">
        <v>5</v>
      </c>
      <c r="E392" s="314">
        <v>10</v>
      </c>
    </row>
    <row r="393" spans="1:5" x14ac:dyDescent="0.25">
      <c r="A393" s="316" t="s">
        <v>2386</v>
      </c>
      <c r="B393" s="313">
        <v>38644</v>
      </c>
      <c r="C393" s="316" t="s">
        <v>2387</v>
      </c>
      <c r="D393" s="314">
        <v>5</v>
      </c>
      <c r="E393" s="314">
        <v>10</v>
      </c>
    </row>
    <row r="394" spans="1:5" x14ac:dyDescent="0.25">
      <c r="A394" s="316" t="s">
        <v>2388</v>
      </c>
      <c r="B394" s="313">
        <v>38644</v>
      </c>
      <c r="C394" s="316" t="s">
        <v>2389</v>
      </c>
      <c r="D394" s="314">
        <v>5</v>
      </c>
      <c r="E394" s="314">
        <v>10</v>
      </c>
    </row>
    <row r="395" spans="1:5" x14ac:dyDescent="0.25">
      <c r="A395" s="316" t="s">
        <v>2390</v>
      </c>
      <c r="B395" s="313">
        <v>38644</v>
      </c>
      <c r="C395" s="316" t="s">
        <v>2391</v>
      </c>
      <c r="D395" s="314">
        <v>5</v>
      </c>
      <c r="E395" s="314">
        <v>10</v>
      </c>
    </row>
    <row r="396" spans="1:5" x14ac:dyDescent="0.25">
      <c r="A396" s="316" t="s">
        <v>2392</v>
      </c>
      <c r="B396" s="313">
        <v>38644</v>
      </c>
      <c r="C396" s="316" t="s">
        <v>2393</v>
      </c>
      <c r="D396" s="314">
        <v>5</v>
      </c>
      <c r="E396" s="314">
        <v>10</v>
      </c>
    </row>
    <row r="397" spans="1:5" x14ac:dyDescent="0.25">
      <c r="A397" s="316" t="s">
        <v>2394</v>
      </c>
      <c r="B397" s="313">
        <v>38644</v>
      </c>
      <c r="C397" s="316" t="s">
        <v>2395</v>
      </c>
      <c r="D397" s="314">
        <v>5</v>
      </c>
      <c r="E397" s="314">
        <v>10</v>
      </c>
    </row>
    <row r="398" spans="1:5" x14ac:dyDescent="0.25">
      <c r="A398" s="316" t="s">
        <v>2396</v>
      </c>
      <c r="B398" s="313">
        <v>38644</v>
      </c>
      <c r="C398" s="316" t="s">
        <v>2397</v>
      </c>
      <c r="D398" s="314">
        <v>5</v>
      </c>
      <c r="E398" s="314">
        <v>10</v>
      </c>
    </row>
    <row r="399" spans="1:5" x14ac:dyDescent="0.25">
      <c r="A399" s="316" t="s">
        <v>2398</v>
      </c>
      <c r="B399" s="313">
        <v>38644</v>
      </c>
      <c r="C399" s="316" t="s">
        <v>2399</v>
      </c>
      <c r="D399" s="314">
        <v>5</v>
      </c>
      <c r="E399" s="314">
        <v>10</v>
      </c>
    </row>
    <row r="400" spans="1:5" x14ac:dyDescent="0.25">
      <c r="A400" s="316" t="s">
        <v>2400</v>
      </c>
      <c r="B400" s="313">
        <v>38644</v>
      </c>
      <c r="C400" s="316" t="s">
        <v>2401</v>
      </c>
      <c r="D400" s="314">
        <v>5</v>
      </c>
      <c r="E400" s="314">
        <v>10</v>
      </c>
    </row>
    <row r="401" spans="1:5" x14ac:dyDescent="0.25">
      <c r="A401" s="316" t="s">
        <v>2402</v>
      </c>
      <c r="B401" s="313">
        <v>38644</v>
      </c>
      <c r="C401" s="316" t="s">
        <v>2403</v>
      </c>
      <c r="D401" s="314">
        <v>5</v>
      </c>
      <c r="E401" s="314">
        <v>10</v>
      </c>
    </row>
    <row r="402" spans="1:5" x14ac:dyDescent="0.25">
      <c r="A402" s="316" t="s">
        <v>2404</v>
      </c>
      <c r="B402" s="313">
        <v>38644</v>
      </c>
      <c r="C402" s="316" t="s">
        <v>2405</v>
      </c>
      <c r="D402" s="314">
        <v>5</v>
      </c>
      <c r="E402" s="314">
        <v>10</v>
      </c>
    </row>
    <row r="403" spans="1:5" x14ac:dyDescent="0.25">
      <c r="A403" s="316" t="s">
        <v>2406</v>
      </c>
      <c r="B403" s="313">
        <v>38644</v>
      </c>
      <c r="C403" s="316" t="s">
        <v>2407</v>
      </c>
      <c r="D403" s="314">
        <v>5</v>
      </c>
      <c r="E403" s="314">
        <v>10</v>
      </c>
    </row>
    <row r="404" spans="1:5" x14ac:dyDescent="0.25">
      <c r="A404" s="316" t="s">
        <v>2408</v>
      </c>
      <c r="B404" s="313">
        <v>38644</v>
      </c>
      <c r="C404" s="316" t="s">
        <v>2409</v>
      </c>
      <c r="D404" s="314">
        <v>5</v>
      </c>
      <c r="E404" s="314">
        <v>10</v>
      </c>
    </row>
    <row r="405" spans="1:5" x14ac:dyDescent="0.25">
      <c r="A405" s="316" t="s">
        <v>2410</v>
      </c>
      <c r="B405" s="313">
        <v>38644</v>
      </c>
      <c r="C405" s="316" t="s">
        <v>2411</v>
      </c>
      <c r="D405" s="314">
        <v>5</v>
      </c>
      <c r="E405" s="314">
        <v>10</v>
      </c>
    </row>
    <row r="406" spans="1:5" x14ac:dyDescent="0.25">
      <c r="A406" s="316" t="s">
        <v>2412</v>
      </c>
      <c r="B406" s="313">
        <v>38644</v>
      </c>
      <c r="C406" s="316" t="s">
        <v>2381</v>
      </c>
      <c r="D406" s="314">
        <v>5</v>
      </c>
      <c r="E406" s="314">
        <v>10</v>
      </c>
    </row>
    <row r="407" spans="1:5" x14ac:dyDescent="0.25">
      <c r="A407" s="316" t="s">
        <v>2413</v>
      </c>
      <c r="B407" s="313">
        <v>38644</v>
      </c>
      <c r="C407" s="316" t="s">
        <v>2389</v>
      </c>
      <c r="D407" s="314">
        <v>5</v>
      </c>
      <c r="E407" s="314">
        <v>10</v>
      </c>
    </row>
    <row r="408" spans="1:5" x14ac:dyDescent="0.25">
      <c r="A408" s="316" t="s">
        <v>2414</v>
      </c>
      <c r="B408" s="313">
        <v>38644</v>
      </c>
      <c r="C408" s="316" t="s">
        <v>2387</v>
      </c>
      <c r="D408" s="314">
        <v>5</v>
      </c>
      <c r="E408" s="314">
        <v>10</v>
      </c>
    </row>
    <row r="409" spans="1:5" x14ac:dyDescent="0.25">
      <c r="A409" s="316" t="s">
        <v>2415</v>
      </c>
      <c r="B409" s="313">
        <v>38644</v>
      </c>
      <c r="C409" s="316" t="s">
        <v>2391</v>
      </c>
      <c r="D409" s="314">
        <v>5</v>
      </c>
      <c r="E409" s="314">
        <v>10</v>
      </c>
    </row>
    <row r="410" spans="1:5" x14ac:dyDescent="0.25">
      <c r="A410" s="316" t="s">
        <v>2416</v>
      </c>
      <c r="B410" s="313">
        <v>38644</v>
      </c>
      <c r="C410" s="316" t="s">
        <v>2393</v>
      </c>
      <c r="D410" s="314">
        <v>5</v>
      </c>
      <c r="E410" s="314">
        <v>10</v>
      </c>
    </row>
    <row r="411" spans="1:5" x14ac:dyDescent="0.25">
      <c r="A411" s="316" t="s">
        <v>2417</v>
      </c>
      <c r="B411" s="313">
        <v>38644</v>
      </c>
      <c r="C411" s="316" t="s">
        <v>2395</v>
      </c>
      <c r="D411" s="314">
        <v>5</v>
      </c>
      <c r="E411" s="314">
        <v>10</v>
      </c>
    </row>
    <row r="412" spans="1:5" x14ac:dyDescent="0.25">
      <c r="A412" s="316" t="s">
        <v>2418</v>
      </c>
      <c r="B412" s="313">
        <v>38644</v>
      </c>
      <c r="C412" s="316" t="s">
        <v>2385</v>
      </c>
      <c r="D412" s="314">
        <v>5</v>
      </c>
      <c r="E412" s="314">
        <v>10</v>
      </c>
    </row>
    <row r="413" spans="1:5" x14ac:dyDescent="0.25">
      <c r="A413" s="316" t="s">
        <v>2419</v>
      </c>
      <c r="B413" s="313">
        <v>38644</v>
      </c>
      <c r="C413" s="316" t="s">
        <v>2383</v>
      </c>
      <c r="D413" s="314">
        <v>5</v>
      </c>
      <c r="E413" s="314">
        <v>10</v>
      </c>
    </row>
    <row r="414" spans="1:5" x14ac:dyDescent="0.25">
      <c r="A414" s="316" t="s">
        <v>2420</v>
      </c>
      <c r="B414" s="313">
        <v>38644</v>
      </c>
      <c r="C414" s="316" t="s">
        <v>2411</v>
      </c>
      <c r="D414" s="314">
        <v>5</v>
      </c>
      <c r="E414" s="314">
        <v>10</v>
      </c>
    </row>
    <row r="415" spans="1:5" x14ac:dyDescent="0.25">
      <c r="A415" s="316" t="s">
        <v>2421</v>
      </c>
      <c r="B415" s="313">
        <v>38644</v>
      </c>
      <c r="C415" s="316" t="s">
        <v>2407</v>
      </c>
      <c r="D415" s="314">
        <v>5</v>
      </c>
      <c r="E415" s="314">
        <v>10</v>
      </c>
    </row>
    <row r="416" spans="1:5" x14ac:dyDescent="0.25">
      <c r="A416" s="316" t="s">
        <v>2422</v>
      </c>
      <c r="B416" s="313">
        <v>38644</v>
      </c>
      <c r="C416" s="316" t="s">
        <v>2409</v>
      </c>
      <c r="D416" s="314">
        <v>5</v>
      </c>
      <c r="E416" s="314">
        <v>10</v>
      </c>
    </row>
    <row r="417" spans="1:8" x14ac:dyDescent="0.25">
      <c r="A417" s="316" t="s">
        <v>2423</v>
      </c>
      <c r="B417" s="313">
        <v>38644</v>
      </c>
      <c r="C417" s="316" t="s">
        <v>2405</v>
      </c>
      <c r="D417" s="314">
        <v>5</v>
      </c>
      <c r="E417" s="314">
        <v>10</v>
      </c>
    </row>
    <row r="418" spans="1:8" x14ac:dyDescent="0.25">
      <c r="A418" s="316" t="s">
        <v>2424</v>
      </c>
      <c r="B418" s="313">
        <v>38644</v>
      </c>
      <c r="C418" s="316" t="s">
        <v>2403</v>
      </c>
      <c r="D418" s="314">
        <v>5</v>
      </c>
      <c r="E418" s="314">
        <v>10</v>
      </c>
    </row>
    <row r="419" spans="1:8" x14ac:dyDescent="0.25">
      <c r="A419" s="316" t="s">
        <v>2425</v>
      </c>
      <c r="B419" s="313">
        <v>38644</v>
      </c>
      <c r="C419" s="316" t="s">
        <v>2399</v>
      </c>
      <c r="D419" s="314">
        <v>5</v>
      </c>
      <c r="E419" s="314">
        <v>10</v>
      </c>
    </row>
    <row r="420" spans="1:8" x14ac:dyDescent="0.25">
      <c r="A420" s="316" t="s">
        <v>2426</v>
      </c>
      <c r="B420" s="313">
        <v>38644</v>
      </c>
      <c r="C420" s="316" t="s">
        <v>2397</v>
      </c>
      <c r="D420" s="314">
        <v>5</v>
      </c>
      <c r="E420" s="314">
        <v>10</v>
      </c>
      <c r="H420" s="314">
        <v>0</v>
      </c>
    </row>
    <row r="421" spans="1:8" x14ac:dyDescent="0.25">
      <c r="A421" s="316" t="s">
        <v>2427</v>
      </c>
      <c r="B421" s="313">
        <v>38644</v>
      </c>
      <c r="C421" s="316" t="s">
        <v>2401</v>
      </c>
      <c r="D421" s="314">
        <v>5</v>
      </c>
      <c r="E421" s="314">
        <v>10</v>
      </c>
      <c r="H421" s="314">
        <v>1.556</v>
      </c>
    </row>
    <row r="422" spans="1:8" x14ac:dyDescent="0.25">
      <c r="A422" s="316" t="s">
        <v>2428</v>
      </c>
      <c r="B422" s="313">
        <v>38645</v>
      </c>
      <c r="C422" s="316" t="s">
        <v>2389</v>
      </c>
      <c r="D422" s="314">
        <v>5</v>
      </c>
      <c r="E422" s="314">
        <v>10</v>
      </c>
      <c r="H422" s="314">
        <v>0</v>
      </c>
    </row>
    <row r="423" spans="1:8" x14ac:dyDescent="0.25">
      <c r="A423" s="316" t="s">
        <v>2429</v>
      </c>
      <c r="B423" s="313">
        <v>38645</v>
      </c>
      <c r="C423" s="316" t="s">
        <v>2381</v>
      </c>
      <c r="D423" s="314">
        <v>5</v>
      </c>
      <c r="E423" s="314">
        <v>10</v>
      </c>
      <c r="H423" s="314">
        <v>0</v>
      </c>
    </row>
    <row r="424" spans="1:8" x14ac:dyDescent="0.25">
      <c r="A424" s="316" t="s">
        <v>2430</v>
      </c>
      <c r="B424" s="313">
        <v>38645</v>
      </c>
      <c r="C424" s="316" t="s">
        <v>2395</v>
      </c>
      <c r="D424" s="314">
        <v>5</v>
      </c>
      <c r="E424" s="314">
        <v>10</v>
      </c>
      <c r="H424" s="314">
        <v>0</v>
      </c>
    </row>
    <row r="425" spans="1:8" x14ac:dyDescent="0.25">
      <c r="A425" s="316" t="s">
        <v>2431</v>
      </c>
      <c r="B425" s="313">
        <v>38645</v>
      </c>
      <c r="C425" s="316" t="s">
        <v>2393</v>
      </c>
      <c r="D425" s="314">
        <v>5</v>
      </c>
      <c r="E425" s="314">
        <v>10</v>
      </c>
      <c r="H425" s="314">
        <v>0</v>
      </c>
    </row>
    <row r="426" spans="1:8" x14ac:dyDescent="0.25">
      <c r="A426" s="316" t="s">
        <v>2432</v>
      </c>
      <c r="B426" s="313">
        <v>38645</v>
      </c>
      <c r="C426" s="316" t="s">
        <v>2387</v>
      </c>
      <c r="D426" s="314">
        <v>5</v>
      </c>
      <c r="E426" s="314">
        <v>10</v>
      </c>
      <c r="H426" s="314">
        <v>0</v>
      </c>
    </row>
    <row r="427" spans="1:8" x14ac:dyDescent="0.25">
      <c r="A427" s="316" t="s">
        <v>2433</v>
      </c>
      <c r="B427" s="313">
        <v>38645</v>
      </c>
      <c r="C427" s="316" t="s">
        <v>2391</v>
      </c>
      <c r="D427" s="314">
        <v>5</v>
      </c>
      <c r="E427" s="314">
        <v>10</v>
      </c>
      <c r="H427" s="314">
        <v>0</v>
      </c>
    </row>
    <row r="428" spans="1:8" x14ac:dyDescent="0.25">
      <c r="A428" s="316" t="s">
        <v>2434</v>
      </c>
      <c r="B428" s="313">
        <v>38645</v>
      </c>
      <c r="C428" s="316" t="s">
        <v>2383</v>
      </c>
      <c r="D428" s="314">
        <v>5</v>
      </c>
      <c r="E428" s="314">
        <v>10</v>
      </c>
      <c r="H428" s="314">
        <v>0.95399999999999996</v>
      </c>
    </row>
    <row r="429" spans="1:8" x14ac:dyDescent="0.25">
      <c r="A429" s="316" t="s">
        <v>2435</v>
      </c>
      <c r="B429" s="313">
        <v>38645</v>
      </c>
      <c r="C429" s="316" t="s">
        <v>2385</v>
      </c>
      <c r="D429" s="314">
        <v>5</v>
      </c>
      <c r="E429" s="314">
        <v>10</v>
      </c>
      <c r="H429" s="314">
        <v>0</v>
      </c>
    </row>
    <row r="430" spans="1:8" x14ac:dyDescent="0.25">
      <c r="A430" s="316" t="s">
        <v>2436</v>
      </c>
      <c r="B430" s="313">
        <v>38645</v>
      </c>
      <c r="C430" s="316" t="s">
        <v>2407</v>
      </c>
      <c r="D430" s="314">
        <v>5</v>
      </c>
      <c r="E430" s="314">
        <v>10</v>
      </c>
      <c r="H430" s="314">
        <v>0</v>
      </c>
    </row>
    <row r="431" spans="1:8" x14ac:dyDescent="0.25">
      <c r="A431" s="316" t="s">
        <v>2437</v>
      </c>
      <c r="B431" s="313">
        <v>38645</v>
      </c>
      <c r="C431" s="316" t="s">
        <v>2397</v>
      </c>
      <c r="D431" s="314">
        <v>5</v>
      </c>
      <c r="E431" s="314">
        <v>10</v>
      </c>
      <c r="H431" s="314">
        <v>0</v>
      </c>
    </row>
    <row r="432" spans="1:8" x14ac:dyDescent="0.25">
      <c r="A432" s="316" t="s">
        <v>2438</v>
      </c>
      <c r="B432" s="313">
        <v>38645</v>
      </c>
      <c r="C432" s="316" t="s">
        <v>2401</v>
      </c>
      <c r="D432" s="314">
        <v>5</v>
      </c>
      <c r="E432" s="314">
        <v>10</v>
      </c>
      <c r="H432" s="314">
        <v>0</v>
      </c>
    </row>
    <row r="433" spans="1:8" x14ac:dyDescent="0.25">
      <c r="A433" s="316" t="s">
        <v>2439</v>
      </c>
      <c r="B433" s="313">
        <v>38645</v>
      </c>
      <c r="C433" s="316" t="s">
        <v>2399</v>
      </c>
      <c r="D433" s="314">
        <v>5</v>
      </c>
      <c r="E433" s="314">
        <v>10</v>
      </c>
      <c r="H433" s="314">
        <v>0</v>
      </c>
    </row>
    <row r="434" spans="1:8" x14ac:dyDescent="0.25">
      <c r="A434" s="316" t="s">
        <v>2440</v>
      </c>
      <c r="B434" s="313">
        <v>38645</v>
      </c>
      <c r="C434" s="316" t="s">
        <v>2411</v>
      </c>
      <c r="D434" s="314">
        <v>5</v>
      </c>
      <c r="E434" s="314">
        <v>10</v>
      </c>
      <c r="H434" s="314">
        <v>0</v>
      </c>
    </row>
    <row r="435" spans="1:8" x14ac:dyDescent="0.25">
      <c r="A435" s="316" t="s">
        <v>2441</v>
      </c>
      <c r="B435" s="313">
        <v>38645</v>
      </c>
      <c r="C435" s="316" t="s">
        <v>2409</v>
      </c>
      <c r="D435" s="314">
        <v>5</v>
      </c>
      <c r="E435" s="314">
        <v>10</v>
      </c>
      <c r="H435" s="314">
        <v>0.82199999999999995</v>
      </c>
    </row>
    <row r="436" spans="1:8" x14ac:dyDescent="0.25">
      <c r="A436" s="316" t="s">
        <v>2442</v>
      </c>
      <c r="B436" s="313">
        <v>38645</v>
      </c>
      <c r="C436" s="316" t="s">
        <v>2403</v>
      </c>
      <c r="D436" s="314">
        <v>5</v>
      </c>
      <c r="E436" s="314">
        <v>10</v>
      </c>
      <c r="H436" s="314">
        <v>0</v>
      </c>
    </row>
    <row r="437" spans="1:8" x14ac:dyDescent="0.25">
      <c r="A437" s="316" t="s">
        <v>2443</v>
      </c>
      <c r="B437" s="313">
        <v>38645</v>
      </c>
      <c r="C437" s="316" t="s">
        <v>2405</v>
      </c>
      <c r="D437" s="314">
        <v>5</v>
      </c>
      <c r="E437" s="314">
        <v>10</v>
      </c>
      <c r="H437" s="314">
        <v>0</v>
      </c>
    </row>
    <row r="438" spans="1:8" x14ac:dyDescent="0.25">
      <c r="A438" s="316" t="s">
        <v>2444</v>
      </c>
      <c r="B438" s="313">
        <v>38645</v>
      </c>
      <c r="C438" s="316" t="s">
        <v>2387</v>
      </c>
      <c r="D438" s="314">
        <v>5</v>
      </c>
      <c r="E438" s="314">
        <v>10</v>
      </c>
      <c r="H438" s="314">
        <v>0</v>
      </c>
    </row>
    <row r="439" spans="1:8" x14ac:dyDescent="0.25">
      <c r="A439" s="316" t="s">
        <v>2445</v>
      </c>
      <c r="B439" s="313">
        <v>38645</v>
      </c>
      <c r="C439" s="316" t="s">
        <v>2385</v>
      </c>
      <c r="D439" s="314">
        <v>5</v>
      </c>
      <c r="E439" s="314">
        <v>10</v>
      </c>
      <c r="H439" s="314">
        <v>0</v>
      </c>
    </row>
    <row r="440" spans="1:8" x14ac:dyDescent="0.25">
      <c r="A440" s="316" t="s">
        <v>2446</v>
      </c>
      <c r="B440" s="313">
        <v>38645</v>
      </c>
      <c r="C440" s="316" t="s">
        <v>2391</v>
      </c>
      <c r="D440" s="314">
        <v>5</v>
      </c>
      <c r="E440" s="314">
        <v>10</v>
      </c>
      <c r="H440" s="314">
        <v>0</v>
      </c>
    </row>
    <row r="441" spans="1:8" x14ac:dyDescent="0.25">
      <c r="A441" s="316" t="s">
        <v>2447</v>
      </c>
      <c r="B441" s="313">
        <v>38645</v>
      </c>
      <c r="C441" s="316" t="s">
        <v>2389</v>
      </c>
      <c r="D441" s="314">
        <v>5</v>
      </c>
      <c r="E441" s="314">
        <v>10</v>
      </c>
      <c r="H441" s="314">
        <v>0</v>
      </c>
    </row>
    <row r="442" spans="1:8" x14ac:dyDescent="0.25">
      <c r="A442" s="316" t="s">
        <v>2448</v>
      </c>
      <c r="B442" s="313">
        <v>38645</v>
      </c>
      <c r="C442" s="316" t="s">
        <v>2381</v>
      </c>
      <c r="D442" s="314">
        <v>5</v>
      </c>
      <c r="E442" s="314">
        <v>10</v>
      </c>
      <c r="H442" s="314">
        <v>0</v>
      </c>
    </row>
    <row r="443" spans="1:8" x14ac:dyDescent="0.25">
      <c r="A443" s="316" t="s">
        <v>2449</v>
      </c>
      <c r="B443" s="313">
        <v>38645</v>
      </c>
      <c r="C443" s="316" t="s">
        <v>2393</v>
      </c>
      <c r="D443" s="314">
        <v>5</v>
      </c>
      <c r="E443" s="314">
        <v>10</v>
      </c>
      <c r="H443" s="314">
        <v>0</v>
      </c>
    </row>
    <row r="444" spans="1:8" x14ac:dyDescent="0.25">
      <c r="A444" s="316" t="s">
        <v>2450</v>
      </c>
      <c r="B444" s="313">
        <v>38645</v>
      </c>
      <c r="C444" s="316" t="s">
        <v>2383</v>
      </c>
      <c r="D444" s="314">
        <v>5</v>
      </c>
      <c r="E444" s="314">
        <v>10</v>
      </c>
      <c r="H444" s="314">
        <v>0</v>
      </c>
    </row>
    <row r="445" spans="1:8" x14ac:dyDescent="0.25">
      <c r="A445" s="316" t="s">
        <v>2451</v>
      </c>
      <c r="B445" s="313">
        <v>38645</v>
      </c>
      <c r="C445" s="316" t="s">
        <v>2395</v>
      </c>
      <c r="D445" s="314">
        <v>5</v>
      </c>
      <c r="E445" s="314">
        <v>10</v>
      </c>
      <c r="H445" s="314">
        <v>0</v>
      </c>
    </row>
    <row r="446" spans="1:8" x14ac:dyDescent="0.25">
      <c r="A446" s="316" t="s">
        <v>2452</v>
      </c>
      <c r="B446" s="313">
        <v>38645</v>
      </c>
      <c r="C446" s="316" t="s">
        <v>2397</v>
      </c>
      <c r="D446" s="314">
        <v>5</v>
      </c>
      <c r="E446" s="314">
        <v>10</v>
      </c>
      <c r="H446" s="314">
        <v>0</v>
      </c>
    </row>
    <row r="447" spans="1:8" x14ac:dyDescent="0.25">
      <c r="A447" s="316" t="s">
        <v>2453</v>
      </c>
      <c r="B447" s="313">
        <v>38645</v>
      </c>
      <c r="C447" s="316" t="s">
        <v>2409</v>
      </c>
      <c r="D447" s="314">
        <v>5</v>
      </c>
      <c r="E447" s="314">
        <v>10</v>
      </c>
      <c r="H447" s="314">
        <v>0</v>
      </c>
    </row>
    <row r="448" spans="1:8" x14ac:dyDescent="0.25">
      <c r="A448" s="316" t="s">
        <v>2454</v>
      </c>
      <c r="B448" s="313">
        <v>38645</v>
      </c>
      <c r="C448" s="316" t="s">
        <v>2399</v>
      </c>
      <c r="D448" s="314">
        <v>5</v>
      </c>
      <c r="E448" s="314">
        <v>10</v>
      </c>
      <c r="H448" s="314">
        <v>0</v>
      </c>
    </row>
    <row r="449" spans="1:8" x14ac:dyDescent="0.25">
      <c r="A449" s="316" t="s">
        <v>2455</v>
      </c>
      <c r="B449" s="313">
        <v>38645</v>
      </c>
      <c r="C449" s="316" t="s">
        <v>2401</v>
      </c>
      <c r="D449" s="314">
        <v>5</v>
      </c>
      <c r="E449" s="314">
        <v>10</v>
      </c>
      <c r="H449" s="314">
        <v>0</v>
      </c>
    </row>
    <row r="450" spans="1:8" x14ac:dyDescent="0.25">
      <c r="A450" s="316" t="s">
        <v>2456</v>
      </c>
      <c r="B450" s="313">
        <v>38645</v>
      </c>
      <c r="C450" s="316" t="s">
        <v>2407</v>
      </c>
      <c r="D450" s="314">
        <v>5</v>
      </c>
      <c r="E450" s="314">
        <v>10</v>
      </c>
      <c r="H450" s="314">
        <v>0</v>
      </c>
    </row>
    <row r="451" spans="1:8" x14ac:dyDescent="0.25">
      <c r="A451" s="316" t="s">
        <v>2457</v>
      </c>
      <c r="B451" s="313">
        <v>38645</v>
      </c>
      <c r="C451" s="316" t="s">
        <v>2403</v>
      </c>
      <c r="D451" s="314">
        <v>5</v>
      </c>
      <c r="E451" s="314">
        <v>10</v>
      </c>
      <c r="H451" s="314">
        <v>0</v>
      </c>
    </row>
    <row r="452" spans="1:8" x14ac:dyDescent="0.25">
      <c r="A452" s="316" t="s">
        <v>2458</v>
      </c>
      <c r="B452" s="313">
        <v>38645</v>
      </c>
      <c r="C452" s="316" t="s">
        <v>2411</v>
      </c>
      <c r="D452" s="314">
        <v>5</v>
      </c>
      <c r="E452" s="314">
        <v>10</v>
      </c>
      <c r="H452" s="314">
        <v>0</v>
      </c>
    </row>
    <row r="453" spans="1:8" x14ac:dyDescent="0.25">
      <c r="A453" s="316" t="s">
        <v>2459</v>
      </c>
      <c r="B453" s="313">
        <v>38645</v>
      </c>
      <c r="C453" s="316" t="s">
        <v>2405</v>
      </c>
      <c r="D453" s="314">
        <v>5</v>
      </c>
      <c r="E453" s="314">
        <v>10</v>
      </c>
      <c r="H453" s="314">
        <v>0</v>
      </c>
    </row>
    <row r="454" spans="1:8" x14ac:dyDescent="0.25">
      <c r="A454" s="316" t="s">
        <v>2460</v>
      </c>
      <c r="B454" s="313">
        <v>38622</v>
      </c>
      <c r="C454" s="316" t="s">
        <v>2461</v>
      </c>
      <c r="D454" s="314">
        <v>5</v>
      </c>
      <c r="E454" s="314">
        <v>10</v>
      </c>
      <c r="H454" s="314">
        <v>0</v>
      </c>
    </row>
    <row r="455" spans="1:8" x14ac:dyDescent="0.25">
      <c r="A455" s="316" t="s">
        <v>2462</v>
      </c>
      <c r="B455" s="313">
        <v>38622</v>
      </c>
      <c r="C455" s="316" t="s">
        <v>2463</v>
      </c>
      <c r="D455" s="314">
        <v>5</v>
      </c>
      <c r="E455" s="314">
        <v>10</v>
      </c>
      <c r="H455" s="314">
        <v>0</v>
      </c>
    </row>
    <row r="456" spans="1:8" x14ac:dyDescent="0.25">
      <c r="A456" s="316" t="s">
        <v>2464</v>
      </c>
      <c r="B456" s="313">
        <v>38622</v>
      </c>
      <c r="C456" s="316" t="s">
        <v>2465</v>
      </c>
      <c r="D456" s="314">
        <v>5</v>
      </c>
      <c r="E456" s="314">
        <v>10</v>
      </c>
      <c r="H456" s="314">
        <v>0</v>
      </c>
    </row>
    <row r="457" spans="1:8" x14ac:dyDescent="0.25">
      <c r="A457" s="316" t="s">
        <v>2466</v>
      </c>
      <c r="B457" s="313">
        <v>38622</v>
      </c>
      <c r="C457" s="316" t="s">
        <v>2467</v>
      </c>
      <c r="D457" s="314">
        <v>5</v>
      </c>
      <c r="E457" s="314">
        <v>10</v>
      </c>
      <c r="H457" s="314">
        <v>1.4999999999999999E-2</v>
      </c>
    </row>
    <row r="458" spans="1:8" x14ac:dyDescent="0.25">
      <c r="A458" s="316" t="s">
        <v>2468</v>
      </c>
      <c r="B458" s="313">
        <v>38622</v>
      </c>
      <c r="C458" s="316" t="s">
        <v>2469</v>
      </c>
      <c r="D458" s="314">
        <v>5</v>
      </c>
      <c r="E458" s="314">
        <v>10</v>
      </c>
      <c r="H458" s="314">
        <v>2.4780000000000002</v>
      </c>
    </row>
    <row r="459" spans="1:8" x14ac:dyDescent="0.25">
      <c r="A459" s="316" t="s">
        <v>2470</v>
      </c>
      <c r="B459" s="313">
        <v>38622</v>
      </c>
      <c r="C459" s="316" t="s">
        <v>2471</v>
      </c>
      <c r="D459" s="314">
        <v>5</v>
      </c>
      <c r="E459" s="314">
        <v>10</v>
      </c>
      <c r="H459" s="314">
        <v>0</v>
      </c>
    </row>
    <row r="460" spans="1:8" x14ac:dyDescent="0.25">
      <c r="A460" s="316" t="s">
        <v>2472</v>
      </c>
      <c r="B460" s="313">
        <v>38622</v>
      </c>
      <c r="C460" s="316" t="s">
        <v>2473</v>
      </c>
      <c r="D460" s="314">
        <v>5</v>
      </c>
      <c r="E460" s="314">
        <v>10</v>
      </c>
      <c r="H460" s="314">
        <v>2.31</v>
      </c>
    </row>
    <row r="461" spans="1:8" x14ac:dyDescent="0.25">
      <c r="A461" s="316" t="s">
        <v>2474</v>
      </c>
      <c r="B461" s="313">
        <v>38622</v>
      </c>
      <c r="C461" s="316" t="s">
        <v>2475</v>
      </c>
      <c r="D461" s="314">
        <v>5</v>
      </c>
      <c r="E461" s="314">
        <v>10</v>
      </c>
      <c r="H461" s="314">
        <v>0.22700000000000001</v>
      </c>
    </row>
    <row r="462" spans="1:8" x14ac:dyDescent="0.25">
      <c r="A462" s="316" t="s">
        <v>2476</v>
      </c>
      <c r="B462" s="313">
        <v>38622</v>
      </c>
      <c r="C462" s="316" t="s">
        <v>2471</v>
      </c>
      <c r="D462" s="314">
        <v>5</v>
      </c>
      <c r="E462" s="314">
        <v>10</v>
      </c>
      <c r="H462" s="314">
        <v>2.629</v>
      </c>
    </row>
    <row r="463" spans="1:8" x14ac:dyDescent="0.25">
      <c r="A463" s="316" t="s">
        <v>2478</v>
      </c>
      <c r="B463" s="313">
        <v>38622</v>
      </c>
      <c r="C463" s="316" t="s">
        <v>2465</v>
      </c>
      <c r="D463" s="314">
        <v>5</v>
      </c>
      <c r="E463" s="314">
        <v>10</v>
      </c>
      <c r="H463" s="314">
        <v>0</v>
      </c>
    </row>
    <row r="464" spans="1:8" x14ac:dyDescent="0.25">
      <c r="A464" s="316" t="s">
        <v>2479</v>
      </c>
      <c r="B464" s="313">
        <v>38622</v>
      </c>
      <c r="C464" s="316" t="s">
        <v>2469</v>
      </c>
      <c r="D464" s="314">
        <v>5</v>
      </c>
      <c r="E464" s="314">
        <v>10</v>
      </c>
      <c r="H464" s="314">
        <v>0</v>
      </c>
    </row>
    <row r="465" spans="1:8" x14ac:dyDescent="0.25">
      <c r="A465" s="316" t="s">
        <v>2480</v>
      </c>
      <c r="B465" s="313">
        <v>38622</v>
      </c>
      <c r="C465" s="316" t="s">
        <v>2467</v>
      </c>
      <c r="D465" s="314">
        <v>5</v>
      </c>
      <c r="E465" s="314">
        <v>10</v>
      </c>
      <c r="H465" s="314">
        <v>0.83499999999999996</v>
      </c>
    </row>
    <row r="466" spans="1:8" x14ac:dyDescent="0.25">
      <c r="A466" s="316" t="s">
        <v>2481</v>
      </c>
      <c r="B466" s="313">
        <v>38622</v>
      </c>
      <c r="C466" s="316" t="s">
        <v>2473</v>
      </c>
      <c r="D466" s="314">
        <v>5</v>
      </c>
      <c r="E466" s="314">
        <v>10</v>
      </c>
      <c r="H466" s="314">
        <v>0</v>
      </c>
    </row>
    <row r="467" spans="1:8" x14ac:dyDescent="0.25">
      <c r="A467" s="316" t="s">
        <v>2482</v>
      </c>
      <c r="B467" s="313">
        <v>38622</v>
      </c>
      <c r="C467" s="316" t="s">
        <v>2461</v>
      </c>
      <c r="D467" s="314">
        <v>5</v>
      </c>
      <c r="E467" s="314">
        <v>10</v>
      </c>
      <c r="H467" s="314">
        <v>2.8860000000000001</v>
      </c>
    </row>
    <row r="468" spans="1:8" x14ac:dyDescent="0.25">
      <c r="A468" s="316" t="s">
        <v>2483</v>
      </c>
      <c r="B468" s="313">
        <v>38622</v>
      </c>
      <c r="C468" s="316" t="s">
        <v>2475</v>
      </c>
      <c r="D468" s="314">
        <v>5</v>
      </c>
      <c r="E468" s="314">
        <v>10</v>
      </c>
      <c r="H468" s="314">
        <v>0</v>
      </c>
    </row>
    <row r="469" spans="1:8" x14ac:dyDescent="0.25">
      <c r="A469" s="316" t="s">
        <v>2484</v>
      </c>
      <c r="B469" s="313">
        <v>38622</v>
      </c>
      <c r="C469" s="316" t="s">
        <v>2465</v>
      </c>
      <c r="D469" s="314">
        <v>5</v>
      </c>
      <c r="E469" s="314">
        <v>10</v>
      </c>
      <c r="H469" s="314">
        <v>0</v>
      </c>
    </row>
    <row r="470" spans="1:8" x14ac:dyDescent="0.25">
      <c r="A470" s="316" t="s">
        <v>2485</v>
      </c>
      <c r="B470" s="313">
        <v>38622</v>
      </c>
      <c r="C470" s="316" t="s">
        <v>2463</v>
      </c>
      <c r="D470" s="314">
        <v>5</v>
      </c>
      <c r="E470" s="314">
        <v>10</v>
      </c>
      <c r="H470" s="314">
        <v>0</v>
      </c>
    </row>
    <row r="471" spans="1:8" x14ac:dyDescent="0.25">
      <c r="A471" s="316" t="s">
        <v>2486</v>
      </c>
      <c r="B471" s="313">
        <v>38622</v>
      </c>
      <c r="C471" s="316" t="s">
        <v>2469</v>
      </c>
      <c r="D471" s="314">
        <v>5</v>
      </c>
      <c r="E471" s="314">
        <v>10</v>
      </c>
      <c r="H471" s="314">
        <v>0</v>
      </c>
    </row>
    <row r="472" spans="1:8" x14ac:dyDescent="0.25">
      <c r="A472" s="316" t="s">
        <v>2487</v>
      </c>
      <c r="B472" s="313">
        <v>38622</v>
      </c>
      <c r="C472" s="316" t="s">
        <v>2475</v>
      </c>
      <c r="D472" s="314">
        <v>5</v>
      </c>
      <c r="E472" s="314">
        <v>10</v>
      </c>
      <c r="H472" s="314">
        <v>0</v>
      </c>
    </row>
    <row r="473" spans="1:8" x14ac:dyDescent="0.25">
      <c r="A473" s="316" t="s">
        <v>2488</v>
      </c>
      <c r="B473" s="313">
        <v>38622</v>
      </c>
      <c r="C473" s="316" t="s">
        <v>2461</v>
      </c>
      <c r="D473" s="314">
        <v>5</v>
      </c>
      <c r="E473" s="314">
        <v>10</v>
      </c>
      <c r="H473" s="314">
        <v>0</v>
      </c>
    </row>
    <row r="474" spans="1:8" x14ac:dyDescent="0.25">
      <c r="A474" s="316" t="s">
        <v>2489</v>
      </c>
      <c r="B474" s="313">
        <v>38622</v>
      </c>
      <c r="C474" s="316" t="s">
        <v>2473</v>
      </c>
      <c r="D474" s="314">
        <v>5</v>
      </c>
      <c r="E474" s="314">
        <v>10</v>
      </c>
      <c r="H474" s="314">
        <v>0</v>
      </c>
    </row>
    <row r="475" spans="1:8" x14ac:dyDescent="0.25">
      <c r="A475" s="316" t="s">
        <v>2490</v>
      </c>
      <c r="B475" s="313">
        <v>38622</v>
      </c>
      <c r="C475" s="316" t="s">
        <v>2467</v>
      </c>
      <c r="D475" s="314">
        <v>5</v>
      </c>
      <c r="E475" s="314">
        <v>10</v>
      </c>
      <c r="H475" s="314">
        <v>0</v>
      </c>
    </row>
    <row r="476" spans="1:8" x14ac:dyDescent="0.25">
      <c r="A476" s="316" t="s">
        <v>2491</v>
      </c>
      <c r="B476" s="313">
        <v>38622</v>
      </c>
      <c r="C476" s="316" t="s">
        <v>2471</v>
      </c>
      <c r="D476" s="314">
        <v>5</v>
      </c>
      <c r="E476" s="314">
        <v>10</v>
      </c>
      <c r="H476" s="314">
        <v>0</v>
      </c>
    </row>
    <row r="477" spans="1:8" x14ac:dyDescent="0.25">
      <c r="A477" s="316" t="s">
        <v>2494</v>
      </c>
      <c r="B477" s="313">
        <v>38622</v>
      </c>
      <c r="C477" s="316" t="s">
        <v>2465</v>
      </c>
      <c r="D477" s="314">
        <v>5</v>
      </c>
      <c r="E477" s="314">
        <v>10</v>
      </c>
      <c r="H477" s="314">
        <v>0</v>
      </c>
    </row>
    <row r="478" spans="1:8" x14ac:dyDescent="0.25">
      <c r="A478" s="316" t="s">
        <v>2498</v>
      </c>
      <c r="B478" s="313">
        <v>38622</v>
      </c>
      <c r="C478" s="316" t="s">
        <v>2467</v>
      </c>
      <c r="D478" s="314">
        <v>5</v>
      </c>
      <c r="E478" s="314">
        <v>10</v>
      </c>
      <c r="H478" s="314">
        <v>0.107</v>
      </c>
    </row>
    <row r="479" spans="1:8" x14ac:dyDescent="0.25">
      <c r="A479" s="316" t="s">
        <v>2499</v>
      </c>
      <c r="B479" s="313">
        <v>38622</v>
      </c>
      <c r="C479" s="316" t="s">
        <v>2461</v>
      </c>
      <c r="D479" s="314">
        <v>5</v>
      </c>
      <c r="E479" s="314">
        <v>10</v>
      </c>
      <c r="H479" s="314">
        <v>0.501</v>
      </c>
    </row>
  </sheetData>
  <mergeCells count="2">
    <mergeCell ref="D7:E7"/>
    <mergeCell ref="D6:E6"/>
  </mergeCells>
  <conditionalFormatting sqref="A8:C8 F8:Z8">
    <cfRule type="expression" dxfId="61" priority="2">
      <formula>IF(INDEX(VAD_bMeasSoilEnzymes,COLUMN(A8),5)&gt;0,TRUE(),FALSE())</formula>
    </cfRule>
  </conditionalFormatting>
  <conditionalFormatting sqref="D8:E8">
    <cfRule type="expression" dxfId="60" priority="1">
      <formula>IF(INDEX(Vad_MeasSoilBiol,COLUMN(D8),5)&gt;0,TRUE(),FALSE())</formula>
    </cfRule>
  </conditionalFormatting>
  <dataValidations count="17">
    <dataValidation allowBlank="1" showInputMessage="1" showErrorMessage="1" prompt="Enter the rate of NH4-N released, in units specified above." sqref="M8:O8 W8:Y8"/>
    <dataValidation allowBlank="1" showInputMessage="1" showErrorMessage="1" prompt="Enter the hydrolysis rate of p-nitrophenol sulfate to p-nitrophenol, in units specified above." sqref="V8 L8"/>
    <dataValidation allowBlank="1" showInputMessage="1" showErrorMessage="1" prompt="Enter the hydrolysis rate of p-nitrophenol phosphate to p-nitrophenol, in units specified above." sqref="U8 K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Q8 Q13 F8"/>
    <dataValidation allowBlank="1" showInputMessage="1" showErrorMessage="1" prompt="Enter the hydrolysis rate of p-nitrophenyl-N-acetyl-B-D-glucosaminide to p-nitrophenol, in units specified above." sqref="H8 R13 R8"/>
    <dataValidation allowBlank="1" showInputMessage="1" showErrorMessage="1" prompt="Enter the hydrolysis rate of p-nitrophenol phoshate at pH 6.5 to p-nitrophenol, in units specified above." sqref="I8 S13 S8"/>
    <dataValidation allowBlank="1" showInputMessage="1" showErrorMessage="1" prompt="Enter the hydrolysis rate of p-nitrophenol phoshate at pH 11.0 to p-nitrophenol, in units specified above." sqref="J8 T13 T8"/>
    <dataValidation allowBlank="1" showInputMessage="1" showErrorMessage="1" prompt="Enter the hydrolysis rate fluorescein diacetate to fluoresein, in units specified above." sqref="Z13 P8 Z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Q9:R9 Q14:R1048576">
      <formula1>Yes_No</formula1>
    </dataValidation>
    <dataValidation allowBlank="1" showInputMessage="1" showErrorMessage="1" prompt="Enter the Standard Deviation of this measurement if you entered a Mean on the left." sqref="AA8:A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FR32"/>
  <sheetViews>
    <sheetView workbookViewId="0">
      <pane xSplit="5" ySplit="8" topLeftCell="F9" activePane="bottomRight" state="frozen"/>
      <selection pane="topRight" activeCell="F1" sqref="F1"/>
      <selection pane="bottomLeft" activeCell="A9" sqref="A9"/>
      <selection pane="bottomRight" activeCell="F3" sqref="F3"/>
    </sheetView>
  </sheetViews>
  <sheetFormatPr defaultColWidth="9.109375" defaultRowHeight="13.2" x14ac:dyDescent="0.25"/>
  <cols>
    <col min="1" max="1" width="16.6640625" style="316" customWidth="1"/>
    <col min="2" max="2" width="16.6640625" style="313" customWidth="1"/>
    <col min="3" max="3" width="16.6640625" style="316" customWidth="1"/>
    <col min="4" max="6" width="11.6640625" style="314" customWidth="1"/>
    <col min="7" max="10" width="12.6640625" style="314" customWidth="1"/>
    <col min="11" max="11" width="14.88671875" style="314" customWidth="1"/>
    <col min="12" max="12" width="12.6640625" style="314" customWidth="1"/>
    <col min="13" max="14" width="12" style="876" customWidth="1"/>
    <col min="15" max="17" width="10.6640625" style="314" customWidth="1"/>
    <col min="18" max="18" width="13.33203125" style="314" customWidth="1"/>
    <col min="19" max="20" width="12.6640625" style="314" customWidth="1"/>
    <col min="21" max="21" width="10.88671875" style="314" customWidth="1"/>
    <col min="22" max="23" width="13.5546875" style="314" customWidth="1"/>
    <col min="24" max="24" width="10" style="314" customWidth="1"/>
    <col min="25" max="25" width="10.6640625" style="314" customWidth="1"/>
    <col min="26" max="26" width="11.88671875" style="314" customWidth="1"/>
    <col min="27" max="16384" width="9.109375" style="314"/>
  </cols>
  <sheetData>
    <row r="1" spans="1:174" s="339" customFormat="1" ht="17.399999999999999" x14ac:dyDescent="0.3">
      <c r="A1" s="1024" t="s">
        <v>551</v>
      </c>
      <c r="B1" s="1041"/>
      <c r="C1" s="1024"/>
      <c r="D1" s="184"/>
      <c r="E1" s="184"/>
      <c r="F1" s="184"/>
      <c r="G1" s="1069"/>
      <c r="H1" s="1069"/>
      <c r="I1" s="1069"/>
      <c r="J1" s="1069"/>
      <c r="K1" s="1069"/>
      <c r="L1" s="1069"/>
      <c r="M1" s="1070"/>
      <c r="N1" s="1070"/>
      <c r="O1" s="1069"/>
      <c r="P1" s="1069"/>
      <c r="Q1" s="1069"/>
      <c r="R1" s="1071"/>
      <c r="S1" s="1069"/>
      <c r="T1" s="1069"/>
      <c r="U1" s="1069"/>
      <c r="V1" s="1069"/>
      <c r="W1" s="1069"/>
      <c r="X1" s="1069"/>
      <c r="Y1" s="1069"/>
      <c r="Z1" s="1072"/>
      <c r="AA1" s="1073"/>
      <c r="AB1" s="1073"/>
      <c r="AC1" s="1073"/>
      <c r="AD1" s="1073"/>
      <c r="AE1" s="1073"/>
      <c r="AF1" s="1073"/>
      <c r="AG1" s="1073"/>
      <c r="AH1" s="1073"/>
      <c r="AI1" s="1073"/>
      <c r="AJ1" s="1073"/>
      <c r="AK1" s="1073"/>
      <c r="AL1" s="1073"/>
      <c r="AM1" s="1073"/>
      <c r="AN1" s="1073"/>
      <c r="AO1" s="1073"/>
      <c r="AP1" s="1073"/>
      <c r="AQ1" s="1073"/>
      <c r="AR1" s="1073"/>
      <c r="AS1" s="1073"/>
      <c r="AT1" s="1073"/>
      <c r="AU1" s="1073"/>
      <c r="AV1" s="1073"/>
      <c r="AW1" s="1073"/>
      <c r="AX1" s="1073"/>
      <c r="AY1" s="1073"/>
      <c r="AZ1" s="1073"/>
      <c r="BA1" s="1073"/>
      <c r="BB1" s="1073"/>
      <c r="BC1" s="1073"/>
      <c r="BD1" s="1073"/>
      <c r="BE1" s="1073"/>
      <c r="BF1" s="1073"/>
      <c r="BG1" s="1073"/>
      <c r="BH1" s="1073"/>
      <c r="BI1" s="1073"/>
      <c r="BJ1" s="1073"/>
      <c r="BK1" s="1073"/>
      <c r="BL1" s="1073"/>
      <c r="BM1" s="1073"/>
      <c r="BN1" s="1073"/>
      <c r="BO1" s="1073"/>
      <c r="BP1" s="1073"/>
      <c r="BQ1" s="1073"/>
      <c r="BR1" s="1073"/>
      <c r="BS1" s="1073"/>
      <c r="BT1" s="1073"/>
      <c r="BU1" s="1073"/>
      <c r="BV1" s="1073"/>
      <c r="BW1" s="1073"/>
      <c r="BX1" s="1073"/>
      <c r="BY1" s="1073"/>
      <c r="BZ1" s="1073"/>
      <c r="CA1" s="1073"/>
      <c r="CB1" s="1073"/>
      <c r="CC1" s="1073"/>
      <c r="CD1" s="1073"/>
      <c r="CE1" s="1073"/>
      <c r="CF1" s="1073"/>
      <c r="CG1" s="1073"/>
      <c r="CH1" s="1073"/>
      <c r="CI1" s="1073"/>
      <c r="CJ1" s="1073"/>
      <c r="CK1" s="1073"/>
      <c r="CL1" s="1073"/>
      <c r="CM1" s="1073"/>
      <c r="CN1" s="1073"/>
      <c r="CO1" s="1073"/>
      <c r="CP1" s="1073"/>
      <c r="CQ1" s="1073"/>
      <c r="CR1" s="1073"/>
      <c r="CS1" s="1073"/>
      <c r="CT1" s="1073"/>
      <c r="CU1" s="1073"/>
      <c r="CV1" s="1073"/>
      <c r="CW1" s="1073"/>
      <c r="CX1" s="1073"/>
      <c r="CY1" s="1073"/>
      <c r="CZ1" s="1073"/>
      <c r="DA1" s="1073"/>
      <c r="DB1" s="1073"/>
      <c r="DC1" s="1073"/>
      <c r="DD1" s="1073"/>
      <c r="DE1" s="1073"/>
      <c r="DF1" s="1073"/>
      <c r="DG1" s="1073"/>
      <c r="DH1" s="1073"/>
      <c r="DI1" s="1073"/>
      <c r="DJ1" s="1073"/>
      <c r="DK1" s="1073"/>
      <c r="DL1" s="1073"/>
      <c r="DM1" s="1073"/>
      <c r="DN1" s="1073"/>
      <c r="DO1" s="1073"/>
      <c r="DP1" s="1073"/>
      <c r="DQ1" s="1073"/>
      <c r="DR1" s="1073"/>
      <c r="DS1" s="1073"/>
      <c r="DT1" s="1073"/>
      <c r="DU1" s="1073"/>
      <c r="DV1" s="1073"/>
      <c r="DW1" s="1073"/>
      <c r="DX1" s="1073"/>
      <c r="DY1" s="1073"/>
      <c r="DZ1" s="1073"/>
      <c r="EA1" s="1073"/>
      <c r="EB1" s="1073"/>
      <c r="EC1" s="1073"/>
      <c r="ED1" s="1073"/>
      <c r="EE1" s="1073"/>
      <c r="EF1" s="1073"/>
      <c r="EG1" s="1073"/>
      <c r="EH1" s="1073"/>
      <c r="EI1" s="1073"/>
      <c r="EJ1" s="1073"/>
      <c r="EK1" s="1073"/>
      <c r="EL1" s="1073"/>
      <c r="EM1" s="1073"/>
      <c r="EN1" s="1073"/>
      <c r="EO1" s="1073"/>
      <c r="EP1" s="1073"/>
      <c r="EQ1" s="1073"/>
      <c r="ER1" s="1073"/>
      <c r="ES1" s="1073"/>
      <c r="ET1" s="1073"/>
      <c r="EU1" s="1073"/>
      <c r="EV1" s="1073"/>
      <c r="EW1" s="1073"/>
      <c r="EX1" s="1073"/>
      <c r="EY1" s="1073"/>
      <c r="EZ1" s="1073"/>
      <c r="FA1" s="1073"/>
      <c r="FB1" s="1073"/>
      <c r="FC1" s="1073"/>
      <c r="FD1" s="1073"/>
      <c r="FE1" s="1073"/>
      <c r="FF1" s="1073"/>
      <c r="FG1" s="1073"/>
      <c r="FH1" s="1073"/>
      <c r="FI1" s="1073"/>
      <c r="FJ1" s="1073"/>
      <c r="FK1" s="1073"/>
      <c r="FL1" s="1073"/>
      <c r="FM1" s="1073"/>
      <c r="FN1" s="1073"/>
      <c r="FO1" s="1073"/>
      <c r="FP1" s="1073"/>
      <c r="FQ1" s="1073"/>
      <c r="FR1" s="1073"/>
    </row>
    <row r="2" spans="1:174" s="339" customFormat="1" ht="15" customHeight="1" x14ac:dyDescent="0.3">
      <c r="A2" s="897" t="s">
        <v>617</v>
      </c>
      <c r="B2" s="265"/>
      <c r="C2" s="712"/>
      <c r="D2" s="109"/>
      <c r="E2" s="109"/>
      <c r="F2" s="109"/>
      <c r="G2" s="1074"/>
      <c r="H2" s="1074"/>
      <c r="I2" s="1074"/>
      <c r="J2" s="1074"/>
      <c r="K2" s="1074"/>
      <c r="L2" s="1074"/>
      <c r="M2" s="1074"/>
      <c r="N2" s="1074"/>
      <c r="O2" s="1074"/>
      <c r="P2" s="1074"/>
      <c r="Q2" s="1074"/>
      <c r="R2" s="1074"/>
      <c r="S2" s="1074"/>
      <c r="T2" s="1074"/>
      <c r="U2" s="1074"/>
      <c r="V2" s="1074"/>
      <c r="W2" s="1074"/>
      <c r="X2" s="1074"/>
      <c r="Y2" s="1074"/>
      <c r="Z2" s="1074"/>
      <c r="AA2" s="1074"/>
      <c r="AB2" s="1074"/>
      <c r="AC2" s="1074"/>
      <c r="AD2" s="1074"/>
      <c r="AE2" s="1074"/>
      <c r="AF2" s="1074"/>
      <c r="AG2" s="1074"/>
      <c r="AH2" s="1074"/>
      <c r="AI2" s="1074"/>
      <c r="AJ2" s="1074"/>
      <c r="AK2" s="1074"/>
      <c r="AL2" s="1074"/>
      <c r="AM2" s="1074"/>
      <c r="AN2" s="1074"/>
      <c r="AO2" s="1074"/>
      <c r="AP2" s="1074"/>
      <c r="AQ2" s="1074"/>
      <c r="AR2" s="1074"/>
      <c r="AS2" s="1074"/>
      <c r="AT2" s="1074"/>
      <c r="AU2" s="1074"/>
      <c r="AV2" s="1074"/>
      <c r="AW2" s="1074"/>
      <c r="AX2" s="1074"/>
      <c r="AY2" s="1074"/>
      <c r="AZ2" s="1074"/>
      <c r="BA2" s="1074"/>
      <c r="BB2" s="1074"/>
      <c r="BC2" s="1074"/>
      <c r="BD2" s="1074"/>
      <c r="BE2" s="1074"/>
      <c r="BF2" s="1074"/>
      <c r="BG2" s="1074"/>
      <c r="BH2" s="1074"/>
      <c r="BI2" s="1074"/>
      <c r="BJ2" s="1074"/>
      <c r="BK2" s="1074"/>
      <c r="BL2" s="1074"/>
      <c r="BM2" s="1074"/>
      <c r="BN2" s="1074"/>
      <c r="BO2" s="1074"/>
      <c r="BP2" s="1074"/>
      <c r="BQ2" s="1074"/>
      <c r="BR2" s="1074"/>
      <c r="BS2" s="1074"/>
      <c r="BT2" s="1074"/>
      <c r="BU2" s="1074"/>
      <c r="BV2" s="1074"/>
      <c r="BW2" s="1074"/>
      <c r="BX2" s="1074"/>
      <c r="BY2" s="1074"/>
      <c r="BZ2" s="1074"/>
      <c r="CA2" s="1074"/>
      <c r="CB2" s="1074"/>
      <c r="CC2" s="1074"/>
      <c r="CD2" s="1074"/>
      <c r="CE2" s="1074"/>
      <c r="CF2" s="1074"/>
      <c r="CG2" s="1074"/>
      <c r="CH2" s="1074"/>
      <c r="CI2" s="1074"/>
      <c r="CJ2" s="1074"/>
      <c r="CK2" s="1074"/>
      <c r="CL2" s="1074"/>
      <c r="CM2" s="1074"/>
      <c r="CN2" s="1074"/>
      <c r="CO2" s="1074"/>
      <c r="CP2" s="1074"/>
      <c r="CQ2" s="1074"/>
      <c r="CR2" s="1074"/>
      <c r="CS2" s="1074"/>
      <c r="CT2" s="1074"/>
      <c r="CU2" s="1074"/>
      <c r="CV2" s="1074"/>
      <c r="CW2" s="1074"/>
      <c r="CX2" s="1074"/>
      <c r="CY2" s="1074"/>
      <c r="CZ2" s="1074"/>
      <c r="DA2" s="1074"/>
      <c r="DB2" s="1074"/>
      <c r="DC2" s="1074"/>
      <c r="DD2" s="1074"/>
      <c r="DE2" s="1074"/>
      <c r="DF2" s="1074"/>
      <c r="DG2" s="1074"/>
      <c r="DH2" s="1074"/>
      <c r="DI2" s="1074"/>
      <c r="DJ2" s="1074"/>
      <c r="DK2" s="1074"/>
      <c r="DL2" s="1074"/>
      <c r="DM2" s="1074"/>
      <c r="DN2" s="1074"/>
      <c r="DO2" s="1074"/>
      <c r="DP2" s="1074"/>
      <c r="DQ2" s="1074"/>
      <c r="DR2" s="1074"/>
      <c r="DS2" s="1074"/>
      <c r="DT2" s="1074"/>
      <c r="DU2" s="1074"/>
      <c r="DV2" s="1074"/>
      <c r="DW2" s="1074"/>
      <c r="DX2" s="1074"/>
      <c r="DY2" s="1074"/>
      <c r="DZ2" s="1074"/>
      <c r="EA2" s="1074"/>
      <c r="EB2" s="1074"/>
      <c r="EC2" s="1074"/>
      <c r="ED2" s="1074"/>
      <c r="EE2" s="1074"/>
      <c r="EF2" s="1074"/>
      <c r="EG2" s="1074"/>
      <c r="EH2" s="1074"/>
      <c r="EI2" s="1074"/>
      <c r="EJ2" s="1074"/>
      <c r="EK2" s="1074"/>
      <c r="EL2" s="1074"/>
      <c r="EM2" s="1074"/>
      <c r="EN2" s="1074"/>
      <c r="EO2" s="1074"/>
      <c r="EP2" s="1074"/>
      <c r="EQ2" s="1074"/>
      <c r="ER2" s="1074"/>
      <c r="ES2" s="1074"/>
      <c r="ET2" s="1074"/>
      <c r="EU2" s="1074"/>
      <c r="EV2" s="1074"/>
      <c r="EW2" s="1074"/>
      <c r="EX2" s="1074"/>
      <c r="EY2" s="1074"/>
      <c r="EZ2" s="1074"/>
      <c r="FA2" s="1074"/>
      <c r="FB2" s="1074"/>
      <c r="FC2" s="1074"/>
      <c r="FD2" s="1074"/>
      <c r="FE2" s="1074"/>
      <c r="FF2" s="1074"/>
      <c r="FG2" s="1074"/>
      <c r="FH2" s="1074"/>
      <c r="FI2" s="1074"/>
      <c r="FJ2" s="1074"/>
      <c r="FK2" s="1074"/>
      <c r="FL2" s="1074"/>
      <c r="FM2" s="1074"/>
      <c r="FN2" s="1074"/>
      <c r="FO2" s="1074"/>
      <c r="FP2" s="1074"/>
      <c r="FQ2" s="1074"/>
      <c r="FR2" s="1074"/>
    </row>
    <row r="3" spans="1:174" s="339" customFormat="1" ht="15" customHeight="1" x14ac:dyDescent="0.3">
      <c r="A3" s="712"/>
      <c r="B3" s="266"/>
      <c r="C3" s="712"/>
      <c r="D3" s="109"/>
      <c r="E3" s="109"/>
      <c r="F3" s="1075" t="s">
        <v>2521</v>
      </c>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row>
    <row r="4" spans="1:174" s="339" customFormat="1" ht="14.4" x14ac:dyDescent="0.3">
      <c r="A4" s="712"/>
      <c r="B4" s="267"/>
      <c r="C4" s="712"/>
      <c r="D4" s="111"/>
      <c r="E4" s="111"/>
      <c r="F4" s="111"/>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row>
    <row r="5" spans="1:174" s="339" customFormat="1" ht="15.6" x14ac:dyDescent="0.3">
      <c r="A5" s="1052" t="s">
        <v>343</v>
      </c>
      <c r="B5" s="1053"/>
      <c r="C5" s="1054"/>
      <c r="D5" s="109"/>
      <c r="E5" s="109"/>
      <c r="F5" s="1076"/>
      <c r="G5" s="109"/>
      <c r="H5" s="109"/>
      <c r="I5" s="109"/>
      <c r="J5" s="109"/>
      <c r="K5" s="109"/>
      <c r="L5" s="109"/>
      <c r="M5" s="109"/>
      <c r="N5" s="1076"/>
      <c r="O5" s="109"/>
      <c r="P5" s="109"/>
      <c r="Q5" s="109"/>
      <c r="R5" s="109"/>
      <c r="S5" s="109"/>
      <c r="T5" s="109"/>
      <c r="U5" s="109"/>
      <c r="V5" s="1076"/>
      <c r="W5" s="109"/>
      <c r="X5" s="109"/>
      <c r="Y5" s="109"/>
      <c r="Z5" s="109"/>
      <c r="AA5" s="109"/>
      <c r="AB5" s="109"/>
      <c r="AC5" s="109"/>
      <c r="AD5" s="109"/>
      <c r="AE5" s="1076"/>
      <c r="AF5" s="109"/>
      <c r="AG5" s="109"/>
      <c r="AH5" s="109"/>
      <c r="AI5" s="109"/>
      <c r="AJ5" s="109"/>
      <c r="AK5" s="109"/>
      <c r="AL5" s="109"/>
      <c r="AM5" s="109"/>
      <c r="AN5" s="109"/>
      <c r="AO5" s="1076"/>
      <c r="AP5" s="109"/>
      <c r="AQ5" s="109"/>
      <c r="AR5" s="109"/>
      <c r="AS5" s="109"/>
      <c r="AT5" s="109"/>
      <c r="AU5" s="109"/>
      <c r="AV5" s="109"/>
      <c r="AW5" s="109"/>
      <c r="AX5" s="109"/>
      <c r="AY5" s="1076"/>
      <c r="AZ5" s="109"/>
      <c r="BA5" s="109"/>
      <c r="BB5" s="109"/>
      <c r="BC5" s="109"/>
      <c r="BD5" s="109"/>
      <c r="BE5" s="109"/>
      <c r="BF5" s="109"/>
      <c r="BG5" s="109"/>
      <c r="BH5" s="109"/>
      <c r="BI5" s="1076"/>
      <c r="BJ5" s="109"/>
      <c r="BK5" s="109"/>
      <c r="BL5" s="109"/>
      <c r="BM5" s="109"/>
      <c r="BN5" s="109"/>
      <c r="BO5" s="109"/>
      <c r="BP5" s="109"/>
      <c r="BQ5" s="109"/>
      <c r="BR5" s="109"/>
      <c r="BS5" s="1076"/>
      <c r="BT5" s="109"/>
      <c r="BU5" s="109"/>
      <c r="BV5" s="109"/>
      <c r="BW5" s="109"/>
      <c r="BX5" s="109"/>
      <c r="BY5" s="109"/>
      <c r="BZ5" s="109"/>
      <c r="CA5" s="109"/>
      <c r="CB5" s="109"/>
      <c r="CC5" s="1076"/>
      <c r="CD5" s="109"/>
      <c r="CE5" s="109"/>
      <c r="CF5" s="109"/>
      <c r="CG5" s="109"/>
      <c r="CH5" s="109"/>
      <c r="CI5" s="109"/>
      <c r="CJ5" s="109"/>
      <c r="CK5" s="109"/>
      <c r="CL5" s="109"/>
      <c r="CM5" s="1076"/>
      <c r="CN5" s="109"/>
      <c r="CO5" s="109"/>
      <c r="CP5" s="109"/>
      <c r="CQ5" s="109"/>
      <c r="CR5" s="109"/>
      <c r="CS5" s="109"/>
      <c r="CT5" s="109"/>
      <c r="CU5" s="109"/>
      <c r="CV5" s="109"/>
      <c r="CW5" s="1076"/>
      <c r="CX5" s="109"/>
      <c r="CY5" s="109"/>
      <c r="CZ5" s="109"/>
      <c r="DA5" s="109"/>
      <c r="DB5" s="109"/>
      <c r="DC5" s="109"/>
      <c r="DD5" s="109"/>
      <c r="DE5" s="109"/>
      <c r="DF5" s="109"/>
      <c r="DG5" s="1076"/>
      <c r="DH5" s="109"/>
      <c r="DI5" s="109"/>
      <c r="DJ5" s="109"/>
      <c r="DK5" s="109"/>
      <c r="DL5" s="109"/>
      <c r="DM5" s="109"/>
      <c r="DN5" s="109"/>
      <c r="DO5" s="109"/>
      <c r="DP5" s="109"/>
      <c r="DQ5" s="1076"/>
      <c r="DR5" s="109"/>
      <c r="DS5" s="109"/>
      <c r="DT5" s="109"/>
      <c r="DU5" s="109"/>
      <c r="DV5" s="109"/>
      <c r="DW5" s="109"/>
      <c r="DX5" s="109"/>
      <c r="DY5" s="109"/>
      <c r="DZ5" s="109"/>
      <c r="EA5" s="1076"/>
      <c r="EB5" s="109"/>
      <c r="EC5" s="109"/>
      <c r="ED5" s="109"/>
      <c r="EE5" s="109"/>
      <c r="EF5" s="109"/>
      <c r="EG5" s="109"/>
      <c r="EH5" s="109"/>
      <c r="EI5" s="109"/>
      <c r="EJ5" s="109"/>
      <c r="EK5" s="1076"/>
      <c r="EL5" s="109"/>
      <c r="EM5" s="109"/>
      <c r="EN5" s="109"/>
      <c r="EO5" s="109"/>
      <c r="EP5" s="109"/>
      <c r="EQ5" s="109"/>
      <c r="ER5" s="109"/>
      <c r="ES5" s="109"/>
      <c r="ET5" s="109"/>
      <c r="EU5" s="1076"/>
      <c r="EV5" s="109"/>
      <c r="EW5" s="109"/>
      <c r="EX5" s="109"/>
      <c r="EY5" s="109"/>
      <c r="EZ5" s="109"/>
      <c r="FA5" s="109"/>
      <c r="FB5" s="109"/>
      <c r="FC5" s="109"/>
      <c r="FD5" s="109"/>
      <c r="FE5" s="1076"/>
      <c r="FF5" s="109"/>
      <c r="FG5" s="109"/>
      <c r="FH5" s="109"/>
      <c r="FI5" s="109"/>
      <c r="FJ5" s="109"/>
      <c r="FK5" s="109"/>
      <c r="FL5" s="109"/>
      <c r="FM5" s="109"/>
      <c r="FN5" s="109"/>
      <c r="FO5" s="1076"/>
      <c r="FP5" s="109"/>
      <c r="FQ5" s="109"/>
      <c r="FR5" s="109"/>
    </row>
    <row r="6" spans="1:174" s="339" customFormat="1" ht="14.4" x14ac:dyDescent="0.3">
      <c r="A6" s="641"/>
      <c r="B6" s="256" t="s">
        <v>116</v>
      </c>
      <c r="C6" s="641"/>
      <c r="D6" s="1528" t="s">
        <v>46</v>
      </c>
      <c r="E6" s="1528"/>
      <c r="F6" s="1077"/>
      <c r="G6" s="1022" t="s">
        <v>2522</v>
      </c>
      <c r="H6" s="1022" t="s">
        <v>2522</v>
      </c>
      <c r="I6" s="1022" t="s">
        <v>2522</v>
      </c>
      <c r="J6" s="1022" t="s">
        <v>2522</v>
      </c>
      <c r="K6" s="1022" t="s">
        <v>2522</v>
      </c>
      <c r="L6" s="1022" t="s">
        <v>2522</v>
      </c>
      <c r="M6" s="1022" t="s">
        <v>2522</v>
      </c>
      <c r="N6" s="1022" t="s">
        <v>2522</v>
      </c>
      <c r="O6" s="1022" t="s">
        <v>2522</v>
      </c>
      <c r="P6" s="1022" t="s">
        <v>2522</v>
      </c>
      <c r="Q6" s="1022" t="s">
        <v>2522</v>
      </c>
      <c r="R6" s="1022" t="s">
        <v>2522</v>
      </c>
      <c r="S6" s="1022" t="s">
        <v>2522</v>
      </c>
      <c r="T6" s="1022" t="s">
        <v>2522</v>
      </c>
      <c r="U6" s="1022" t="s">
        <v>2522</v>
      </c>
      <c r="V6" s="1022" t="s">
        <v>2522</v>
      </c>
      <c r="W6" s="1022" t="s">
        <v>2522</v>
      </c>
      <c r="X6" s="1022" t="s">
        <v>2522</v>
      </c>
      <c r="Y6" s="1022" t="s">
        <v>2522</v>
      </c>
      <c r="Z6" s="1022" t="s">
        <v>2522</v>
      </c>
      <c r="AA6" s="1022" t="s">
        <v>2522</v>
      </c>
      <c r="AB6" s="1022" t="s">
        <v>2522</v>
      </c>
      <c r="AC6" s="1022" t="s">
        <v>2522</v>
      </c>
      <c r="AD6" s="1022" t="s">
        <v>2522</v>
      </c>
      <c r="AE6" s="1022" t="s">
        <v>2522</v>
      </c>
      <c r="AF6" s="1022" t="s">
        <v>2522</v>
      </c>
      <c r="AG6" s="1022" t="s">
        <v>2522</v>
      </c>
      <c r="AH6" s="1022" t="s">
        <v>2522</v>
      </c>
      <c r="AI6" s="1022" t="s">
        <v>2522</v>
      </c>
      <c r="AJ6" s="1022" t="s">
        <v>2522</v>
      </c>
      <c r="AK6" s="1022" t="s">
        <v>2522</v>
      </c>
      <c r="AL6" s="1022" t="s">
        <v>2522</v>
      </c>
      <c r="AM6" s="1022" t="s">
        <v>2522</v>
      </c>
      <c r="AN6" s="1022" t="s">
        <v>2522</v>
      </c>
      <c r="AO6" s="1022" t="s">
        <v>2522</v>
      </c>
      <c r="AP6" s="1022" t="s">
        <v>2522</v>
      </c>
      <c r="AQ6" s="1022" t="s">
        <v>2522</v>
      </c>
      <c r="AR6" s="1022" t="s">
        <v>2522</v>
      </c>
      <c r="AS6" s="1022" t="s">
        <v>2522</v>
      </c>
      <c r="AT6" s="1022" t="s">
        <v>2522</v>
      </c>
      <c r="AU6" s="1022" t="s">
        <v>2522</v>
      </c>
      <c r="AV6" s="1022" t="s">
        <v>2522</v>
      </c>
      <c r="AW6" s="1022" t="s">
        <v>2522</v>
      </c>
      <c r="AX6" s="1022" t="s">
        <v>2522</v>
      </c>
      <c r="AY6" s="1022" t="s">
        <v>2522</v>
      </c>
      <c r="AZ6" s="1022" t="s">
        <v>2522</v>
      </c>
      <c r="BA6" s="1022" t="s">
        <v>2522</v>
      </c>
      <c r="BB6" s="1022" t="s">
        <v>2522</v>
      </c>
      <c r="BC6" s="1022" t="s">
        <v>2522</v>
      </c>
      <c r="BD6" s="1022" t="s">
        <v>2522</v>
      </c>
      <c r="BE6" s="1022" t="s">
        <v>2522</v>
      </c>
      <c r="BF6" s="1022" t="s">
        <v>2522</v>
      </c>
      <c r="BG6" s="1022" t="s">
        <v>2522</v>
      </c>
      <c r="BH6" s="1022" t="s">
        <v>2522</v>
      </c>
      <c r="BI6" s="1022" t="s">
        <v>2522</v>
      </c>
      <c r="BJ6" s="1022" t="s">
        <v>2522</v>
      </c>
      <c r="BK6" s="1022" t="s">
        <v>2522</v>
      </c>
      <c r="BL6" s="1022" t="s">
        <v>2522</v>
      </c>
      <c r="BM6" s="1022" t="s">
        <v>2522</v>
      </c>
      <c r="BN6" s="1022" t="s">
        <v>2522</v>
      </c>
      <c r="BO6" s="1022" t="s">
        <v>2522</v>
      </c>
      <c r="BP6" s="1022" t="s">
        <v>2522</v>
      </c>
      <c r="BQ6" s="1022" t="s">
        <v>2522</v>
      </c>
      <c r="BR6" s="1022" t="s">
        <v>2522</v>
      </c>
      <c r="BS6" s="1022" t="s">
        <v>2522</v>
      </c>
      <c r="BT6" s="1022" t="s">
        <v>2522</v>
      </c>
      <c r="BU6" s="1022" t="s">
        <v>2522</v>
      </c>
      <c r="BV6" s="1022" t="s">
        <v>2522</v>
      </c>
      <c r="BW6" s="1022" t="s">
        <v>2522</v>
      </c>
      <c r="BX6" s="1022" t="s">
        <v>2522</v>
      </c>
      <c r="BY6" s="1022" t="s">
        <v>2522</v>
      </c>
      <c r="BZ6" s="1022" t="s">
        <v>2522</v>
      </c>
      <c r="CA6" s="1022" t="s">
        <v>2522</v>
      </c>
      <c r="CB6" s="1022" t="s">
        <v>2522</v>
      </c>
      <c r="CC6" s="1022" t="s">
        <v>2522</v>
      </c>
      <c r="CD6" s="1022" t="s">
        <v>2522</v>
      </c>
      <c r="CE6" s="1022" t="s">
        <v>2522</v>
      </c>
      <c r="CF6" s="1022" t="s">
        <v>2522</v>
      </c>
      <c r="CG6" s="1022" t="s">
        <v>2522</v>
      </c>
      <c r="CH6" s="1022" t="s">
        <v>2522</v>
      </c>
      <c r="CI6" s="1022" t="s">
        <v>2522</v>
      </c>
      <c r="CJ6" s="1022" t="s">
        <v>2522</v>
      </c>
      <c r="CK6" s="1022" t="s">
        <v>2522</v>
      </c>
      <c r="CL6" s="1022" t="s">
        <v>2522</v>
      </c>
      <c r="CM6" s="1022" t="s">
        <v>2522</v>
      </c>
      <c r="CN6" s="1022" t="s">
        <v>2522</v>
      </c>
      <c r="CO6" s="1022" t="s">
        <v>2522</v>
      </c>
      <c r="CP6" s="1022" t="s">
        <v>2522</v>
      </c>
      <c r="CQ6" s="1022" t="s">
        <v>2522</v>
      </c>
      <c r="CR6" s="1022" t="s">
        <v>2522</v>
      </c>
      <c r="CS6" s="1022" t="s">
        <v>2522</v>
      </c>
      <c r="CT6" s="1022" t="s">
        <v>2522</v>
      </c>
      <c r="CU6" s="1022" t="s">
        <v>2522</v>
      </c>
      <c r="CV6" s="1022" t="s">
        <v>2522</v>
      </c>
      <c r="CW6" s="1022" t="s">
        <v>2522</v>
      </c>
      <c r="CX6" s="1022" t="s">
        <v>2522</v>
      </c>
      <c r="CY6" s="1022" t="s">
        <v>2522</v>
      </c>
      <c r="CZ6" s="1022" t="s">
        <v>2522</v>
      </c>
      <c r="DA6" s="1022" t="s">
        <v>2522</v>
      </c>
      <c r="DB6" s="1022" t="s">
        <v>2522</v>
      </c>
      <c r="DC6" s="1022" t="s">
        <v>2522</v>
      </c>
      <c r="DD6" s="1022" t="s">
        <v>2522</v>
      </c>
      <c r="DE6" s="1022" t="s">
        <v>2522</v>
      </c>
      <c r="DF6" s="1022" t="s">
        <v>2522</v>
      </c>
      <c r="DG6" s="1022" t="s">
        <v>2522</v>
      </c>
      <c r="DH6" s="1022" t="s">
        <v>2522</v>
      </c>
      <c r="DI6" s="1022" t="s">
        <v>2522</v>
      </c>
      <c r="DJ6" s="1022" t="s">
        <v>2522</v>
      </c>
      <c r="DK6" s="1022" t="s">
        <v>2522</v>
      </c>
      <c r="DL6" s="1022" t="s">
        <v>2522</v>
      </c>
      <c r="DM6" s="1022" t="s">
        <v>2522</v>
      </c>
      <c r="DN6" s="1022" t="s">
        <v>2522</v>
      </c>
      <c r="DO6" s="1022" t="s">
        <v>2522</v>
      </c>
      <c r="DP6" s="1022" t="s">
        <v>2522</v>
      </c>
      <c r="DQ6" s="1022" t="s">
        <v>2522</v>
      </c>
      <c r="DR6" s="1022" t="s">
        <v>2522</v>
      </c>
      <c r="DS6" s="1022" t="s">
        <v>2522</v>
      </c>
      <c r="DT6" s="1022" t="s">
        <v>2522</v>
      </c>
      <c r="DU6" s="1022" t="s">
        <v>2522</v>
      </c>
      <c r="DV6" s="1022" t="s">
        <v>2522</v>
      </c>
      <c r="DW6" s="1022" t="s">
        <v>2522</v>
      </c>
      <c r="DX6" s="1022" t="s">
        <v>2522</v>
      </c>
      <c r="DY6" s="1022" t="s">
        <v>2522</v>
      </c>
      <c r="DZ6" s="1022" t="s">
        <v>2522</v>
      </c>
      <c r="EA6" s="1022" t="s">
        <v>2522</v>
      </c>
      <c r="EB6" s="1022" t="s">
        <v>2522</v>
      </c>
      <c r="EC6" s="1022" t="s">
        <v>2522</v>
      </c>
      <c r="ED6" s="1022" t="s">
        <v>2522</v>
      </c>
      <c r="EE6" s="1022" t="s">
        <v>2522</v>
      </c>
      <c r="EF6" s="1022" t="s">
        <v>2522</v>
      </c>
      <c r="EG6" s="1022" t="s">
        <v>2522</v>
      </c>
      <c r="EH6" s="1022" t="s">
        <v>2522</v>
      </c>
      <c r="EI6" s="1022" t="s">
        <v>2522</v>
      </c>
      <c r="EJ6" s="1022" t="s">
        <v>2522</v>
      </c>
      <c r="EK6" s="1022" t="s">
        <v>2522</v>
      </c>
      <c r="EL6" s="1022" t="s">
        <v>2522</v>
      </c>
      <c r="EM6" s="1022" t="s">
        <v>2522</v>
      </c>
      <c r="EN6" s="1022" t="s">
        <v>2522</v>
      </c>
      <c r="EO6" s="1022" t="s">
        <v>2522</v>
      </c>
      <c r="EP6" s="1022" t="s">
        <v>2522</v>
      </c>
      <c r="EQ6" s="1022" t="s">
        <v>2522</v>
      </c>
      <c r="ER6" s="1022" t="s">
        <v>2522</v>
      </c>
      <c r="ES6" s="1022" t="s">
        <v>2522</v>
      </c>
      <c r="ET6" s="1022" t="s">
        <v>2522</v>
      </c>
      <c r="EU6" s="1022" t="s">
        <v>2522</v>
      </c>
      <c r="EV6" s="1022" t="s">
        <v>2522</v>
      </c>
      <c r="EW6" s="1022" t="s">
        <v>2522</v>
      </c>
      <c r="EX6" s="1022" t="s">
        <v>2522</v>
      </c>
      <c r="EY6" s="1022" t="s">
        <v>2522</v>
      </c>
      <c r="EZ6" s="1022" t="s">
        <v>2522</v>
      </c>
      <c r="FA6" s="1022" t="s">
        <v>2522</v>
      </c>
      <c r="FB6" s="1022" t="s">
        <v>2522</v>
      </c>
      <c r="FC6" s="1022" t="s">
        <v>2522</v>
      </c>
      <c r="FD6" s="1022" t="s">
        <v>2522</v>
      </c>
      <c r="FE6" s="1022" t="s">
        <v>2522</v>
      </c>
      <c r="FF6" s="1022" t="s">
        <v>2522</v>
      </c>
      <c r="FG6" s="1022" t="s">
        <v>2522</v>
      </c>
      <c r="FH6" s="1022" t="s">
        <v>2522</v>
      </c>
      <c r="FI6" s="1022" t="s">
        <v>2522</v>
      </c>
      <c r="FJ6" s="1022" t="s">
        <v>2522</v>
      </c>
      <c r="FK6" s="1022" t="s">
        <v>2522</v>
      </c>
      <c r="FL6" s="1022" t="s">
        <v>2522</v>
      </c>
      <c r="FM6" s="1022" t="s">
        <v>2522</v>
      </c>
      <c r="FN6" s="1022" t="s">
        <v>2522</v>
      </c>
      <c r="FO6" s="1022" t="s">
        <v>2522</v>
      </c>
      <c r="FP6" s="1022" t="s">
        <v>2522</v>
      </c>
      <c r="FQ6" s="1022" t="s">
        <v>2522</v>
      </c>
      <c r="FR6" s="1022" t="s">
        <v>2522</v>
      </c>
    </row>
    <row r="7" spans="1:174" s="339" customFormat="1" ht="14.4" customHeight="1" x14ac:dyDescent="0.3">
      <c r="A7" s="713"/>
      <c r="B7" s="67"/>
      <c r="C7" s="713"/>
      <c r="D7" s="1566" t="s">
        <v>71</v>
      </c>
      <c r="E7" s="1566"/>
      <c r="F7" s="1078"/>
      <c r="G7" s="1079">
        <v>1</v>
      </c>
      <c r="H7" s="1079">
        <v>2</v>
      </c>
      <c r="I7" s="1079">
        <v>3</v>
      </c>
      <c r="J7" s="1079">
        <v>4</v>
      </c>
      <c r="K7" s="1079">
        <v>5</v>
      </c>
      <c r="L7" s="1079">
        <v>6</v>
      </c>
      <c r="M7" s="1079">
        <v>7</v>
      </c>
      <c r="N7" s="1079">
        <v>8</v>
      </c>
      <c r="O7" s="1079">
        <v>9</v>
      </c>
      <c r="P7" s="1079">
        <v>10</v>
      </c>
      <c r="Q7" s="1079">
        <v>11</v>
      </c>
      <c r="R7" s="1079">
        <v>12</v>
      </c>
      <c r="S7" s="1079">
        <v>13</v>
      </c>
      <c r="T7" s="1079">
        <v>14</v>
      </c>
      <c r="U7" s="1079">
        <v>15</v>
      </c>
      <c r="V7" s="1079">
        <v>16</v>
      </c>
      <c r="W7" s="1079">
        <v>17</v>
      </c>
      <c r="X7" s="1079">
        <v>18</v>
      </c>
      <c r="Y7" s="1079">
        <v>19</v>
      </c>
      <c r="Z7" s="1079">
        <v>20</v>
      </c>
      <c r="AA7" s="1079">
        <v>21</v>
      </c>
      <c r="AB7" s="1079">
        <v>22</v>
      </c>
      <c r="AC7" s="1079">
        <v>23</v>
      </c>
      <c r="AD7" s="1079">
        <v>24</v>
      </c>
      <c r="AE7" s="1079">
        <v>25</v>
      </c>
      <c r="AF7" s="1079">
        <v>26</v>
      </c>
      <c r="AG7" s="1079">
        <v>27</v>
      </c>
      <c r="AH7" s="1079">
        <v>28</v>
      </c>
      <c r="AI7" s="1079">
        <v>29</v>
      </c>
      <c r="AJ7" s="1079">
        <v>30</v>
      </c>
      <c r="AK7" s="1079">
        <v>31</v>
      </c>
      <c r="AL7" s="1079">
        <v>32</v>
      </c>
      <c r="AM7" s="1079">
        <v>33</v>
      </c>
      <c r="AN7" s="1079">
        <v>34</v>
      </c>
      <c r="AO7" s="1079">
        <v>35</v>
      </c>
      <c r="AP7" s="1079">
        <v>36</v>
      </c>
      <c r="AQ7" s="1079">
        <v>37</v>
      </c>
      <c r="AR7" s="1079">
        <v>38</v>
      </c>
      <c r="AS7" s="1079">
        <v>39</v>
      </c>
      <c r="AT7" s="1079">
        <v>40</v>
      </c>
      <c r="AU7" s="1079">
        <v>41</v>
      </c>
      <c r="AV7" s="1079">
        <v>42</v>
      </c>
      <c r="AW7" s="1079">
        <v>43</v>
      </c>
      <c r="AX7" s="1079">
        <v>44</v>
      </c>
      <c r="AY7" s="1079">
        <v>45</v>
      </c>
      <c r="AZ7" s="1079">
        <v>46</v>
      </c>
      <c r="BA7" s="1079">
        <v>47</v>
      </c>
      <c r="BB7" s="1079">
        <v>48</v>
      </c>
      <c r="BC7" s="1079">
        <v>49</v>
      </c>
      <c r="BD7" s="1079">
        <v>50</v>
      </c>
      <c r="BE7" s="1079">
        <v>51</v>
      </c>
      <c r="BF7" s="1079">
        <v>52</v>
      </c>
      <c r="BG7" s="1079">
        <v>53</v>
      </c>
      <c r="BH7" s="1079">
        <v>54</v>
      </c>
      <c r="BI7" s="1079">
        <v>55</v>
      </c>
      <c r="BJ7" s="1079">
        <v>56</v>
      </c>
      <c r="BK7" s="1079">
        <v>57</v>
      </c>
      <c r="BL7" s="1079">
        <v>58</v>
      </c>
      <c r="BM7" s="1079">
        <v>59</v>
      </c>
      <c r="BN7" s="1079">
        <v>60</v>
      </c>
      <c r="BO7" s="1079">
        <v>61</v>
      </c>
      <c r="BP7" s="1079">
        <v>62</v>
      </c>
      <c r="BQ7" s="1079">
        <v>63</v>
      </c>
      <c r="BR7" s="1079">
        <v>64</v>
      </c>
      <c r="BS7" s="1079">
        <v>65</v>
      </c>
      <c r="BT7" s="1079">
        <v>66</v>
      </c>
      <c r="BU7" s="1079">
        <v>67</v>
      </c>
      <c r="BV7" s="1079">
        <v>68</v>
      </c>
      <c r="BW7" s="1079">
        <v>69</v>
      </c>
      <c r="BX7" s="1079">
        <v>70</v>
      </c>
      <c r="BY7" s="1079">
        <v>71</v>
      </c>
      <c r="BZ7" s="1079">
        <v>72</v>
      </c>
      <c r="CA7" s="1079">
        <v>73</v>
      </c>
      <c r="CB7" s="1079">
        <v>74</v>
      </c>
      <c r="CC7" s="1079">
        <v>75</v>
      </c>
      <c r="CD7" s="1079">
        <v>76</v>
      </c>
      <c r="CE7" s="1079">
        <v>77</v>
      </c>
      <c r="CF7" s="1079">
        <v>78</v>
      </c>
      <c r="CG7" s="1079">
        <v>79</v>
      </c>
      <c r="CH7" s="1079">
        <v>80</v>
      </c>
      <c r="CI7" s="1079">
        <v>81</v>
      </c>
      <c r="CJ7" s="1079">
        <v>82</v>
      </c>
      <c r="CK7" s="1079">
        <v>83</v>
      </c>
      <c r="CL7" s="1079">
        <v>84</v>
      </c>
      <c r="CM7" s="1079">
        <v>85</v>
      </c>
      <c r="CN7" s="1079">
        <v>86</v>
      </c>
      <c r="CO7" s="1079">
        <v>87</v>
      </c>
      <c r="CP7" s="1079">
        <v>88</v>
      </c>
      <c r="CQ7" s="1079">
        <v>89</v>
      </c>
      <c r="CR7" s="1079">
        <v>90</v>
      </c>
      <c r="CS7" s="1079">
        <v>91</v>
      </c>
      <c r="CT7" s="1079">
        <v>92</v>
      </c>
      <c r="CU7" s="1079">
        <v>93</v>
      </c>
      <c r="CV7" s="1079">
        <v>94</v>
      </c>
      <c r="CW7" s="1079">
        <v>95</v>
      </c>
      <c r="CX7" s="1079">
        <v>96</v>
      </c>
      <c r="CY7" s="1079">
        <v>97</v>
      </c>
      <c r="CZ7" s="1079">
        <v>98</v>
      </c>
      <c r="DA7" s="1079">
        <v>99</v>
      </c>
      <c r="DB7" s="1079">
        <v>100</v>
      </c>
      <c r="DC7" s="1079">
        <v>101</v>
      </c>
      <c r="DD7" s="1079">
        <v>102</v>
      </c>
      <c r="DE7" s="1079">
        <v>103</v>
      </c>
      <c r="DF7" s="1079">
        <v>104</v>
      </c>
      <c r="DG7" s="1079">
        <v>105</v>
      </c>
      <c r="DH7" s="1079">
        <v>106</v>
      </c>
      <c r="DI7" s="1079">
        <v>107</v>
      </c>
      <c r="DJ7" s="1079">
        <v>108</v>
      </c>
      <c r="DK7" s="1079">
        <v>109</v>
      </c>
      <c r="DL7" s="1079">
        <v>110</v>
      </c>
      <c r="DM7" s="1079">
        <v>111</v>
      </c>
      <c r="DN7" s="1079">
        <v>112</v>
      </c>
      <c r="DO7" s="1079">
        <v>113</v>
      </c>
      <c r="DP7" s="1079">
        <v>114</v>
      </c>
      <c r="DQ7" s="1079">
        <v>115</v>
      </c>
      <c r="DR7" s="1079">
        <v>116</v>
      </c>
      <c r="DS7" s="1079">
        <v>117</v>
      </c>
      <c r="DT7" s="1079">
        <v>118</v>
      </c>
      <c r="DU7" s="1079">
        <v>119</v>
      </c>
      <c r="DV7" s="1079">
        <v>120</v>
      </c>
      <c r="DW7" s="1079">
        <v>121</v>
      </c>
      <c r="DX7" s="1079">
        <v>122</v>
      </c>
      <c r="DY7" s="1079">
        <v>123</v>
      </c>
      <c r="DZ7" s="1079">
        <v>124</v>
      </c>
      <c r="EA7" s="1079">
        <v>125</v>
      </c>
      <c r="EB7" s="1079">
        <v>126</v>
      </c>
      <c r="EC7" s="1079">
        <v>127</v>
      </c>
      <c r="ED7" s="1079">
        <v>128</v>
      </c>
      <c r="EE7" s="1079">
        <v>129</v>
      </c>
      <c r="EF7" s="1079">
        <v>130</v>
      </c>
      <c r="EG7" s="1079">
        <v>131</v>
      </c>
      <c r="EH7" s="1079">
        <v>132</v>
      </c>
      <c r="EI7" s="1079">
        <v>133</v>
      </c>
      <c r="EJ7" s="1079">
        <v>134</v>
      </c>
      <c r="EK7" s="1079">
        <v>135</v>
      </c>
      <c r="EL7" s="1079">
        <v>136</v>
      </c>
      <c r="EM7" s="1079">
        <v>137</v>
      </c>
      <c r="EN7" s="1079">
        <v>138</v>
      </c>
      <c r="EO7" s="1079">
        <v>139</v>
      </c>
      <c r="EP7" s="1079">
        <v>140</v>
      </c>
      <c r="EQ7" s="1079">
        <v>141</v>
      </c>
      <c r="ER7" s="1079">
        <v>142</v>
      </c>
      <c r="ES7" s="1079">
        <v>143</v>
      </c>
      <c r="ET7" s="1079">
        <v>144</v>
      </c>
      <c r="EU7" s="1079">
        <v>145</v>
      </c>
      <c r="EV7" s="1079">
        <v>146</v>
      </c>
      <c r="EW7" s="1079">
        <v>147</v>
      </c>
      <c r="EX7" s="1079">
        <v>148</v>
      </c>
      <c r="EY7" s="1079">
        <v>149</v>
      </c>
      <c r="EZ7" s="1079">
        <v>150</v>
      </c>
      <c r="FA7" s="1079">
        <v>151</v>
      </c>
      <c r="FB7" s="1079">
        <v>152</v>
      </c>
      <c r="FC7" s="1079">
        <v>153</v>
      </c>
      <c r="FD7" s="1079">
        <v>154</v>
      </c>
      <c r="FE7" s="1079">
        <v>155</v>
      </c>
      <c r="FF7" s="1079">
        <v>156</v>
      </c>
      <c r="FG7" s="1079">
        <v>157</v>
      </c>
      <c r="FH7" s="1079">
        <v>158</v>
      </c>
      <c r="FI7" s="1079">
        <v>159</v>
      </c>
      <c r="FJ7" s="1079">
        <v>160</v>
      </c>
      <c r="FK7" s="1079">
        <v>161</v>
      </c>
      <c r="FL7" s="1079">
        <v>162</v>
      </c>
      <c r="FM7" s="1079">
        <v>163</v>
      </c>
      <c r="FN7" s="1079">
        <v>164</v>
      </c>
      <c r="FO7" s="1079">
        <v>165</v>
      </c>
      <c r="FP7" s="1079">
        <v>166</v>
      </c>
      <c r="FQ7" s="1079">
        <v>167</v>
      </c>
      <c r="FR7" s="1079">
        <v>168</v>
      </c>
    </row>
    <row r="8" spans="1:174" s="339" customFormat="1" ht="63" thickBot="1" x14ac:dyDescent="0.35">
      <c r="A8" s="1037" t="s">
        <v>3474</v>
      </c>
      <c r="B8" s="812" t="s">
        <v>35</v>
      </c>
      <c r="C8" s="625" t="s">
        <v>152</v>
      </c>
      <c r="D8" s="6" t="s">
        <v>3507</v>
      </c>
      <c r="E8" s="6" t="s">
        <v>3508</v>
      </c>
      <c r="F8" s="1080" t="s">
        <v>3692</v>
      </c>
      <c r="G8" s="1081" t="s">
        <v>2523</v>
      </c>
      <c r="H8" s="1081" t="s">
        <v>2524</v>
      </c>
      <c r="I8" s="1081" t="s">
        <v>2525</v>
      </c>
      <c r="J8" s="1081" t="s">
        <v>2526</v>
      </c>
      <c r="K8" s="1081" t="s">
        <v>2527</v>
      </c>
      <c r="L8" s="1081" t="s">
        <v>2528</v>
      </c>
      <c r="M8" s="1081" t="s">
        <v>2529</v>
      </c>
      <c r="N8" s="1081" t="s">
        <v>2530</v>
      </c>
      <c r="O8" s="1081" t="s">
        <v>2531</v>
      </c>
      <c r="P8" s="1081" t="s">
        <v>2532</v>
      </c>
      <c r="Q8" s="1081" t="s">
        <v>2533</v>
      </c>
      <c r="R8" s="1081" t="s">
        <v>2534</v>
      </c>
      <c r="S8" s="1081" t="s">
        <v>2535</v>
      </c>
      <c r="T8" s="1081" t="s">
        <v>2536</v>
      </c>
      <c r="U8" s="1081" t="s">
        <v>2537</v>
      </c>
      <c r="V8" s="1081" t="s">
        <v>2538</v>
      </c>
      <c r="W8" s="1081" t="s">
        <v>2539</v>
      </c>
      <c r="X8" s="1081" t="s">
        <v>2540</v>
      </c>
      <c r="Y8" s="1081" t="s">
        <v>2541</v>
      </c>
      <c r="Z8" s="1081" t="s">
        <v>2542</v>
      </c>
      <c r="AA8" s="1081" t="s">
        <v>2543</v>
      </c>
      <c r="AB8" s="1081" t="s">
        <v>2544</v>
      </c>
      <c r="AC8" s="1081" t="s">
        <v>2545</v>
      </c>
      <c r="AD8" s="1081" t="s">
        <v>2546</v>
      </c>
      <c r="AE8" s="1081" t="s">
        <v>2547</v>
      </c>
      <c r="AF8" s="1081" t="s">
        <v>2548</v>
      </c>
      <c r="AG8" s="1081" t="s">
        <v>2549</v>
      </c>
      <c r="AH8" s="1081" t="s">
        <v>2550</v>
      </c>
      <c r="AI8" s="1081" t="s">
        <v>2551</v>
      </c>
      <c r="AJ8" s="1081" t="s">
        <v>2552</v>
      </c>
      <c r="AK8" s="1081" t="s">
        <v>2553</v>
      </c>
      <c r="AL8" s="1081" t="s">
        <v>2554</v>
      </c>
      <c r="AM8" s="1081" t="s">
        <v>2555</v>
      </c>
      <c r="AN8" s="1081" t="s">
        <v>2556</v>
      </c>
      <c r="AO8" s="1081" t="s">
        <v>2557</v>
      </c>
      <c r="AP8" s="1081" t="s">
        <v>2558</v>
      </c>
      <c r="AQ8" s="1081" t="s">
        <v>2559</v>
      </c>
      <c r="AR8" s="1081" t="s">
        <v>2560</v>
      </c>
      <c r="AS8" s="1081" t="s">
        <v>2561</v>
      </c>
      <c r="AT8" s="1081" t="s">
        <v>2562</v>
      </c>
      <c r="AU8" s="1081" t="s">
        <v>2563</v>
      </c>
      <c r="AV8" s="1081" t="s">
        <v>2564</v>
      </c>
      <c r="AW8" s="1081" t="s">
        <v>2565</v>
      </c>
      <c r="AX8" s="1081" t="s">
        <v>2566</v>
      </c>
      <c r="AY8" s="1081" t="s">
        <v>2567</v>
      </c>
      <c r="AZ8" s="1081" t="s">
        <v>2568</v>
      </c>
      <c r="BA8" s="1081" t="s">
        <v>2569</v>
      </c>
      <c r="BB8" s="1081" t="s">
        <v>2570</v>
      </c>
      <c r="BC8" s="1081" t="s">
        <v>2571</v>
      </c>
      <c r="BD8" s="1081" t="s">
        <v>2572</v>
      </c>
      <c r="BE8" s="1081" t="s">
        <v>2573</v>
      </c>
      <c r="BF8" s="1081" t="s">
        <v>2574</v>
      </c>
      <c r="BG8" s="1081" t="s">
        <v>2575</v>
      </c>
      <c r="BH8" s="1081" t="s">
        <v>2576</v>
      </c>
      <c r="BI8" s="1081" t="s">
        <v>2577</v>
      </c>
      <c r="BJ8" s="1081" t="s">
        <v>2578</v>
      </c>
      <c r="BK8" s="1081" t="s">
        <v>2579</v>
      </c>
      <c r="BL8" s="1081" t="s">
        <v>2580</v>
      </c>
      <c r="BM8" s="1081" t="s">
        <v>2581</v>
      </c>
      <c r="BN8" s="1081" t="s">
        <v>2582</v>
      </c>
      <c r="BO8" s="1081" t="s">
        <v>2583</v>
      </c>
      <c r="BP8" s="1081" t="s">
        <v>2584</v>
      </c>
      <c r="BQ8" s="1081" t="s">
        <v>2585</v>
      </c>
      <c r="BR8" s="1081" t="s">
        <v>2586</v>
      </c>
      <c r="BS8" s="1081" t="s">
        <v>2587</v>
      </c>
      <c r="BT8" s="1081" t="s">
        <v>2588</v>
      </c>
      <c r="BU8" s="1081" t="s">
        <v>2589</v>
      </c>
      <c r="BV8" s="1081" t="s">
        <v>2590</v>
      </c>
      <c r="BW8" s="1081" t="s">
        <v>2591</v>
      </c>
      <c r="BX8" s="1081" t="s">
        <v>2592</v>
      </c>
      <c r="BY8" s="1081" t="s">
        <v>2593</v>
      </c>
      <c r="BZ8" s="1081" t="s">
        <v>2594</v>
      </c>
      <c r="CA8" s="1081" t="s">
        <v>2595</v>
      </c>
      <c r="CB8" s="1081" t="s">
        <v>2596</v>
      </c>
      <c r="CC8" s="1081" t="s">
        <v>2597</v>
      </c>
      <c r="CD8" s="1081" t="s">
        <v>2598</v>
      </c>
      <c r="CE8" s="1081" t="s">
        <v>2599</v>
      </c>
      <c r="CF8" s="1081" t="s">
        <v>2600</v>
      </c>
      <c r="CG8" s="1081" t="s">
        <v>2601</v>
      </c>
      <c r="CH8" s="1081" t="s">
        <v>2602</v>
      </c>
      <c r="CI8" s="1081" t="s">
        <v>2603</v>
      </c>
      <c r="CJ8" s="1081" t="s">
        <v>2604</v>
      </c>
      <c r="CK8" s="1081" t="s">
        <v>2605</v>
      </c>
      <c r="CL8" s="1081" t="s">
        <v>2606</v>
      </c>
      <c r="CM8" s="1081" t="s">
        <v>2607</v>
      </c>
      <c r="CN8" s="1081" t="s">
        <v>2608</v>
      </c>
      <c r="CO8" s="1081" t="s">
        <v>2609</v>
      </c>
      <c r="CP8" s="1081" t="s">
        <v>2610</v>
      </c>
      <c r="CQ8" s="1081" t="s">
        <v>2611</v>
      </c>
      <c r="CR8" s="1081" t="s">
        <v>2612</v>
      </c>
      <c r="CS8" s="1081" t="s">
        <v>2613</v>
      </c>
      <c r="CT8" s="1081" t="s">
        <v>2614</v>
      </c>
      <c r="CU8" s="1081" t="s">
        <v>2615</v>
      </c>
      <c r="CV8" s="1081" t="s">
        <v>2616</v>
      </c>
      <c r="CW8" s="1081" t="s">
        <v>2617</v>
      </c>
      <c r="CX8" s="1081" t="s">
        <v>2618</v>
      </c>
      <c r="CY8" s="1081" t="s">
        <v>2619</v>
      </c>
      <c r="CZ8" s="1081" t="s">
        <v>2620</v>
      </c>
      <c r="DA8" s="1081" t="s">
        <v>2621</v>
      </c>
      <c r="DB8" s="1081" t="s">
        <v>2622</v>
      </c>
      <c r="DC8" s="1081" t="s">
        <v>2623</v>
      </c>
      <c r="DD8" s="1081" t="s">
        <v>2624</v>
      </c>
      <c r="DE8" s="1081" t="s">
        <v>2625</v>
      </c>
      <c r="DF8" s="1081" t="s">
        <v>2626</v>
      </c>
      <c r="DG8" s="1081" t="s">
        <v>2627</v>
      </c>
      <c r="DH8" s="1081" t="s">
        <v>2628</v>
      </c>
      <c r="DI8" s="1081" t="s">
        <v>2629</v>
      </c>
      <c r="DJ8" s="1081" t="s">
        <v>2630</v>
      </c>
      <c r="DK8" s="1081" t="s">
        <v>2631</v>
      </c>
      <c r="DL8" s="1081" t="s">
        <v>2632</v>
      </c>
      <c r="DM8" s="1081" t="s">
        <v>2633</v>
      </c>
      <c r="DN8" s="1081" t="s">
        <v>2634</v>
      </c>
      <c r="DO8" s="1081" t="s">
        <v>2635</v>
      </c>
      <c r="DP8" s="1081" t="s">
        <v>2636</v>
      </c>
      <c r="DQ8" s="1081" t="s">
        <v>2637</v>
      </c>
      <c r="DR8" s="1081" t="s">
        <v>2638</v>
      </c>
      <c r="DS8" s="1081" t="s">
        <v>2639</v>
      </c>
      <c r="DT8" s="1081" t="s">
        <v>2640</v>
      </c>
      <c r="DU8" s="1081" t="s">
        <v>2641</v>
      </c>
      <c r="DV8" s="1081" t="s">
        <v>2642</v>
      </c>
      <c r="DW8" s="1081" t="s">
        <v>2643</v>
      </c>
      <c r="DX8" s="1081" t="s">
        <v>2644</v>
      </c>
      <c r="DY8" s="1081" t="s">
        <v>2645</v>
      </c>
      <c r="DZ8" s="1081" t="s">
        <v>2646</v>
      </c>
      <c r="EA8" s="1081" t="s">
        <v>2647</v>
      </c>
      <c r="EB8" s="1081" t="s">
        <v>2648</v>
      </c>
      <c r="EC8" s="1081" t="s">
        <v>2649</v>
      </c>
      <c r="ED8" s="1081" t="s">
        <v>2650</v>
      </c>
      <c r="EE8" s="1081" t="s">
        <v>2651</v>
      </c>
      <c r="EF8" s="1081" t="s">
        <v>2652</v>
      </c>
      <c r="EG8" s="1081" t="s">
        <v>2653</v>
      </c>
      <c r="EH8" s="1081" t="s">
        <v>2654</v>
      </c>
      <c r="EI8" s="1081" t="s">
        <v>2655</v>
      </c>
      <c r="EJ8" s="1081" t="s">
        <v>2656</v>
      </c>
      <c r="EK8" s="1081" t="s">
        <v>2657</v>
      </c>
      <c r="EL8" s="1081" t="s">
        <v>2658</v>
      </c>
      <c r="EM8" s="1081" t="s">
        <v>2659</v>
      </c>
      <c r="EN8" s="1081" t="s">
        <v>2660</v>
      </c>
      <c r="EO8" s="1081" t="s">
        <v>2661</v>
      </c>
      <c r="EP8" s="1081" t="s">
        <v>2662</v>
      </c>
      <c r="EQ8" s="1081" t="s">
        <v>2663</v>
      </c>
      <c r="ER8" s="1081" t="s">
        <v>2664</v>
      </c>
      <c r="ES8" s="1081" t="s">
        <v>2665</v>
      </c>
      <c r="ET8" s="1081" t="s">
        <v>2666</v>
      </c>
      <c r="EU8" s="1081" t="s">
        <v>2667</v>
      </c>
      <c r="EV8" s="1081" t="s">
        <v>2668</v>
      </c>
      <c r="EW8" s="1081" t="s">
        <v>2669</v>
      </c>
      <c r="EX8" s="1081" t="s">
        <v>2670</v>
      </c>
      <c r="EY8" s="1081" t="s">
        <v>2671</v>
      </c>
      <c r="EZ8" s="1081" t="s">
        <v>2672</v>
      </c>
      <c r="FA8" s="1081" t="s">
        <v>2673</v>
      </c>
      <c r="FB8" s="1081" t="s">
        <v>2674</v>
      </c>
      <c r="FC8" s="1081" t="s">
        <v>2675</v>
      </c>
      <c r="FD8" s="1081" t="s">
        <v>2676</v>
      </c>
      <c r="FE8" s="1081" t="s">
        <v>2677</v>
      </c>
      <c r="FF8" s="1081" t="s">
        <v>2678</v>
      </c>
      <c r="FG8" s="1081" t="s">
        <v>2679</v>
      </c>
      <c r="FH8" s="1081" t="s">
        <v>2680</v>
      </c>
      <c r="FI8" s="1081" t="s">
        <v>2681</v>
      </c>
      <c r="FJ8" s="1081" t="s">
        <v>2682</v>
      </c>
      <c r="FK8" s="1081" t="s">
        <v>2683</v>
      </c>
      <c r="FL8" s="1081" t="s">
        <v>2684</v>
      </c>
      <c r="FM8" s="1081" t="s">
        <v>2685</v>
      </c>
      <c r="FN8" s="1081" t="s">
        <v>2686</v>
      </c>
      <c r="FO8" s="1081" t="s">
        <v>2687</v>
      </c>
      <c r="FP8" s="1081" t="s">
        <v>2688</v>
      </c>
      <c r="FQ8" s="1081" t="s">
        <v>2689</v>
      </c>
      <c r="FR8" s="1081" t="s">
        <v>2690</v>
      </c>
    </row>
    <row r="9" spans="1:174" ht="14.4" x14ac:dyDescent="0.3">
      <c r="F9" s="1082"/>
      <c r="G9" s="1083"/>
      <c r="H9" s="1083"/>
      <c r="J9" s="1083"/>
      <c r="M9" s="1083"/>
      <c r="O9" s="1083"/>
      <c r="Q9" s="1083"/>
      <c r="S9" s="1083"/>
      <c r="T9" s="1083"/>
      <c r="V9" s="1083"/>
      <c r="W9" s="1083"/>
      <c r="X9" s="1083"/>
      <c r="Z9" s="1083"/>
      <c r="AA9" s="1083"/>
      <c r="AB9" s="1083"/>
      <c r="AC9" s="1083"/>
      <c r="AD9" s="1083"/>
      <c r="AE9" s="1083"/>
      <c r="AF9" s="1083"/>
      <c r="AH9" s="1083"/>
      <c r="AK9" s="1083"/>
      <c r="AM9" s="1083"/>
      <c r="AN9" s="1083"/>
      <c r="AO9" s="1083"/>
      <c r="AQ9" s="1083"/>
      <c r="AS9" s="1083"/>
      <c r="AU9" s="1083"/>
      <c r="AV9" s="1083"/>
      <c r="AY9" s="1083"/>
      <c r="AZ9" s="1083"/>
      <c r="BB9" s="1083"/>
      <c r="BD9" s="1083"/>
      <c r="BE9" s="1083"/>
      <c r="BF9" s="1083"/>
      <c r="BG9" s="1083"/>
      <c r="BH9" s="1083"/>
      <c r="BJ9" s="1083"/>
      <c r="BL9" s="1083"/>
      <c r="BO9" s="1083"/>
      <c r="BP9" s="1083"/>
      <c r="BR9" s="1083"/>
      <c r="BT9" s="1083"/>
      <c r="BU9" s="1083"/>
      <c r="BW9" s="1083"/>
      <c r="BX9" s="1083"/>
      <c r="BY9" s="1083"/>
      <c r="BZ9" s="1083"/>
      <c r="CA9" s="1083"/>
      <c r="CC9" s="1083"/>
      <c r="CF9" s="1083"/>
      <c r="CJ9" s="1083"/>
      <c r="CK9" s="1083"/>
      <c r="CM9" s="1083"/>
      <c r="CN9" s="1083"/>
      <c r="CO9" s="1083"/>
      <c r="CP9" s="1083"/>
      <c r="CQ9" s="1083"/>
      <c r="CR9" s="1083"/>
      <c r="CS9" s="1083"/>
      <c r="CU9" s="1083"/>
      <c r="CV9" s="1083"/>
      <c r="CW9" s="1083"/>
      <c r="CZ9" s="1083"/>
      <c r="DA9" s="1083"/>
      <c r="DB9" s="1083"/>
      <c r="DC9" s="1083"/>
      <c r="DD9" s="1083"/>
      <c r="DE9" s="1083"/>
      <c r="DG9" s="1083"/>
      <c r="DI9" s="1083"/>
      <c r="DJ9" s="1083"/>
      <c r="DK9" s="1083"/>
      <c r="DM9" s="1083"/>
      <c r="DN9" s="1083"/>
      <c r="DO9" s="1083"/>
      <c r="DP9" s="1083"/>
      <c r="DS9" s="1083"/>
      <c r="DV9" s="1083"/>
      <c r="DW9" s="1083"/>
      <c r="DX9" s="1083"/>
      <c r="DY9" s="1083"/>
      <c r="EB9" s="1083"/>
      <c r="EC9" s="1083"/>
      <c r="ED9" s="1083"/>
      <c r="EE9" s="1083"/>
      <c r="EG9" s="1083"/>
      <c r="EJ9" s="1083"/>
      <c r="EK9" s="1083"/>
      <c r="EL9" s="1083"/>
      <c r="EM9" s="1083"/>
      <c r="EN9" s="1083"/>
      <c r="EO9" s="1083"/>
      <c r="EP9" s="1083"/>
      <c r="EQ9" s="1083"/>
      <c r="ER9" s="1083"/>
      <c r="ES9" s="1083"/>
      <c r="ET9" s="1083"/>
      <c r="EV9" s="1083"/>
      <c r="EX9" s="1083"/>
      <c r="EY9" s="1083"/>
      <c r="EZ9" s="1083"/>
      <c r="FA9" s="1083"/>
      <c r="FB9" s="1083"/>
      <c r="FD9" s="1083"/>
      <c r="FH9" s="1083"/>
      <c r="FJ9" s="1083"/>
      <c r="FK9" s="1083"/>
      <c r="FN9" s="1083"/>
      <c r="FO9" s="1083"/>
      <c r="FP9" s="1083"/>
      <c r="FR9" s="1083"/>
    </row>
    <row r="10" spans="1:174" ht="14.4" x14ac:dyDescent="0.3">
      <c r="F10" s="1082"/>
      <c r="G10" s="1083"/>
      <c r="H10" s="1083"/>
      <c r="J10" s="1083"/>
      <c r="M10" s="1083"/>
      <c r="O10" s="1083"/>
      <c r="Q10" s="1083"/>
      <c r="S10" s="1083"/>
      <c r="T10" s="1083"/>
      <c r="V10" s="1083"/>
      <c r="W10" s="1083"/>
      <c r="X10" s="1083"/>
      <c r="Z10" s="1083"/>
      <c r="AA10" s="1083"/>
      <c r="AB10" s="1083"/>
      <c r="AC10" s="1083"/>
      <c r="AD10" s="1083"/>
      <c r="AE10" s="1083"/>
      <c r="AF10" s="1083"/>
      <c r="AH10" s="1083"/>
      <c r="AK10" s="1083"/>
      <c r="AM10" s="1083"/>
      <c r="AN10" s="1083"/>
      <c r="AO10" s="1083"/>
      <c r="AQ10" s="1083"/>
      <c r="AS10" s="1083"/>
      <c r="AU10" s="1083"/>
      <c r="AV10" s="1083"/>
      <c r="AY10" s="1083"/>
      <c r="AZ10" s="1083"/>
      <c r="BB10" s="1083"/>
      <c r="BD10" s="1083"/>
      <c r="BE10" s="1083"/>
      <c r="BF10" s="1083"/>
      <c r="BG10" s="1083"/>
      <c r="BH10" s="1083"/>
      <c r="BJ10" s="1083"/>
      <c r="BL10" s="1083"/>
      <c r="BO10" s="1083"/>
      <c r="BP10" s="1083"/>
      <c r="BR10" s="1083"/>
      <c r="BT10" s="1083"/>
      <c r="BU10" s="1083"/>
      <c r="BW10" s="1083"/>
      <c r="BX10" s="1083"/>
      <c r="BY10" s="1083"/>
      <c r="BZ10" s="1083"/>
      <c r="CA10" s="1083"/>
      <c r="CC10" s="1083"/>
      <c r="CF10" s="1083"/>
      <c r="CJ10" s="1083"/>
      <c r="CK10" s="1083"/>
      <c r="CM10" s="1083"/>
      <c r="CN10" s="1083"/>
      <c r="CO10" s="1083"/>
      <c r="CP10" s="1083"/>
      <c r="CQ10" s="1083"/>
      <c r="CR10" s="1083"/>
      <c r="CS10" s="1083"/>
      <c r="CU10" s="1083"/>
      <c r="CV10" s="1083"/>
      <c r="CW10" s="1083"/>
      <c r="CZ10" s="1083"/>
      <c r="DA10" s="1083"/>
      <c r="DB10" s="1083"/>
      <c r="DC10" s="1083"/>
      <c r="DD10" s="1083"/>
      <c r="DE10" s="1083"/>
      <c r="DG10" s="1083"/>
      <c r="DI10" s="1083"/>
      <c r="DJ10" s="1083"/>
      <c r="DK10" s="1083"/>
      <c r="DM10" s="1083"/>
      <c r="DN10" s="1083"/>
      <c r="DO10" s="1083"/>
      <c r="DP10" s="1083"/>
      <c r="DS10" s="1083"/>
      <c r="DV10" s="1083"/>
      <c r="DW10" s="1083"/>
      <c r="DX10" s="1083"/>
      <c r="DY10" s="1083"/>
      <c r="EB10" s="1083"/>
      <c r="EC10" s="1083"/>
      <c r="ED10" s="1083"/>
      <c r="EE10" s="1083"/>
      <c r="EG10" s="1083"/>
      <c r="EJ10" s="1083"/>
      <c r="EK10" s="1083"/>
      <c r="EL10" s="1083"/>
      <c r="EM10" s="1083"/>
      <c r="EN10" s="1083"/>
      <c r="EO10" s="1083"/>
      <c r="EP10" s="1083"/>
      <c r="EQ10" s="1083"/>
      <c r="ER10" s="1083"/>
      <c r="ES10" s="1083"/>
      <c r="ET10" s="1083"/>
      <c r="EV10" s="1083"/>
      <c r="EX10" s="1083"/>
      <c r="EY10" s="1083"/>
      <c r="EZ10" s="1083"/>
      <c r="FA10" s="1083"/>
      <c r="FB10" s="1083"/>
      <c r="FD10" s="1083"/>
      <c r="FH10" s="1083"/>
      <c r="FJ10" s="1083"/>
      <c r="FK10" s="1083"/>
      <c r="FN10" s="1083"/>
      <c r="FO10" s="1083"/>
      <c r="FP10" s="1083"/>
      <c r="FR10" s="1083"/>
    </row>
    <row r="11" spans="1:174" ht="14.4" x14ac:dyDescent="0.3">
      <c r="F11" s="1082"/>
      <c r="G11" s="1083"/>
      <c r="H11" s="1083"/>
      <c r="J11" s="1083"/>
      <c r="M11" s="1083"/>
      <c r="O11" s="1083"/>
      <c r="Q11" s="1083"/>
      <c r="S11" s="1083"/>
      <c r="T11" s="1083"/>
      <c r="V11" s="1083"/>
      <c r="W11" s="1083"/>
      <c r="X11" s="1083"/>
      <c r="Z11" s="1083"/>
      <c r="AA11" s="1083"/>
      <c r="AB11" s="1083"/>
      <c r="AC11" s="1083"/>
      <c r="AD11" s="1083"/>
      <c r="AE11" s="1083"/>
      <c r="AF11" s="1083"/>
      <c r="AH11" s="1083"/>
      <c r="AK11" s="1083"/>
      <c r="AM11" s="1083"/>
      <c r="AN11" s="1083"/>
      <c r="AO11" s="1083"/>
      <c r="AQ11" s="1083"/>
      <c r="AS11" s="1083"/>
      <c r="AU11" s="1083"/>
      <c r="AV11" s="1083"/>
      <c r="AY11" s="1083"/>
      <c r="AZ11" s="1083"/>
      <c r="BB11" s="1083"/>
      <c r="BD11" s="1083"/>
      <c r="BE11" s="1083"/>
      <c r="BF11" s="1083"/>
      <c r="BG11" s="1083"/>
      <c r="BH11" s="1083"/>
      <c r="BJ11" s="1083"/>
      <c r="BL11" s="1083"/>
      <c r="BO11" s="1083"/>
      <c r="BP11" s="1083"/>
      <c r="BR11" s="1083"/>
      <c r="BT11" s="1083"/>
      <c r="BU11" s="1083"/>
      <c r="BW11" s="1083"/>
      <c r="BX11" s="1083"/>
      <c r="BY11" s="1083"/>
      <c r="BZ11" s="1083"/>
      <c r="CA11" s="1083"/>
      <c r="CC11" s="1083"/>
      <c r="CF11" s="1083"/>
      <c r="CJ11" s="1083"/>
      <c r="CK11" s="1083"/>
      <c r="CM11" s="1083"/>
      <c r="CN11" s="1083"/>
      <c r="CO11" s="1083"/>
      <c r="CP11" s="1083"/>
      <c r="CQ11" s="1083"/>
      <c r="CR11" s="1083"/>
      <c r="CS11" s="1083"/>
      <c r="CU11" s="1083"/>
      <c r="CV11" s="1083"/>
      <c r="CW11" s="1083"/>
      <c r="CZ11" s="1083"/>
      <c r="DA11" s="1083"/>
      <c r="DB11" s="1083"/>
      <c r="DC11" s="1083"/>
      <c r="DD11" s="1083"/>
      <c r="DE11" s="1083"/>
      <c r="DG11" s="1083"/>
      <c r="DI11" s="1083"/>
      <c r="DJ11" s="1083"/>
      <c r="DK11" s="1083"/>
      <c r="DM11" s="1083"/>
      <c r="DN11" s="1083"/>
      <c r="DO11" s="1083"/>
      <c r="DP11" s="1083"/>
      <c r="DS11" s="1083"/>
      <c r="DV11" s="1083"/>
      <c r="DW11" s="1083"/>
      <c r="DX11" s="1083"/>
      <c r="DY11" s="1083"/>
      <c r="EB11" s="1083"/>
      <c r="EC11" s="1083"/>
      <c r="ED11" s="1083"/>
      <c r="EE11" s="1083"/>
      <c r="EG11" s="1083"/>
      <c r="EJ11" s="1083"/>
      <c r="EK11" s="1083"/>
      <c r="EL11" s="1083"/>
      <c r="EM11" s="1083"/>
      <c r="EN11" s="1083"/>
      <c r="EO11" s="1083"/>
      <c r="EP11" s="1083"/>
      <c r="EQ11" s="1083"/>
      <c r="ER11" s="1083"/>
      <c r="ES11" s="1083"/>
      <c r="ET11" s="1083"/>
      <c r="EV11" s="1083"/>
      <c r="EX11" s="1083"/>
      <c r="EY11" s="1083"/>
      <c r="EZ11" s="1083"/>
      <c r="FA11" s="1083"/>
      <c r="FB11" s="1083"/>
      <c r="FD11" s="1083"/>
      <c r="FH11" s="1083"/>
      <c r="FJ11" s="1083"/>
      <c r="FK11" s="1083"/>
      <c r="FN11" s="1083"/>
      <c r="FO11" s="1083"/>
      <c r="FP11" s="1083"/>
      <c r="FR11" s="1083"/>
    </row>
    <row r="12" spans="1:174" ht="14.4" x14ac:dyDescent="0.3">
      <c r="F12" s="1082"/>
      <c r="G12" s="1083"/>
      <c r="H12" s="1083"/>
      <c r="J12" s="1083"/>
      <c r="M12" s="1083"/>
      <c r="O12" s="1083"/>
      <c r="Q12" s="1083"/>
      <c r="S12" s="1083"/>
      <c r="T12" s="1083"/>
      <c r="V12" s="1083"/>
      <c r="W12" s="1083"/>
      <c r="X12" s="1083"/>
      <c r="Z12" s="1083"/>
      <c r="AA12" s="1083"/>
      <c r="AB12" s="1083"/>
      <c r="AC12" s="1083"/>
      <c r="AD12" s="1083"/>
      <c r="AE12" s="1083"/>
      <c r="AF12" s="1083"/>
      <c r="AH12" s="1083"/>
      <c r="AK12" s="1083"/>
      <c r="AM12" s="1083"/>
      <c r="AN12" s="1083"/>
      <c r="AO12" s="1083"/>
      <c r="AQ12" s="1083"/>
      <c r="AS12" s="1083"/>
      <c r="AU12" s="1083"/>
      <c r="AV12" s="1083"/>
      <c r="AY12" s="1083"/>
      <c r="AZ12" s="1083"/>
      <c r="BB12" s="1083"/>
      <c r="BD12" s="1083"/>
      <c r="BE12" s="1083"/>
      <c r="BF12" s="1083"/>
      <c r="BG12" s="1083"/>
      <c r="BH12" s="1083"/>
      <c r="BJ12" s="1083"/>
      <c r="BL12" s="1083"/>
      <c r="BO12" s="1083"/>
      <c r="BP12" s="1083"/>
      <c r="BR12" s="1083"/>
      <c r="BT12" s="1083"/>
      <c r="BU12" s="1083"/>
      <c r="BW12" s="1083"/>
      <c r="BX12" s="1083"/>
      <c r="BY12" s="1083"/>
      <c r="BZ12" s="1083"/>
      <c r="CA12" s="1083"/>
      <c r="CC12" s="1083"/>
      <c r="CF12" s="1083"/>
      <c r="CJ12" s="1083"/>
      <c r="CK12" s="1083"/>
      <c r="CM12" s="1083"/>
      <c r="CN12" s="1083"/>
      <c r="CO12" s="1083"/>
      <c r="CP12" s="1083"/>
      <c r="CQ12" s="1083"/>
      <c r="CR12" s="1083"/>
      <c r="CS12" s="1083"/>
      <c r="CU12" s="1083"/>
      <c r="CV12" s="1083"/>
      <c r="CW12" s="1083"/>
      <c r="CZ12" s="1083"/>
      <c r="DA12" s="1083"/>
      <c r="DB12" s="1083"/>
      <c r="DC12" s="1083"/>
      <c r="DD12" s="1083"/>
      <c r="DE12" s="1083"/>
      <c r="DG12" s="1083"/>
      <c r="DI12" s="1083"/>
      <c r="DJ12" s="1083"/>
      <c r="DK12" s="1083"/>
      <c r="DM12" s="1083"/>
      <c r="DN12" s="1083"/>
      <c r="DO12" s="1083"/>
      <c r="DP12" s="1083"/>
      <c r="DS12" s="1083"/>
      <c r="DV12" s="1083"/>
      <c r="DW12" s="1083"/>
      <c r="DX12" s="1083"/>
      <c r="DY12" s="1083"/>
      <c r="EB12" s="1083"/>
      <c r="EC12" s="1083"/>
      <c r="ED12" s="1083"/>
      <c r="EE12" s="1083"/>
      <c r="EG12" s="1083"/>
      <c r="EJ12" s="1083"/>
      <c r="EK12" s="1083"/>
      <c r="EL12" s="1083"/>
      <c r="EM12" s="1083"/>
      <c r="EN12" s="1083"/>
      <c r="EO12" s="1083"/>
      <c r="EP12" s="1083"/>
      <c r="EQ12" s="1083"/>
      <c r="ER12" s="1083"/>
      <c r="ES12" s="1083"/>
      <c r="ET12" s="1083"/>
      <c r="EV12" s="1083"/>
      <c r="EX12" s="1083"/>
      <c r="EY12" s="1083"/>
      <c r="EZ12" s="1083"/>
      <c r="FA12" s="1083"/>
      <c r="FB12" s="1083"/>
      <c r="FD12" s="1083"/>
      <c r="FH12" s="1083"/>
      <c r="FJ12" s="1083"/>
      <c r="FK12" s="1083"/>
      <c r="FN12" s="1083"/>
      <c r="FO12" s="1083"/>
      <c r="FP12" s="1083"/>
      <c r="FR12" s="1083"/>
    </row>
    <row r="13" spans="1:174" ht="14.4" x14ac:dyDescent="0.3">
      <c r="F13" s="1082"/>
      <c r="G13" s="1083"/>
      <c r="H13" s="1083"/>
      <c r="J13" s="1083"/>
      <c r="M13" s="1083"/>
      <c r="O13" s="1083"/>
      <c r="Q13" s="1083"/>
      <c r="S13" s="1083"/>
      <c r="T13" s="1083"/>
      <c r="V13" s="1083"/>
      <c r="W13" s="1083"/>
      <c r="X13" s="1083"/>
      <c r="Z13" s="1083"/>
      <c r="AA13" s="1083"/>
      <c r="AB13" s="1083"/>
      <c r="AC13" s="1083"/>
      <c r="AD13" s="1083"/>
      <c r="AE13" s="1083"/>
      <c r="AF13" s="1083"/>
      <c r="AH13" s="1083"/>
      <c r="AK13" s="1083"/>
      <c r="AM13" s="1083"/>
      <c r="AN13" s="1083"/>
      <c r="AO13" s="1083"/>
      <c r="AQ13" s="1083"/>
      <c r="AS13" s="1083"/>
      <c r="AU13" s="1083"/>
      <c r="AV13" s="1083"/>
      <c r="AY13" s="1083"/>
      <c r="AZ13" s="1083"/>
      <c r="BB13" s="1083"/>
      <c r="BD13" s="1083"/>
      <c r="BE13" s="1083"/>
      <c r="BF13" s="1083"/>
      <c r="BG13" s="1083"/>
      <c r="BH13" s="1083"/>
      <c r="BJ13" s="1083"/>
      <c r="BL13" s="1083"/>
      <c r="BO13" s="1083"/>
      <c r="BP13" s="1083"/>
      <c r="BR13" s="1083"/>
      <c r="BT13" s="1083"/>
      <c r="BU13" s="1083"/>
      <c r="BW13" s="1083"/>
      <c r="BX13" s="1083"/>
      <c r="BY13" s="1083"/>
      <c r="BZ13" s="1083"/>
      <c r="CA13" s="1083"/>
      <c r="CC13" s="1083"/>
      <c r="CF13" s="1083"/>
      <c r="CJ13" s="1083"/>
      <c r="CK13" s="1083"/>
      <c r="CM13" s="1083"/>
      <c r="CN13" s="1083"/>
      <c r="CO13" s="1083"/>
      <c r="CP13" s="1083"/>
      <c r="CQ13" s="1083"/>
      <c r="CR13" s="1083"/>
      <c r="CS13" s="1083"/>
      <c r="CU13" s="1083"/>
      <c r="CV13" s="1083"/>
      <c r="CW13" s="1083"/>
      <c r="CZ13" s="1083"/>
      <c r="DA13" s="1083"/>
      <c r="DB13" s="1083"/>
      <c r="DC13" s="1083"/>
      <c r="DD13" s="1083"/>
      <c r="DE13" s="1083"/>
      <c r="DG13" s="1083"/>
      <c r="DI13" s="1083"/>
      <c r="DJ13" s="1083"/>
      <c r="DK13" s="1083"/>
      <c r="DM13" s="1083"/>
      <c r="DN13" s="1083"/>
      <c r="DO13" s="1083"/>
      <c r="DP13" s="1083"/>
      <c r="DS13" s="1083"/>
      <c r="DV13" s="1083"/>
      <c r="DW13" s="1083"/>
      <c r="DX13" s="1083"/>
      <c r="DY13" s="1083"/>
      <c r="EB13" s="1083"/>
      <c r="EC13" s="1083"/>
      <c r="ED13" s="1083"/>
      <c r="EE13" s="1083"/>
      <c r="EG13" s="1083"/>
      <c r="EJ13" s="1083"/>
      <c r="EK13" s="1083"/>
      <c r="EL13" s="1083"/>
      <c r="EM13" s="1083"/>
      <c r="EN13" s="1083"/>
      <c r="EO13" s="1083"/>
      <c r="EP13" s="1083"/>
      <c r="EQ13" s="1083"/>
      <c r="ER13" s="1083"/>
      <c r="ES13" s="1083"/>
      <c r="ET13" s="1083"/>
      <c r="EV13" s="1083"/>
      <c r="EX13" s="1083"/>
      <c r="EY13" s="1083"/>
      <c r="EZ13" s="1083"/>
      <c r="FA13" s="1083"/>
      <c r="FB13" s="1083"/>
      <c r="FD13" s="1083"/>
      <c r="FH13" s="1083"/>
      <c r="FJ13" s="1083"/>
      <c r="FK13" s="1083"/>
      <c r="FN13" s="1083"/>
      <c r="FO13" s="1083"/>
      <c r="FP13" s="1083"/>
      <c r="FR13" s="1083"/>
    </row>
    <row r="14" spans="1:174" ht="14.4" x14ac:dyDescent="0.3">
      <c r="F14" s="1082"/>
      <c r="G14" s="1083"/>
      <c r="H14" s="1083"/>
      <c r="J14" s="1083"/>
      <c r="M14" s="1083"/>
      <c r="O14" s="1083"/>
      <c r="Q14" s="1083"/>
      <c r="S14" s="1083"/>
      <c r="T14" s="1083"/>
      <c r="V14" s="1083"/>
      <c r="W14" s="1083"/>
      <c r="X14" s="1083"/>
      <c r="Z14" s="1083"/>
      <c r="AA14" s="1083"/>
      <c r="AB14" s="1083"/>
      <c r="AC14" s="1083"/>
      <c r="AD14" s="1083"/>
      <c r="AE14" s="1083"/>
      <c r="AF14" s="1083"/>
      <c r="AH14" s="1083"/>
      <c r="AK14" s="1083"/>
      <c r="AM14" s="1083"/>
      <c r="AN14" s="1083"/>
      <c r="AO14" s="1083"/>
      <c r="AQ14" s="1083"/>
      <c r="AS14" s="1083"/>
      <c r="AU14" s="1083"/>
      <c r="AV14" s="1083"/>
      <c r="AY14" s="1083"/>
      <c r="AZ14" s="1083"/>
      <c r="BB14" s="1083"/>
      <c r="BD14" s="1083"/>
      <c r="BE14" s="1083"/>
      <c r="BF14" s="1083"/>
      <c r="BG14" s="1083"/>
      <c r="BH14" s="1083"/>
      <c r="BJ14" s="1083"/>
      <c r="BL14" s="1083"/>
      <c r="BO14" s="1083"/>
      <c r="BP14" s="1083"/>
      <c r="BR14" s="1083"/>
      <c r="BT14" s="1083"/>
      <c r="BU14" s="1083"/>
      <c r="BW14" s="1083"/>
      <c r="BX14" s="1083"/>
      <c r="BY14" s="1083"/>
      <c r="BZ14" s="1083"/>
      <c r="CA14" s="1083"/>
      <c r="CC14" s="1083"/>
      <c r="CF14" s="1083"/>
      <c r="CJ14" s="1083"/>
      <c r="CK14" s="1083"/>
      <c r="CM14" s="1083"/>
      <c r="CN14" s="1083"/>
      <c r="CO14" s="1083"/>
      <c r="CP14" s="1083"/>
      <c r="CQ14" s="1083"/>
      <c r="CR14" s="1083"/>
      <c r="CS14" s="1083"/>
      <c r="CU14" s="1083"/>
      <c r="CV14" s="1083"/>
      <c r="CW14" s="1083"/>
      <c r="CZ14" s="1083"/>
      <c r="DA14" s="1083"/>
      <c r="DB14" s="1083"/>
      <c r="DC14" s="1083"/>
      <c r="DD14" s="1083"/>
      <c r="DE14" s="1083"/>
      <c r="DG14" s="1083"/>
      <c r="DI14" s="1083"/>
      <c r="DJ14" s="1083"/>
      <c r="DK14" s="1083"/>
      <c r="DM14" s="1083"/>
      <c r="DN14" s="1083"/>
      <c r="DO14" s="1083"/>
      <c r="DP14" s="1083"/>
      <c r="DS14" s="1083"/>
      <c r="DV14" s="1083"/>
      <c r="DW14" s="1083"/>
      <c r="DX14" s="1083"/>
      <c r="DY14" s="1083"/>
      <c r="EB14" s="1083"/>
      <c r="EC14" s="1083"/>
      <c r="ED14" s="1083"/>
      <c r="EE14" s="1083"/>
      <c r="EG14" s="1083"/>
      <c r="EJ14" s="1083"/>
      <c r="EK14" s="1083"/>
      <c r="EL14" s="1083"/>
      <c r="EM14" s="1083"/>
      <c r="EN14" s="1083"/>
      <c r="EO14" s="1083"/>
      <c r="EP14" s="1083"/>
      <c r="EQ14" s="1083"/>
      <c r="ER14" s="1083"/>
      <c r="ES14" s="1083"/>
      <c r="ET14" s="1083"/>
      <c r="EV14" s="1083"/>
      <c r="EX14" s="1083"/>
      <c r="EY14" s="1083"/>
      <c r="EZ14" s="1083"/>
      <c r="FA14" s="1083"/>
      <c r="FB14" s="1083"/>
      <c r="FD14" s="1083"/>
      <c r="FH14" s="1083"/>
      <c r="FJ14" s="1083"/>
      <c r="FK14" s="1083"/>
      <c r="FN14" s="1083"/>
      <c r="FO14" s="1083"/>
      <c r="FP14" s="1083"/>
      <c r="FR14" s="1083"/>
    </row>
    <row r="15" spans="1:174" ht="14.4" x14ac:dyDescent="0.3">
      <c r="F15" s="1082"/>
      <c r="G15" s="1083"/>
      <c r="H15" s="1083"/>
      <c r="J15" s="1083"/>
      <c r="M15" s="1083"/>
      <c r="O15" s="1083"/>
      <c r="Q15" s="1083"/>
      <c r="S15" s="1083"/>
      <c r="T15" s="1083"/>
      <c r="V15" s="1083"/>
      <c r="W15" s="1083"/>
      <c r="X15" s="1083"/>
      <c r="Z15" s="1083"/>
      <c r="AA15" s="1083"/>
      <c r="AB15" s="1083"/>
      <c r="AC15" s="1083"/>
      <c r="AD15" s="1083"/>
      <c r="AE15" s="1083"/>
      <c r="AF15" s="1083"/>
      <c r="AH15" s="1083"/>
      <c r="AK15" s="1083"/>
      <c r="AM15" s="1083"/>
      <c r="AN15" s="1083"/>
      <c r="AO15" s="1083"/>
      <c r="AQ15" s="1083"/>
      <c r="AS15" s="1083"/>
      <c r="AU15" s="1083"/>
      <c r="AV15" s="1083"/>
      <c r="AY15" s="1083"/>
      <c r="AZ15" s="1083"/>
      <c r="BB15" s="1083"/>
      <c r="BD15" s="1083"/>
      <c r="BE15" s="1083"/>
      <c r="BF15" s="1083"/>
      <c r="BG15" s="1083"/>
      <c r="BH15" s="1083"/>
      <c r="BJ15" s="1083"/>
      <c r="BL15" s="1083"/>
      <c r="BO15" s="1083"/>
      <c r="BP15" s="1083"/>
      <c r="BR15" s="1083"/>
      <c r="BT15" s="1083"/>
      <c r="BU15" s="1083"/>
      <c r="BW15" s="1083"/>
      <c r="BX15" s="1083"/>
      <c r="BY15" s="1083"/>
      <c r="BZ15" s="1083"/>
      <c r="CA15" s="1083"/>
      <c r="CC15" s="1083"/>
      <c r="CF15" s="1083"/>
      <c r="CJ15" s="1083"/>
      <c r="CK15" s="1083"/>
      <c r="CM15" s="1083"/>
      <c r="CN15" s="1083"/>
      <c r="CO15" s="1083"/>
      <c r="CP15" s="1083"/>
      <c r="CQ15" s="1083"/>
      <c r="CR15" s="1083"/>
      <c r="CS15" s="1083"/>
      <c r="CU15" s="1083"/>
      <c r="CV15" s="1083"/>
      <c r="CW15" s="1083"/>
      <c r="CZ15" s="1083"/>
      <c r="DA15" s="1083"/>
      <c r="DB15" s="1083"/>
      <c r="DC15" s="1083"/>
      <c r="DD15" s="1083"/>
      <c r="DE15" s="1083"/>
      <c r="DG15" s="1083"/>
      <c r="DI15" s="1083"/>
      <c r="DJ15" s="1083"/>
      <c r="DK15" s="1083"/>
      <c r="DM15" s="1083"/>
      <c r="DN15" s="1083"/>
      <c r="DO15" s="1083"/>
      <c r="DP15" s="1083"/>
      <c r="DS15" s="1083"/>
      <c r="DV15" s="1083"/>
      <c r="DW15" s="1083"/>
      <c r="DX15" s="1083"/>
      <c r="DY15" s="1083"/>
      <c r="EB15" s="1083"/>
      <c r="EC15" s="1083"/>
      <c r="ED15" s="1083"/>
      <c r="EE15" s="1083"/>
      <c r="EG15" s="1083"/>
      <c r="EJ15" s="1083"/>
      <c r="EK15" s="1083"/>
      <c r="EL15" s="1083"/>
      <c r="EM15" s="1083"/>
      <c r="EN15" s="1083"/>
      <c r="EO15" s="1083"/>
      <c r="EP15" s="1083"/>
      <c r="EQ15" s="1083"/>
      <c r="ER15" s="1083"/>
      <c r="ES15" s="1083"/>
      <c r="ET15" s="1083"/>
      <c r="EV15" s="1083"/>
      <c r="EX15" s="1083"/>
      <c r="EY15" s="1083"/>
      <c r="EZ15" s="1083"/>
      <c r="FA15" s="1083"/>
      <c r="FB15" s="1083"/>
      <c r="FD15" s="1083"/>
      <c r="FH15" s="1083"/>
      <c r="FJ15" s="1083"/>
      <c r="FK15" s="1083"/>
      <c r="FN15" s="1083"/>
      <c r="FO15" s="1083"/>
      <c r="FP15" s="1083"/>
      <c r="FR15" s="1083"/>
    </row>
    <row r="16" spans="1:174" ht="14.4" x14ac:dyDescent="0.3">
      <c r="F16" s="1082"/>
      <c r="G16" s="1083"/>
      <c r="H16" s="1083"/>
      <c r="J16" s="1083"/>
      <c r="M16" s="1083"/>
      <c r="O16" s="1083"/>
      <c r="Q16" s="1083"/>
      <c r="S16" s="1083"/>
      <c r="T16" s="1083"/>
      <c r="V16" s="1083"/>
      <c r="W16" s="1083"/>
      <c r="X16" s="1083"/>
      <c r="Z16" s="1083"/>
      <c r="AA16" s="1083"/>
      <c r="AB16" s="1083"/>
      <c r="AC16" s="1083"/>
      <c r="AD16" s="1083"/>
      <c r="AE16" s="1083"/>
      <c r="AF16" s="1083"/>
      <c r="AH16" s="1083"/>
      <c r="AK16" s="1083"/>
      <c r="AM16" s="1083"/>
      <c r="AN16" s="1083"/>
      <c r="AO16" s="1083"/>
      <c r="AQ16" s="1083"/>
      <c r="AS16" s="1083"/>
      <c r="AU16" s="1083"/>
      <c r="AV16" s="1083"/>
      <c r="AY16" s="1083"/>
      <c r="AZ16" s="1083"/>
      <c r="BB16" s="1083"/>
      <c r="BD16" s="1083"/>
      <c r="BE16" s="1083"/>
      <c r="BF16" s="1083"/>
      <c r="BG16" s="1083"/>
      <c r="BH16" s="1083"/>
      <c r="BJ16" s="1083"/>
      <c r="BL16" s="1083"/>
      <c r="BO16" s="1083"/>
      <c r="BP16" s="1083"/>
      <c r="BR16" s="1083"/>
      <c r="BT16" s="1083"/>
      <c r="BU16" s="1083"/>
      <c r="BW16" s="1083"/>
      <c r="BX16" s="1083"/>
      <c r="BY16" s="1083"/>
      <c r="BZ16" s="1083"/>
      <c r="CA16" s="1083"/>
      <c r="CC16" s="1083"/>
      <c r="CF16" s="1083"/>
      <c r="CJ16" s="1083"/>
      <c r="CK16" s="1083"/>
      <c r="CM16" s="1083"/>
      <c r="CN16" s="1083"/>
      <c r="CO16" s="1083"/>
      <c r="CP16" s="1083"/>
      <c r="CQ16" s="1083"/>
      <c r="CR16" s="1083"/>
      <c r="CS16" s="1083"/>
      <c r="CU16" s="1083"/>
      <c r="CV16" s="1083"/>
      <c r="CW16" s="1083"/>
      <c r="CZ16" s="1083"/>
      <c r="DA16" s="1083"/>
      <c r="DB16" s="1083"/>
      <c r="DC16" s="1083"/>
      <c r="DD16" s="1083"/>
      <c r="DE16" s="1083"/>
      <c r="DG16" s="1083"/>
      <c r="DI16" s="1083"/>
      <c r="DJ16" s="1083"/>
      <c r="DK16" s="1083"/>
      <c r="DM16" s="1083"/>
      <c r="DN16" s="1083"/>
      <c r="DO16" s="1083"/>
      <c r="DP16" s="1083"/>
      <c r="DS16" s="1083"/>
      <c r="DV16" s="1083"/>
      <c r="DW16" s="1083"/>
      <c r="DX16" s="1083"/>
      <c r="DY16" s="1083"/>
      <c r="EB16" s="1083"/>
      <c r="EC16" s="1083"/>
      <c r="ED16" s="1083"/>
      <c r="EE16" s="1083"/>
      <c r="EG16" s="1083"/>
      <c r="EJ16" s="1083"/>
      <c r="EK16" s="1083"/>
      <c r="EL16" s="1083"/>
      <c r="EM16" s="1083"/>
      <c r="EN16" s="1083"/>
      <c r="EO16" s="1083"/>
      <c r="EP16" s="1083"/>
      <c r="EQ16" s="1083"/>
      <c r="ER16" s="1083"/>
      <c r="ES16" s="1083"/>
      <c r="ET16" s="1083"/>
      <c r="EV16" s="1083"/>
      <c r="EX16" s="1083"/>
      <c r="EY16" s="1083"/>
      <c r="EZ16" s="1083"/>
      <c r="FA16" s="1083"/>
      <c r="FB16" s="1083"/>
      <c r="FD16" s="1083"/>
      <c r="FH16" s="1083"/>
      <c r="FJ16" s="1083"/>
      <c r="FK16" s="1083"/>
      <c r="FN16" s="1083"/>
      <c r="FO16" s="1083"/>
      <c r="FP16" s="1083"/>
      <c r="FR16" s="1083"/>
    </row>
    <row r="17" spans="6:174" ht="14.4" x14ac:dyDescent="0.3">
      <c r="F17" s="1082"/>
      <c r="G17" s="1083"/>
      <c r="H17" s="1083"/>
      <c r="J17" s="1083"/>
      <c r="M17" s="1083"/>
      <c r="O17" s="1083"/>
      <c r="Q17" s="1083"/>
      <c r="S17" s="1083"/>
      <c r="T17" s="1083"/>
      <c r="V17" s="1083"/>
      <c r="W17" s="1083"/>
      <c r="X17" s="1083"/>
      <c r="Z17" s="1083"/>
      <c r="AA17" s="1083"/>
      <c r="AB17" s="1083"/>
      <c r="AC17" s="1083"/>
      <c r="AD17" s="1083"/>
      <c r="AE17" s="1083"/>
      <c r="AF17" s="1083"/>
      <c r="AH17" s="1083"/>
      <c r="AK17" s="1083"/>
      <c r="AM17" s="1083"/>
      <c r="AN17" s="1083"/>
      <c r="AO17" s="1083"/>
      <c r="AQ17" s="1083"/>
      <c r="AS17" s="1083"/>
      <c r="AU17" s="1083"/>
      <c r="AV17" s="1083"/>
      <c r="AY17" s="1083"/>
      <c r="AZ17" s="1083"/>
      <c r="BB17" s="1083"/>
      <c r="BD17" s="1083"/>
      <c r="BE17" s="1083"/>
      <c r="BF17" s="1083"/>
      <c r="BG17" s="1083"/>
      <c r="BH17" s="1083"/>
      <c r="BJ17" s="1083"/>
      <c r="BL17" s="1083"/>
      <c r="BO17" s="1083"/>
      <c r="BP17" s="1083"/>
      <c r="BR17" s="1083"/>
      <c r="BT17" s="1083"/>
      <c r="BU17" s="1083"/>
      <c r="BW17" s="1083"/>
      <c r="BX17" s="1083"/>
      <c r="BY17" s="1083"/>
      <c r="BZ17" s="1083"/>
      <c r="CA17" s="1083"/>
      <c r="CC17" s="1083"/>
      <c r="CF17" s="1083"/>
      <c r="CJ17" s="1083"/>
      <c r="CK17" s="1083"/>
      <c r="CM17" s="1083"/>
      <c r="CN17" s="1083"/>
      <c r="CO17" s="1083"/>
      <c r="CP17" s="1083"/>
      <c r="CQ17" s="1083"/>
      <c r="CR17" s="1083"/>
      <c r="CS17" s="1083"/>
      <c r="CU17" s="1083"/>
      <c r="CV17" s="1083"/>
      <c r="CW17" s="1083"/>
      <c r="CZ17" s="1083"/>
      <c r="DA17" s="1083"/>
      <c r="DB17" s="1083"/>
      <c r="DC17" s="1083"/>
      <c r="DD17" s="1083"/>
      <c r="DE17" s="1083"/>
      <c r="DG17" s="1083"/>
      <c r="DI17" s="1083"/>
      <c r="DJ17" s="1083"/>
      <c r="DK17" s="1083"/>
      <c r="DM17" s="1083"/>
      <c r="DN17" s="1083"/>
      <c r="DO17" s="1083"/>
      <c r="DP17" s="1083"/>
      <c r="DS17" s="1083"/>
      <c r="DV17" s="1083"/>
      <c r="DW17" s="1083"/>
      <c r="DX17" s="1083"/>
      <c r="DY17" s="1083"/>
      <c r="EB17" s="1083"/>
      <c r="EC17" s="1083"/>
      <c r="ED17" s="1083"/>
      <c r="EE17" s="1083"/>
      <c r="EG17" s="1083"/>
      <c r="EJ17" s="1083"/>
      <c r="EK17" s="1083"/>
      <c r="EL17" s="1083"/>
      <c r="EM17" s="1083"/>
      <c r="EN17" s="1083"/>
      <c r="EO17" s="1083"/>
      <c r="EP17" s="1083"/>
      <c r="EQ17" s="1083"/>
      <c r="ER17" s="1083"/>
      <c r="ES17" s="1083"/>
      <c r="ET17" s="1083"/>
      <c r="EV17" s="1083"/>
      <c r="EX17" s="1083"/>
      <c r="EY17" s="1083"/>
      <c r="EZ17" s="1083"/>
      <c r="FA17" s="1083"/>
      <c r="FB17" s="1083"/>
      <c r="FD17" s="1083"/>
      <c r="FH17" s="1083"/>
      <c r="FJ17" s="1083"/>
      <c r="FK17" s="1083"/>
      <c r="FN17" s="1083"/>
      <c r="FO17" s="1083"/>
      <c r="FP17" s="1083"/>
      <c r="FR17" s="1083"/>
    </row>
    <row r="18" spans="6:174" ht="14.4" x14ac:dyDescent="0.3">
      <c r="F18" s="1082"/>
      <c r="G18" s="1083"/>
      <c r="H18" s="1083"/>
      <c r="J18" s="1083"/>
      <c r="M18" s="1083"/>
      <c r="O18" s="1083"/>
      <c r="Q18" s="1083"/>
      <c r="S18" s="1083"/>
      <c r="T18" s="1083"/>
      <c r="V18" s="1083"/>
      <c r="W18" s="1083"/>
      <c r="X18" s="1083"/>
      <c r="Z18" s="1083"/>
      <c r="AA18" s="1083"/>
      <c r="AB18" s="1083"/>
      <c r="AC18" s="1083"/>
      <c r="AD18" s="1083"/>
      <c r="AE18" s="1083"/>
      <c r="AF18" s="1083"/>
      <c r="AH18" s="1083"/>
      <c r="AK18" s="1083"/>
      <c r="AM18" s="1083"/>
      <c r="AN18" s="1083"/>
      <c r="AO18" s="1083"/>
      <c r="AQ18" s="1083"/>
      <c r="AS18" s="1083"/>
      <c r="AU18" s="1083"/>
      <c r="AV18" s="1083"/>
      <c r="AY18" s="1083"/>
      <c r="AZ18" s="1083"/>
      <c r="BB18" s="1083"/>
      <c r="BD18" s="1083"/>
      <c r="BE18" s="1083"/>
      <c r="BF18" s="1083"/>
      <c r="BG18" s="1083"/>
      <c r="BH18" s="1083"/>
      <c r="BJ18" s="1083"/>
      <c r="BL18" s="1083"/>
      <c r="BO18" s="1083"/>
      <c r="BP18" s="1083"/>
      <c r="BR18" s="1083"/>
      <c r="BT18" s="1083"/>
      <c r="BU18" s="1083"/>
      <c r="BW18" s="1083"/>
      <c r="BX18" s="1083"/>
      <c r="BY18" s="1083"/>
      <c r="BZ18" s="1083"/>
      <c r="CA18" s="1083"/>
      <c r="CC18" s="1083"/>
      <c r="CF18" s="1083"/>
      <c r="CJ18" s="1083"/>
      <c r="CK18" s="1083"/>
      <c r="CM18" s="1083"/>
      <c r="CN18" s="1083"/>
      <c r="CO18" s="1083"/>
      <c r="CP18" s="1083"/>
      <c r="CQ18" s="1083"/>
      <c r="CR18" s="1083"/>
      <c r="CS18" s="1083"/>
      <c r="CU18" s="1083"/>
      <c r="CV18" s="1083"/>
      <c r="CW18" s="1083"/>
      <c r="CZ18" s="1083"/>
      <c r="DA18" s="1083"/>
      <c r="DB18" s="1083"/>
      <c r="DC18" s="1083"/>
      <c r="DD18" s="1083"/>
      <c r="DE18" s="1083"/>
      <c r="DG18" s="1083"/>
      <c r="DI18" s="1083"/>
      <c r="DJ18" s="1083"/>
      <c r="DK18" s="1083"/>
      <c r="DM18" s="1083"/>
      <c r="DN18" s="1083"/>
      <c r="DO18" s="1083"/>
      <c r="DP18" s="1083"/>
      <c r="DS18" s="1083"/>
      <c r="DV18" s="1083"/>
      <c r="DW18" s="1083"/>
      <c r="DX18" s="1083"/>
      <c r="DY18" s="1083"/>
      <c r="EB18" s="1083"/>
      <c r="EC18" s="1083"/>
      <c r="ED18" s="1083"/>
      <c r="EE18" s="1083"/>
      <c r="EG18" s="1083"/>
      <c r="EJ18" s="1083"/>
      <c r="EK18" s="1083"/>
      <c r="EL18" s="1083"/>
      <c r="EM18" s="1083"/>
      <c r="EN18" s="1083"/>
      <c r="EO18" s="1083"/>
      <c r="EP18" s="1083"/>
      <c r="EQ18" s="1083"/>
      <c r="ER18" s="1083"/>
      <c r="ES18" s="1083"/>
      <c r="ET18" s="1083"/>
      <c r="EV18" s="1083"/>
      <c r="EX18" s="1083"/>
      <c r="EY18" s="1083"/>
      <c r="EZ18" s="1083"/>
      <c r="FA18" s="1083"/>
      <c r="FB18" s="1083"/>
      <c r="FD18" s="1083"/>
      <c r="FH18" s="1083"/>
      <c r="FJ18" s="1083"/>
      <c r="FK18" s="1083"/>
      <c r="FN18" s="1083"/>
      <c r="FO18" s="1083"/>
      <c r="FP18" s="1083"/>
      <c r="FR18" s="1083"/>
    </row>
    <row r="19" spans="6:174" ht="14.4" x14ac:dyDescent="0.3">
      <c r="F19" s="1082"/>
      <c r="G19" s="1083"/>
      <c r="H19" s="1083"/>
      <c r="J19" s="1083"/>
      <c r="M19" s="1083"/>
      <c r="O19" s="1083"/>
      <c r="Q19" s="1083"/>
      <c r="S19" s="1083"/>
      <c r="T19" s="1083"/>
      <c r="V19" s="1083"/>
      <c r="W19" s="1083"/>
      <c r="X19" s="1083"/>
      <c r="Z19" s="1083"/>
      <c r="AA19" s="1083"/>
      <c r="AB19" s="1083"/>
      <c r="AC19" s="1083"/>
      <c r="AD19" s="1083"/>
      <c r="AE19" s="1083"/>
      <c r="AF19" s="1083"/>
      <c r="AH19" s="1083"/>
      <c r="AK19" s="1083"/>
      <c r="AM19" s="1083"/>
      <c r="AN19" s="1083"/>
      <c r="AO19" s="1083"/>
      <c r="AQ19" s="1083"/>
      <c r="AS19" s="1083"/>
      <c r="AU19" s="1083"/>
      <c r="AV19" s="1083"/>
      <c r="AY19" s="1083"/>
      <c r="AZ19" s="1083"/>
      <c r="BB19" s="1083"/>
      <c r="BD19" s="1083"/>
      <c r="BE19" s="1083"/>
      <c r="BF19" s="1083"/>
      <c r="BG19" s="1083"/>
      <c r="BH19" s="1083"/>
      <c r="BJ19" s="1083"/>
      <c r="BL19" s="1083"/>
      <c r="BO19" s="1083"/>
      <c r="BP19" s="1083"/>
      <c r="BR19" s="1083"/>
      <c r="BT19" s="1083"/>
      <c r="BU19" s="1083"/>
      <c r="BW19" s="1083"/>
      <c r="BX19" s="1083"/>
      <c r="BY19" s="1083"/>
      <c r="BZ19" s="1083"/>
      <c r="CA19" s="1083"/>
      <c r="CC19" s="1083"/>
      <c r="CF19" s="1083"/>
      <c r="CJ19" s="1083"/>
      <c r="CK19" s="1083"/>
      <c r="CM19" s="1083"/>
      <c r="CN19" s="1083"/>
      <c r="CO19" s="1083"/>
      <c r="CP19" s="1083"/>
      <c r="CQ19" s="1083"/>
      <c r="CR19" s="1083"/>
      <c r="CS19" s="1083"/>
      <c r="CU19" s="1083"/>
      <c r="CV19" s="1083"/>
      <c r="CW19" s="1083"/>
      <c r="CZ19" s="1083"/>
      <c r="DA19" s="1083"/>
      <c r="DB19" s="1083"/>
      <c r="DC19" s="1083"/>
      <c r="DD19" s="1083"/>
      <c r="DE19" s="1083"/>
      <c r="DG19" s="1083"/>
      <c r="DI19" s="1083"/>
      <c r="DJ19" s="1083"/>
      <c r="DK19" s="1083"/>
      <c r="DM19" s="1083"/>
      <c r="DN19" s="1083"/>
      <c r="DO19" s="1083"/>
      <c r="DP19" s="1083"/>
      <c r="DS19" s="1083"/>
      <c r="DV19" s="1083"/>
      <c r="DW19" s="1083"/>
      <c r="DX19" s="1083"/>
      <c r="DY19" s="1083"/>
      <c r="EB19" s="1083"/>
      <c r="EC19" s="1083"/>
      <c r="ED19" s="1083"/>
      <c r="EE19" s="1083"/>
      <c r="EG19" s="1083"/>
      <c r="EJ19" s="1083"/>
      <c r="EK19" s="1083"/>
      <c r="EL19" s="1083"/>
      <c r="EM19" s="1083"/>
      <c r="EN19" s="1083"/>
      <c r="EO19" s="1083"/>
      <c r="EP19" s="1083"/>
      <c r="EQ19" s="1083"/>
      <c r="ER19" s="1083"/>
      <c r="ES19" s="1083"/>
      <c r="ET19" s="1083"/>
      <c r="EV19" s="1083"/>
      <c r="EX19" s="1083"/>
      <c r="EY19" s="1083"/>
      <c r="EZ19" s="1083"/>
      <c r="FA19" s="1083"/>
      <c r="FB19" s="1083"/>
      <c r="FD19" s="1083"/>
      <c r="FH19" s="1083"/>
      <c r="FJ19" s="1083"/>
      <c r="FK19" s="1083"/>
      <c r="FN19" s="1083"/>
      <c r="FO19" s="1083"/>
      <c r="FP19" s="1083"/>
      <c r="FR19" s="1083"/>
    </row>
    <row r="20" spans="6:174" ht="14.4" x14ac:dyDescent="0.3">
      <c r="F20" s="1082"/>
      <c r="G20" s="1083"/>
      <c r="H20" s="1083"/>
      <c r="J20" s="1083"/>
      <c r="M20" s="1083"/>
      <c r="O20" s="1083"/>
      <c r="Q20" s="1083"/>
      <c r="S20" s="1083"/>
      <c r="T20" s="1083"/>
      <c r="V20" s="1083"/>
      <c r="W20" s="1083"/>
      <c r="X20" s="1083"/>
      <c r="Z20" s="1083"/>
      <c r="AA20" s="1083"/>
      <c r="AB20" s="1083"/>
      <c r="AC20" s="1083"/>
      <c r="AD20" s="1083"/>
      <c r="AE20" s="1083"/>
      <c r="AF20" s="1083"/>
      <c r="AH20" s="1083"/>
      <c r="AK20" s="1083"/>
      <c r="AM20" s="1083"/>
      <c r="AN20" s="1083"/>
      <c r="AO20" s="1083"/>
      <c r="AQ20" s="1083"/>
      <c r="AS20" s="1083"/>
      <c r="AU20" s="1083"/>
      <c r="AV20" s="1083"/>
      <c r="AY20" s="1083"/>
      <c r="AZ20" s="1083"/>
      <c r="BB20" s="1083"/>
      <c r="BD20" s="1083"/>
      <c r="BE20" s="1083"/>
      <c r="BF20" s="1083"/>
      <c r="BG20" s="1083"/>
      <c r="BH20" s="1083"/>
      <c r="BJ20" s="1083"/>
      <c r="BL20" s="1083"/>
      <c r="BO20" s="1083"/>
      <c r="BP20" s="1083"/>
      <c r="BR20" s="1083"/>
      <c r="BT20" s="1083"/>
      <c r="BU20" s="1083"/>
      <c r="BW20" s="1083"/>
      <c r="BX20" s="1083"/>
      <c r="BY20" s="1083"/>
      <c r="BZ20" s="1083"/>
      <c r="CA20" s="1083"/>
      <c r="CC20" s="1083"/>
      <c r="CF20" s="1083"/>
      <c r="CJ20" s="1083"/>
      <c r="CK20" s="1083"/>
      <c r="CM20" s="1083"/>
      <c r="CN20" s="1083"/>
      <c r="CO20" s="1083"/>
      <c r="CP20" s="1083"/>
      <c r="CQ20" s="1083"/>
      <c r="CR20" s="1083"/>
      <c r="CS20" s="1083"/>
      <c r="CU20" s="1083"/>
      <c r="CV20" s="1083"/>
      <c r="CW20" s="1083"/>
      <c r="CZ20" s="1083"/>
      <c r="DA20" s="1083"/>
      <c r="DB20" s="1083"/>
      <c r="DC20" s="1083"/>
      <c r="DD20" s="1083"/>
      <c r="DE20" s="1083"/>
      <c r="DG20" s="1083"/>
      <c r="DI20" s="1083"/>
      <c r="DJ20" s="1083"/>
      <c r="DK20" s="1083"/>
      <c r="DM20" s="1083"/>
      <c r="DN20" s="1083"/>
      <c r="DO20" s="1083"/>
      <c r="DP20" s="1083"/>
      <c r="DS20" s="1083"/>
      <c r="DV20" s="1083"/>
      <c r="DW20" s="1083"/>
      <c r="DX20" s="1083"/>
      <c r="DY20" s="1083"/>
      <c r="EB20" s="1083"/>
      <c r="EC20" s="1083"/>
      <c r="ED20" s="1083"/>
      <c r="EE20" s="1083"/>
      <c r="EG20" s="1083"/>
      <c r="EJ20" s="1083"/>
      <c r="EK20" s="1083"/>
      <c r="EL20" s="1083"/>
      <c r="EM20" s="1083"/>
      <c r="EN20" s="1083"/>
      <c r="EO20" s="1083"/>
      <c r="EP20" s="1083"/>
      <c r="EQ20" s="1083"/>
      <c r="ER20" s="1083"/>
      <c r="ES20" s="1083"/>
      <c r="ET20" s="1083"/>
      <c r="EV20" s="1083"/>
      <c r="EX20" s="1083"/>
      <c r="EY20" s="1083"/>
      <c r="EZ20" s="1083"/>
      <c r="FA20" s="1083"/>
      <c r="FB20" s="1083"/>
      <c r="FD20" s="1083"/>
      <c r="FH20" s="1083"/>
      <c r="FJ20" s="1083"/>
      <c r="FK20" s="1083"/>
      <c r="FN20" s="1083"/>
      <c r="FO20" s="1083"/>
      <c r="FP20" s="1083"/>
      <c r="FR20" s="1083"/>
    </row>
    <row r="21" spans="6:174" ht="14.4" x14ac:dyDescent="0.3">
      <c r="F21" s="1082"/>
      <c r="G21" s="1083"/>
      <c r="H21" s="1083"/>
      <c r="J21" s="1083"/>
      <c r="M21" s="1083"/>
      <c r="O21" s="1083"/>
      <c r="Q21" s="1083"/>
      <c r="S21" s="1083"/>
      <c r="T21" s="1083"/>
      <c r="V21" s="1083"/>
      <c r="W21" s="1083"/>
      <c r="X21" s="1083"/>
      <c r="Z21" s="1083"/>
      <c r="AA21" s="1083"/>
      <c r="AB21" s="1083"/>
      <c r="AC21" s="1083"/>
      <c r="AD21" s="1083"/>
      <c r="AE21" s="1083"/>
      <c r="AF21" s="1083"/>
      <c r="AH21" s="1083"/>
      <c r="AK21" s="1083"/>
      <c r="AM21" s="1083"/>
      <c r="AN21" s="1083"/>
      <c r="AO21" s="1083"/>
      <c r="AQ21" s="1083"/>
      <c r="AS21" s="1083"/>
      <c r="AU21" s="1083"/>
      <c r="AV21" s="1083"/>
      <c r="AY21" s="1083"/>
      <c r="AZ21" s="1083"/>
      <c r="BB21" s="1083"/>
      <c r="BD21" s="1083"/>
      <c r="BE21" s="1083"/>
      <c r="BF21" s="1083"/>
      <c r="BG21" s="1083"/>
      <c r="BH21" s="1083"/>
      <c r="BJ21" s="1083"/>
      <c r="BL21" s="1083"/>
      <c r="BO21" s="1083"/>
      <c r="BP21" s="1083"/>
      <c r="BR21" s="1083"/>
      <c r="BT21" s="1083"/>
      <c r="BU21" s="1083"/>
      <c r="BW21" s="1083"/>
      <c r="BX21" s="1083"/>
      <c r="BY21" s="1083"/>
      <c r="BZ21" s="1083"/>
      <c r="CA21" s="1083"/>
      <c r="CC21" s="1083"/>
      <c r="CF21" s="1083"/>
      <c r="CJ21" s="1083"/>
      <c r="CK21" s="1083"/>
      <c r="CM21" s="1083"/>
      <c r="CN21" s="1083"/>
      <c r="CO21" s="1083"/>
      <c r="CP21" s="1083"/>
      <c r="CQ21" s="1083"/>
      <c r="CR21" s="1083"/>
      <c r="CS21" s="1083"/>
      <c r="CU21" s="1083"/>
      <c r="CV21" s="1083"/>
      <c r="CW21" s="1083"/>
      <c r="CZ21" s="1083"/>
      <c r="DA21" s="1083"/>
      <c r="DB21" s="1083"/>
      <c r="DC21" s="1083"/>
      <c r="DD21" s="1083"/>
      <c r="DE21" s="1083"/>
      <c r="DG21" s="1083"/>
      <c r="DI21" s="1083"/>
      <c r="DJ21" s="1083"/>
      <c r="DK21" s="1083"/>
      <c r="DM21" s="1083"/>
      <c r="DN21" s="1083"/>
      <c r="DO21" s="1083"/>
      <c r="DP21" s="1083"/>
      <c r="DS21" s="1083"/>
      <c r="DV21" s="1083"/>
      <c r="DW21" s="1083"/>
      <c r="DX21" s="1083"/>
      <c r="DY21" s="1083"/>
      <c r="EB21" s="1083"/>
      <c r="EC21" s="1083"/>
      <c r="ED21" s="1083"/>
      <c r="EE21" s="1083"/>
      <c r="EG21" s="1083"/>
      <c r="EJ21" s="1083"/>
      <c r="EK21" s="1083"/>
      <c r="EL21" s="1083"/>
      <c r="EM21" s="1083"/>
      <c r="EN21" s="1083"/>
      <c r="EO21" s="1083"/>
      <c r="EP21" s="1083"/>
      <c r="EQ21" s="1083"/>
      <c r="ER21" s="1083"/>
      <c r="ES21" s="1083"/>
      <c r="ET21" s="1083"/>
      <c r="EV21" s="1083"/>
      <c r="EX21" s="1083"/>
      <c r="EY21" s="1083"/>
      <c r="EZ21" s="1083"/>
      <c r="FA21" s="1083"/>
      <c r="FB21" s="1083"/>
      <c r="FD21" s="1083"/>
      <c r="FH21" s="1083"/>
      <c r="FJ21" s="1083"/>
      <c r="FK21" s="1083"/>
      <c r="FN21" s="1083"/>
      <c r="FO21" s="1083"/>
      <c r="FP21" s="1083"/>
      <c r="FR21" s="1083"/>
    </row>
    <row r="22" spans="6:174" ht="14.4" x14ac:dyDescent="0.3">
      <c r="F22" s="1082"/>
      <c r="G22" s="1083"/>
      <c r="H22" s="1083"/>
      <c r="J22" s="1083"/>
      <c r="M22" s="1083"/>
      <c r="O22" s="1083"/>
      <c r="Q22" s="1083"/>
      <c r="S22" s="1083"/>
      <c r="T22" s="1083"/>
      <c r="V22" s="1083"/>
      <c r="W22" s="1083"/>
      <c r="X22" s="1083"/>
      <c r="Z22" s="1083"/>
      <c r="AA22" s="1083"/>
      <c r="AB22" s="1083"/>
      <c r="AC22" s="1083"/>
      <c r="AD22" s="1083"/>
      <c r="AE22" s="1083"/>
      <c r="AF22" s="1083"/>
      <c r="AH22" s="1083"/>
      <c r="AK22" s="1083"/>
      <c r="AM22" s="1083"/>
      <c r="AN22" s="1083"/>
      <c r="AO22" s="1083"/>
      <c r="AQ22" s="1083"/>
      <c r="AS22" s="1083"/>
      <c r="AU22" s="1083"/>
      <c r="AV22" s="1083"/>
      <c r="AY22" s="1083"/>
      <c r="AZ22" s="1083"/>
      <c r="BB22" s="1083"/>
      <c r="BD22" s="1083"/>
      <c r="BE22" s="1083"/>
      <c r="BF22" s="1083"/>
      <c r="BG22" s="1083"/>
      <c r="BH22" s="1083"/>
      <c r="BJ22" s="1083"/>
      <c r="BL22" s="1083"/>
      <c r="BO22" s="1083"/>
      <c r="BP22" s="1083"/>
      <c r="BR22" s="1083"/>
      <c r="BT22" s="1083"/>
      <c r="BU22" s="1083"/>
      <c r="BW22" s="1083"/>
      <c r="BX22" s="1083"/>
      <c r="BY22" s="1083"/>
      <c r="BZ22" s="1083"/>
      <c r="CA22" s="1083"/>
      <c r="CC22" s="1083"/>
      <c r="CF22" s="1083"/>
      <c r="CJ22" s="1083"/>
      <c r="CK22" s="1083"/>
      <c r="CM22" s="1083"/>
      <c r="CN22" s="1083"/>
      <c r="CO22" s="1083"/>
      <c r="CP22" s="1083"/>
      <c r="CQ22" s="1083"/>
      <c r="CR22" s="1083"/>
      <c r="CS22" s="1083"/>
      <c r="CU22" s="1083"/>
      <c r="CV22" s="1083"/>
      <c r="CW22" s="1083"/>
      <c r="CZ22" s="1083"/>
      <c r="DA22" s="1083"/>
      <c r="DB22" s="1083"/>
      <c r="DC22" s="1083"/>
      <c r="DD22" s="1083"/>
      <c r="DE22" s="1083"/>
      <c r="DG22" s="1083"/>
      <c r="DI22" s="1083"/>
      <c r="DJ22" s="1083"/>
      <c r="DK22" s="1083"/>
      <c r="DM22" s="1083"/>
      <c r="DN22" s="1083"/>
      <c r="DO22" s="1083"/>
      <c r="DP22" s="1083"/>
      <c r="DS22" s="1083"/>
      <c r="DV22" s="1083"/>
      <c r="DW22" s="1083"/>
      <c r="DX22" s="1083"/>
      <c r="DY22" s="1083"/>
      <c r="EB22" s="1083"/>
      <c r="EC22" s="1083"/>
      <c r="ED22" s="1083"/>
      <c r="EE22" s="1083"/>
      <c r="EG22" s="1083"/>
      <c r="EJ22" s="1083"/>
      <c r="EK22" s="1083"/>
      <c r="EL22" s="1083"/>
      <c r="EM22" s="1083"/>
      <c r="EN22" s="1083"/>
      <c r="EO22" s="1083"/>
      <c r="EP22" s="1083"/>
      <c r="EQ22" s="1083"/>
      <c r="ER22" s="1083"/>
      <c r="ES22" s="1083"/>
      <c r="ET22" s="1083"/>
      <c r="EV22" s="1083"/>
      <c r="EX22" s="1083"/>
      <c r="EY22" s="1083"/>
      <c r="EZ22" s="1083"/>
      <c r="FA22" s="1083"/>
      <c r="FB22" s="1083"/>
      <c r="FD22" s="1083"/>
      <c r="FH22" s="1083"/>
      <c r="FJ22" s="1083"/>
      <c r="FK22" s="1083"/>
      <c r="FN22" s="1083"/>
      <c r="FO22" s="1083"/>
      <c r="FP22" s="1083"/>
      <c r="FR22" s="1083"/>
    </row>
    <row r="23" spans="6:174" ht="14.4" x14ac:dyDescent="0.3">
      <c r="F23" s="1082"/>
      <c r="G23" s="1083"/>
      <c r="H23" s="1083"/>
      <c r="J23" s="1083"/>
      <c r="M23" s="1083"/>
      <c r="O23" s="1083"/>
      <c r="Q23" s="1083"/>
      <c r="S23" s="1083"/>
      <c r="T23" s="1083"/>
      <c r="V23" s="1083"/>
      <c r="W23" s="1083"/>
      <c r="X23" s="1083"/>
      <c r="Z23" s="1083"/>
      <c r="AA23" s="1083"/>
      <c r="AB23" s="1083"/>
      <c r="AC23" s="1083"/>
      <c r="AD23" s="1083"/>
      <c r="AE23" s="1083"/>
      <c r="AF23" s="1083"/>
      <c r="AH23" s="1083"/>
      <c r="AK23" s="1083"/>
      <c r="AM23" s="1083"/>
      <c r="AN23" s="1083"/>
      <c r="AO23" s="1083"/>
      <c r="AQ23" s="1083"/>
      <c r="AS23" s="1083"/>
      <c r="AU23" s="1083"/>
      <c r="AV23" s="1083"/>
      <c r="AY23" s="1083"/>
      <c r="AZ23" s="1083"/>
      <c r="BB23" s="1083"/>
      <c r="BD23" s="1083"/>
      <c r="BE23" s="1083"/>
      <c r="BF23" s="1083"/>
      <c r="BG23" s="1083"/>
      <c r="BH23" s="1083"/>
      <c r="BJ23" s="1083"/>
      <c r="BL23" s="1083"/>
      <c r="BO23" s="1083"/>
      <c r="BP23" s="1083"/>
      <c r="BR23" s="1083"/>
      <c r="BT23" s="1083"/>
      <c r="BU23" s="1083"/>
      <c r="BW23" s="1083"/>
      <c r="BX23" s="1083"/>
      <c r="BY23" s="1083"/>
      <c r="BZ23" s="1083"/>
      <c r="CA23" s="1083"/>
      <c r="CC23" s="1083"/>
      <c r="CF23" s="1083"/>
      <c r="CJ23" s="1083"/>
      <c r="CK23" s="1083"/>
      <c r="CM23" s="1083"/>
      <c r="CN23" s="1083"/>
      <c r="CO23" s="1083"/>
      <c r="CP23" s="1083"/>
      <c r="CQ23" s="1083"/>
      <c r="CR23" s="1083"/>
      <c r="CS23" s="1083"/>
      <c r="CU23" s="1083"/>
      <c r="CV23" s="1083"/>
      <c r="CW23" s="1083"/>
      <c r="CZ23" s="1083"/>
      <c r="DA23" s="1083"/>
      <c r="DB23" s="1083"/>
      <c r="DC23" s="1083"/>
      <c r="DD23" s="1083"/>
      <c r="DE23" s="1083"/>
      <c r="DG23" s="1083"/>
      <c r="DI23" s="1083"/>
      <c r="DJ23" s="1083"/>
      <c r="DK23" s="1083"/>
      <c r="DM23" s="1083"/>
      <c r="DN23" s="1083"/>
      <c r="DO23" s="1083"/>
      <c r="DP23" s="1083"/>
      <c r="DS23" s="1083"/>
      <c r="DV23" s="1083"/>
      <c r="DW23" s="1083"/>
      <c r="DX23" s="1083"/>
      <c r="DY23" s="1083"/>
      <c r="EB23" s="1083"/>
      <c r="EC23" s="1083"/>
      <c r="ED23" s="1083"/>
      <c r="EE23" s="1083"/>
      <c r="EG23" s="1083"/>
      <c r="EJ23" s="1083"/>
      <c r="EK23" s="1083"/>
      <c r="EL23" s="1083"/>
      <c r="EM23" s="1083"/>
      <c r="EN23" s="1083"/>
      <c r="EO23" s="1083"/>
      <c r="EP23" s="1083"/>
      <c r="EQ23" s="1083"/>
      <c r="ER23" s="1083"/>
      <c r="ES23" s="1083"/>
      <c r="ET23" s="1083"/>
      <c r="EV23" s="1083"/>
      <c r="EX23" s="1083"/>
      <c r="EY23" s="1083"/>
      <c r="EZ23" s="1083"/>
      <c r="FA23" s="1083"/>
      <c r="FB23" s="1083"/>
      <c r="FD23" s="1083"/>
      <c r="FH23" s="1083"/>
      <c r="FJ23" s="1083"/>
      <c r="FK23" s="1083"/>
      <c r="FN23" s="1083"/>
      <c r="FO23" s="1083"/>
      <c r="FP23" s="1083"/>
      <c r="FR23" s="1083"/>
    </row>
    <row r="24" spans="6:174" ht="14.4" x14ac:dyDescent="0.3">
      <c r="F24" s="1082"/>
      <c r="G24" s="1083"/>
      <c r="H24" s="1083"/>
      <c r="J24" s="1083"/>
      <c r="M24" s="1083"/>
      <c r="O24" s="1083"/>
      <c r="Q24" s="1083"/>
      <c r="S24" s="1083"/>
      <c r="T24" s="1083"/>
      <c r="V24" s="1083"/>
      <c r="W24" s="1083"/>
      <c r="X24" s="1083"/>
      <c r="Z24" s="1083"/>
      <c r="AA24" s="1083"/>
      <c r="AB24" s="1083"/>
      <c r="AC24" s="1083"/>
      <c r="AD24" s="1083"/>
      <c r="AE24" s="1083"/>
      <c r="AF24" s="1083"/>
      <c r="AH24" s="1083"/>
      <c r="AK24" s="1083"/>
      <c r="AM24" s="1083"/>
      <c r="AN24" s="1083"/>
      <c r="AO24" s="1083"/>
      <c r="AQ24" s="1083"/>
      <c r="AS24" s="1083"/>
      <c r="AU24" s="1083"/>
      <c r="AV24" s="1083"/>
      <c r="AY24" s="1083"/>
      <c r="AZ24" s="1083"/>
      <c r="BB24" s="1083"/>
      <c r="BD24" s="1083"/>
      <c r="BE24" s="1083"/>
      <c r="BF24" s="1083"/>
      <c r="BG24" s="1083"/>
      <c r="BH24" s="1083"/>
      <c r="BJ24" s="1083"/>
      <c r="BL24" s="1083"/>
      <c r="BO24" s="1083"/>
      <c r="BP24" s="1083"/>
      <c r="BR24" s="1083"/>
      <c r="BT24" s="1083"/>
      <c r="BU24" s="1083"/>
      <c r="BW24" s="1083"/>
      <c r="BX24" s="1083"/>
      <c r="BY24" s="1083"/>
      <c r="BZ24" s="1083"/>
      <c r="CA24" s="1083"/>
      <c r="CC24" s="1083"/>
      <c r="CF24" s="1083"/>
      <c r="CJ24" s="1083"/>
      <c r="CK24" s="1083"/>
      <c r="CM24" s="1083"/>
      <c r="CN24" s="1083"/>
      <c r="CO24" s="1083"/>
      <c r="CP24" s="1083"/>
      <c r="CQ24" s="1083"/>
      <c r="CR24" s="1083"/>
      <c r="CS24" s="1083"/>
      <c r="CU24" s="1083"/>
      <c r="CV24" s="1083"/>
      <c r="CW24" s="1083"/>
      <c r="CZ24" s="1083"/>
      <c r="DA24" s="1083"/>
      <c r="DB24" s="1083"/>
      <c r="DC24" s="1083"/>
      <c r="DD24" s="1083"/>
      <c r="DE24" s="1083"/>
      <c r="DG24" s="1083"/>
      <c r="DI24" s="1083"/>
      <c r="DJ24" s="1083"/>
      <c r="DK24" s="1083"/>
      <c r="DM24" s="1083"/>
      <c r="DN24" s="1083"/>
      <c r="DO24" s="1083"/>
      <c r="DP24" s="1083"/>
      <c r="DS24" s="1083"/>
      <c r="DV24" s="1083"/>
      <c r="DW24" s="1083"/>
      <c r="DX24" s="1083"/>
      <c r="DY24" s="1083"/>
      <c r="EB24" s="1083"/>
      <c r="EC24" s="1083"/>
      <c r="ED24" s="1083"/>
      <c r="EE24" s="1083"/>
      <c r="EG24" s="1083"/>
      <c r="EJ24" s="1083"/>
      <c r="EK24" s="1083"/>
      <c r="EL24" s="1083"/>
      <c r="EM24" s="1083"/>
      <c r="EN24" s="1083"/>
      <c r="EO24" s="1083"/>
      <c r="EP24" s="1083"/>
      <c r="EQ24" s="1083"/>
      <c r="ER24" s="1083"/>
      <c r="ES24" s="1083"/>
      <c r="ET24" s="1083"/>
      <c r="EV24" s="1083"/>
      <c r="EX24" s="1083"/>
      <c r="EY24" s="1083"/>
      <c r="EZ24" s="1083"/>
      <c r="FA24" s="1083"/>
      <c r="FB24" s="1083"/>
      <c r="FD24" s="1083"/>
      <c r="FH24" s="1083"/>
      <c r="FJ24" s="1083"/>
      <c r="FK24" s="1083"/>
      <c r="FN24" s="1083"/>
      <c r="FO24" s="1083"/>
      <c r="FP24" s="1083"/>
      <c r="FR24" s="1083"/>
    </row>
    <row r="25" spans="6:174" ht="14.4" x14ac:dyDescent="0.3">
      <c r="F25" s="1082"/>
      <c r="G25" s="1083"/>
      <c r="H25" s="1083"/>
      <c r="J25" s="1083"/>
      <c r="M25" s="1083"/>
      <c r="O25" s="1083"/>
      <c r="Q25" s="1083"/>
      <c r="S25" s="1083"/>
      <c r="T25" s="1083"/>
      <c r="V25" s="1083"/>
      <c r="W25" s="1083"/>
      <c r="X25" s="1083"/>
      <c r="Z25" s="1083"/>
      <c r="AA25" s="1083"/>
      <c r="AB25" s="1083"/>
      <c r="AC25" s="1083"/>
      <c r="AD25" s="1083"/>
      <c r="AE25" s="1083"/>
      <c r="AF25" s="1083"/>
      <c r="AH25" s="1083"/>
      <c r="AK25" s="1083"/>
      <c r="AM25" s="1083"/>
      <c r="AN25" s="1083"/>
      <c r="AO25" s="1083"/>
      <c r="AQ25" s="1083"/>
      <c r="AS25" s="1083"/>
      <c r="AU25" s="1083"/>
      <c r="AV25" s="1083"/>
      <c r="AY25" s="1083"/>
      <c r="AZ25" s="1083"/>
      <c r="BB25" s="1083"/>
      <c r="BD25" s="1083"/>
      <c r="BE25" s="1083"/>
      <c r="BF25" s="1083"/>
      <c r="BG25" s="1083"/>
      <c r="BH25" s="1083"/>
      <c r="BJ25" s="1083"/>
      <c r="BL25" s="1083"/>
      <c r="BO25" s="1083"/>
      <c r="BP25" s="1083"/>
      <c r="BR25" s="1083"/>
      <c r="BT25" s="1083"/>
      <c r="BU25" s="1083"/>
      <c r="BW25" s="1083"/>
      <c r="BX25" s="1083"/>
      <c r="BY25" s="1083"/>
      <c r="BZ25" s="1083"/>
      <c r="CA25" s="1083"/>
      <c r="CC25" s="1083"/>
      <c r="CF25" s="1083"/>
      <c r="CJ25" s="1083"/>
      <c r="CK25" s="1083"/>
      <c r="CM25" s="1083"/>
      <c r="CN25" s="1083"/>
      <c r="CO25" s="1083"/>
      <c r="CP25" s="1083"/>
      <c r="CQ25" s="1083"/>
      <c r="CR25" s="1083"/>
      <c r="CS25" s="1083"/>
      <c r="CU25" s="1083"/>
      <c r="CV25" s="1083"/>
      <c r="CW25" s="1083"/>
      <c r="CZ25" s="1083"/>
      <c r="DA25" s="1083"/>
      <c r="DB25" s="1083"/>
      <c r="DC25" s="1083"/>
      <c r="DD25" s="1083"/>
      <c r="DE25" s="1083"/>
      <c r="DG25" s="1083"/>
      <c r="DI25" s="1083"/>
      <c r="DJ25" s="1083"/>
      <c r="DK25" s="1083"/>
      <c r="DM25" s="1083"/>
      <c r="DN25" s="1083"/>
      <c r="DO25" s="1083"/>
      <c r="DP25" s="1083"/>
      <c r="DS25" s="1083"/>
      <c r="DV25" s="1083"/>
      <c r="DW25" s="1083"/>
      <c r="DX25" s="1083"/>
      <c r="DY25" s="1083"/>
      <c r="EB25" s="1083"/>
      <c r="EC25" s="1083"/>
      <c r="ED25" s="1083"/>
      <c r="EE25" s="1083"/>
      <c r="EG25" s="1083"/>
      <c r="EJ25" s="1083"/>
      <c r="EK25" s="1083"/>
      <c r="EL25" s="1083"/>
      <c r="EM25" s="1083"/>
      <c r="EN25" s="1083"/>
      <c r="EO25" s="1083"/>
      <c r="EP25" s="1083"/>
      <c r="EQ25" s="1083"/>
      <c r="ER25" s="1083"/>
      <c r="ES25" s="1083"/>
      <c r="ET25" s="1083"/>
      <c r="EV25" s="1083"/>
      <c r="EX25" s="1083"/>
      <c r="EY25" s="1083"/>
      <c r="EZ25" s="1083"/>
      <c r="FA25" s="1083"/>
      <c r="FB25" s="1083"/>
      <c r="FD25" s="1083"/>
      <c r="FH25" s="1083"/>
      <c r="FJ25" s="1083"/>
      <c r="FK25" s="1083"/>
      <c r="FN25" s="1083"/>
      <c r="FO25" s="1083"/>
      <c r="FP25" s="1083"/>
      <c r="FR25" s="1083"/>
    </row>
    <row r="26" spans="6:174" ht="14.4" x14ac:dyDescent="0.3">
      <c r="F26" s="1082"/>
      <c r="G26" s="1083"/>
      <c r="H26" s="1083"/>
      <c r="J26" s="1083"/>
      <c r="M26" s="1083"/>
      <c r="O26" s="1083"/>
      <c r="Q26" s="1083"/>
      <c r="S26" s="1083"/>
      <c r="T26" s="1083"/>
      <c r="V26" s="1083"/>
      <c r="W26" s="1083"/>
      <c r="X26" s="1083"/>
      <c r="Z26" s="1083"/>
      <c r="AA26" s="1083"/>
      <c r="AB26" s="1083"/>
      <c r="AC26" s="1083"/>
      <c r="AD26" s="1083"/>
      <c r="AE26" s="1083"/>
      <c r="AF26" s="1083"/>
      <c r="AH26" s="1083"/>
      <c r="AK26" s="1083"/>
      <c r="AM26" s="1083"/>
      <c r="AN26" s="1083"/>
      <c r="AO26" s="1083"/>
      <c r="AQ26" s="1083"/>
      <c r="AS26" s="1083"/>
      <c r="AU26" s="1083"/>
      <c r="AV26" s="1083"/>
      <c r="AY26" s="1083"/>
      <c r="AZ26" s="1083"/>
      <c r="BB26" s="1083"/>
      <c r="BD26" s="1083"/>
      <c r="BE26" s="1083"/>
      <c r="BF26" s="1083"/>
      <c r="BG26" s="1083"/>
      <c r="BH26" s="1083"/>
      <c r="BJ26" s="1083"/>
      <c r="BL26" s="1083"/>
      <c r="BO26" s="1083"/>
      <c r="BP26" s="1083"/>
      <c r="BR26" s="1083"/>
      <c r="BT26" s="1083"/>
      <c r="BU26" s="1083"/>
      <c r="BW26" s="1083"/>
      <c r="BX26" s="1083"/>
      <c r="BY26" s="1083"/>
      <c r="BZ26" s="1083"/>
      <c r="CA26" s="1083"/>
      <c r="CC26" s="1083"/>
      <c r="CF26" s="1083"/>
      <c r="CJ26" s="1083"/>
      <c r="CK26" s="1083"/>
      <c r="CM26" s="1083"/>
      <c r="CN26" s="1083"/>
      <c r="CO26" s="1083"/>
      <c r="CP26" s="1083"/>
      <c r="CQ26" s="1083"/>
      <c r="CR26" s="1083"/>
      <c r="CS26" s="1083"/>
      <c r="CU26" s="1083"/>
      <c r="CV26" s="1083"/>
      <c r="CW26" s="1083"/>
      <c r="CZ26" s="1083"/>
      <c r="DA26" s="1083"/>
      <c r="DB26" s="1083"/>
      <c r="DC26" s="1083"/>
      <c r="DD26" s="1083"/>
      <c r="DE26" s="1083"/>
      <c r="DG26" s="1083"/>
      <c r="DI26" s="1083"/>
      <c r="DJ26" s="1083"/>
      <c r="DK26" s="1083"/>
      <c r="DM26" s="1083"/>
      <c r="DN26" s="1083"/>
      <c r="DO26" s="1083"/>
      <c r="DP26" s="1083"/>
      <c r="DS26" s="1083"/>
      <c r="DV26" s="1083"/>
      <c r="DW26" s="1083"/>
      <c r="DX26" s="1083"/>
      <c r="DY26" s="1083"/>
      <c r="EB26" s="1083"/>
      <c r="EC26" s="1083"/>
      <c r="ED26" s="1083"/>
      <c r="EE26" s="1083"/>
      <c r="EG26" s="1083"/>
      <c r="EJ26" s="1083"/>
      <c r="EK26" s="1083"/>
      <c r="EL26" s="1083"/>
      <c r="EM26" s="1083"/>
      <c r="EN26" s="1083"/>
      <c r="EO26" s="1083"/>
      <c r="EP26" s="1083"/>
      <c r="EQ26" s="1083"/>
      <c r="ER26" s="1083"/>
      <c r="ES26" s="1083"/>
      <c r="ET26" s="1083"/>
      <c r="EV26" s="1083"/>
      <c r="EX26" s="1083"/>
      <c r="EY26" s="1083"/>
      <c r="EZ26" s="1083"/>
      <c r="FA26" s="1083"/>
      <c r="FB26" s="1083"/>
      <c r="FD26" s="1083"/>
      <c r="FH26" s="1083"/>
      <c r="FJ26" s="1083"/>
      <c r="FK26" s="1083"/>
      <c r="FN26" s="1083"/>
      <c r="FO26" s="1083"/>
      <c r="FP26" s="1083"/>
      <c r="FR26" s="1083"/>
    </row>
    <row r="27" spans="6:174" ht="14.4" x14ac:dyDescent="0.3">
      <c r="F27" s="1082"/>
      <c r="G27" s="1083"/>
      <c r="H27" s="1083"/>
      <c r="J27" s="1083"/>
      <c r="M27" s="1083"/>
      <c r="O27" s="1083"/>
      <c r="Q27" s="1083"/>
      <c r="S27" s="1083"/>
      <c r="T27" s="1083"/>
      <c r="V27" s="1083"/>
      <c r="W27" s="1083"/>
      <c r="X27" s="1083"/>
      <c r="Z27" s="1083"/>
      <c r="AA27" s="1083"/>
      <c r="AB27" s="1083"/>
      <c r="AC27" s="1083"/>
      <c r="AD27" s="1083"/>
      <c r="AE27" s="1083"/>
      <c r="AF27" s="1083"/>
      <c r="AH27" s="1083"/>
      <c r="AK27" s="1083"/>
      <c r="AM27" s="1083"/>
      <c r="AN27" s="1083"/>
      <c r="AO27" s="1083"/>
      <c r="AQ27" s="1083"/>
      <c r="AS27" s="1083"/>
      <c r="AU27" s="1083"/>
      <c r="AV27" s="1083"/>
      <c r="AY27" s="1083"/>
      <c r="AZ27" s="1083"/>
      <c r="BB27" s="1083"/>
      <c r="BD27" s="1083"/>
      <c r="BE27" s="1083"/>
      <c r="BF27" s="1083"/>
      <c r="BG27" s="1083"/>
      <c r="BH27" s="1083"/>
      <c r="BJ27" s="1083"/>
      <c r="BL27" s="1083"/>
      <c r="BO27" s="1083"/>
      <c r="BP27" s="1083"/>
      <c r="BR27" s="1083"/>
      <c r="BT27" s="1083"/>
      <c r="BU27" s="1083"/>
      <c r="BW27" s="1083"/>
      <c r="BX27" s="1083"/>
      <c r="BY27" s="1083"/>
      <c r="BZ27" s="1083"/>
      <c r="CA27" s="1083"/>
      <c r="CC27" s="1083"/>
      <c r="CF27" s="1083"/>
      <c r="CJ27" s="1083"/>
      <c r="CK27" s="1083"/>
      <c r="CM27" s="1083"/>
      <c r="CN27" s="1083"/>
      <c r="CO27" s="1083"/>
      <c r="CP27" s="1083"/>
      <c r="CQ27" s="1083"/>
      <c r="CR27" s="1083"/>
      <c r="CS27" s="1083"/>
      <c r="CU27" s="1083"/>
      <c r="CV27" s="1083"/>
      <c r="CW27" s="1083"/>
      <c r="CZ27" s="1083"/>
      <c r="DA27" s="1083"/>
      <c r="DB27" s="1083"/>
      <c r="DC27" s="1083"/>
      <c r="DD27" s="1083"/>
      <c r="DE27" s="1083"/>
      <c r="DG27" s="1083"/>
      <c r="DI27" s="1083"/>
      <c r="DJ27" s="1083"/>
      <c r="DK27" s="1083"/>
      <c r="DM27" s="1083"/>
      <c r="DN27" s="1083"/>
      <c r="DO27" s="1083"/>
      <c r="DP27" s="1083"/>
      <c r="DS27" s="1083"/>
      <c r="DV27" s="1083"/>
      <c r="DW27" s="1083"/>
      <c r="DX27" s="1083"/>
      <c r="DY27" s="1083"/>
      <c r="EB27" s="1083"/>
      <c r="EC27" s="1083"/>
      <c r="ED27" s="1083"/>
      <c r="EE27" s="1083"/>
      <c r="EG27" s="1083"/>
      <c r="EJ27" s="1083"/>
      <c r="EK27" s="1083"/>
      <c r="EL27" s="1083"/>
      <c r="EM27" s="1083"/>
      <c r="EN27" s="1083"/>
      <c r="EO27" s="1083"/>
      <c r="EP27" s="1083"/>
      <c r="EQ27" s="1083"/>
      <c r="ER27" s="1083"/>
      <c r="ES27" s="1083"/>
      <c r="ET27" s="1083"/>
      <c r="EV27" s="1083"/>
      <c r="EX27" s="1083"/>
      <c r="EY27" s="1083"/>
      <c r="EZ27" s="1083"/>
      <c r="FA27" s="1083"/>
      <c r="FB27" s="1083"/>
      <c r="FD27" s="1083"/>
      <c r="FH27" s="1083"/>
      <c r="FJ27" s="1083"/>
      <c r="FK27" s="1083"/>
      <c r="FN27" s="1083"/>
      <c r="FO27" s="1083"/>
      <c r="FP27" s="1083"/>
      <c r="FR27" s="1083"/>
    </row>
    <row r="28" spans="6:174" ht="14.4" x14ac:dyDescent="0.3">
      <c r="F28" s="1082"/>
      <c r="G28" s="1083"/>
      <c r="H28" s="1083"/>
      <c r="J28" s="1083"/>
      <c r="M28" s="1083"/>
      <c r="O28" s="1083"/>
      <c r="Q28" s="1083"/>
      <c r="S28" s="1083"/>
      <c r="T28" s="1083"/>
      <c r="V28" s="1083"/>
      <c r="W28" s="1083"/>
      <c r="X28" s="1083"/>
      <c r="Z28" s="1083"/>
      <c r="AA28" s="1083"/>
      <c r="AB28" s="1083"/>
      <c r="AC28" s="1083"/>
      <c r="AD28" s="1083"/>
      <c r="AE28" s="1083"/>
      <c r="AF28" s="1083"/>
      <c r="AH28" s="1083"/>
      <c r="AK28" s="1083"/>
      <c r="AM28" s="1083"/>
      <c r="AN28" s="1083"/>
      <c r="AO28" s="1083"/>
      <c r="AQ28" s="1083"/>
      <c r="AS28" s="1083"/>
      <c r="AU28" s="1083"/>
      <c r="AV28" s="1083"/>
      <c r="AY28" s="1083"/>
      <c r="AZ28" s="1083"/>
      <c r="BB28" s="1083"/>
      <c r="BD28" s="1083"/>
      <c r="BE28" s="1083"/>
      <c r="BF28" s="1083"/>
      <c r="BG28" s="1083"/>
      <c r="BH28" s="1083"/>
      <c r="BJ28" s="1083"/>
      <c r="BL28" s="1083"/>
      <c r="BO28" s="1083"/>
      <c r="BP28" s="1083"/>
      <c r="BR28" s="1083"/>
      <c r="BT28" s="1083"/>
      <c r="BU28" s="1083"/>
      <c r="BW28" s="1083"/>
      <c r="BX28" s="1083"/>
      <c r="BY28" s="1083"/>
      <c r="BZ28" s="1083"/>
      <c r="CA28" s="1083"/>
      <c r="CC28" s="1083"/>
      <c r="CF28" s="1083"/>
      <c r="CJ28" s="1083"/>
      <c r="CK28" s="1083"/>
      <c r="CM28" s="1083"/>
      <c r="CN28" s="1083"/>
      <c r="CO28" s="1083"/>
      <c r="CP28" s="1083"/>
      <c r="CQ28" s="1083"/>
      <c r="CR28" s="1083"/>
      <c r="CS28" s="1083"/>
      <c r="CU28" s="1083"/>
      <c r="CV28" s="1083"/>
      <c r="CW28" s="1083"/>
      <c r="CZ28" s="1083"/>
      <c r="DA28" s="1083"/>
      <c r="DB28" s="1083"/>
      <c r="DC28" s="1083"/>
      <c r="DD28" s="1083"/>
      <c r="DE28" s="1083"/>
      <c r="DG28" s="1083"/>
      <c r="DI28" s="1083"/>
      <c r="DJ28" s="1083"/>
      <c r="DK28" s="1083"/>
      <c r="DM28" s="1083"/>
      <c r="DN28" s="1083"/>
      <c r="DO28" s="1083"/>
      <c r="DP28" s="1083"/>
      <c r="DS28" s="1083"/>
      <c r="DV28" s="1083"/>
      <c r="DW28" s="1083"/>
      <c r="DX28" s="1083"/>
      <c r="DY28" s="1083"/>
      <c r="EB28" s="1083"/>
      <c r="EC28" s="1083"/>
      <c r="ED28" s="1083"/>
      <c r="EE28" s="1083"/>
      <c r="EG28" s="1083"/>
      <c r="EJ28" s="1083"/>
      <c r="EK28" s="1083"/>
      <c r="EL28" s="1083"/>
      <c r="EM28" s="1083"/>
      <c r="EN28" s="1083"/>
      <c r="EO28" s="1083"/>
      <c r="EP28" s="1083"/>
      <c r="EQ28" s="1083"/>
      <c r="ER28" s="1083"/>
      <c r="ES28" s="1083"/>
      <c r="ET28" s="1083"/>
      <c r="EV28" s="1083"/>
      <c r="EX28" s="1083"/>
      <c r="EY28" s="1083"/>
      <c r="EZ28" s="1083"/>
      <c r="FA28" s="1083"/>
      <c r="FB28" s="1083"/>
      <c r="FD28" s="1083"/>
      <c r="FH28" s="1083"/>
      <c r="FJ28" s="1083"/>
      <c r="FK28" s="1083"/>
      <c r="FN28" s="1083"/>
      <c r="FO28" s="1083"/>
      <c r="FP28" s="1083"/>
      <c r="FR28" s="1083"/>
    </row>
    <row r="29" spans="6:174" ht="14.4" x14ac:dyDescent="0.3">
      <c r="F29" s="1082"/>
      <c r="G29" s="1083"/>
      <c r="H29" s="1083"/>
      <c r="J29" s="1083"/>
      <c r="M29" s="1083"/>
      <c r="O29" s="1083"/>
      <c r="Q29" s="1083"/>
      <c r="S29" s="1083"/>
      <c r="T29" s="1083"/>
      <c r="V29" s="1083"/>
      <c r="W29" s="1083"/>
      <c r="X29" s="1083"/>
      <c r="Z29" s="1083"/>
      <c r="AA29" s="1083"/>
      <c r="AB29" s="1083"/>
      <c r="AC29" s="1083"/>
      <c r="AD29" s="1083"/>
      <c r="AE29" s="1083"/>
      <c r="AF29" s="1083"/>
      <c r="AH29" s="1083"/>
      <c r="AK29" s="1083"/>
      <c r="AM29" s="1083"/>
      <c r="AN29" s="1083"/>
      <c r="AO29" s="1083"/>
      <c r="AQ29" s="1083"/>
      <c r="AS29" s="1083"/>
      <c r="AU29" s="1083"/>
      <c r="AV29" s="1083"/>
      <c r="AY29" s="1083"/>
      <c r="AZ29" s="1083"/>
      <c r="BB29" s="1083"/>
      <c r="BD29" s="1083"/>
      <c r="BE29" s="1083"/>
      <c r="BF29" s="1083"/>
      <c r="BG29" s="1083"/>
      <c r="BH29" s="1083"/>
      <c r="BJ29" s="1083"/>
      <c r="BL29" s="1083"/>
      <c r="BO29" s="1083"/>
      <c r="BP29" s="1083"/>
      <c r="BR29" s="1083"/>
      <c r="BT29" s="1083"/>
      <c r="BU29" s="1083"/>
      <c r="BW29" s="1083"/>
      <c r="BX29" s="1083"/>
      <c r="BY29" s="1083"/>
      <c r="BZ29" s="1083"/>
      <c r="CA29" s="1083"/>
      <c r="CC29" s="1083"/>
      <c r="CF29" s="1083"/>
      <c r="CJ29" s="1083"/>
      <c r="CK29" s="1083"/>
      <c r="CM29" s="1083"/>
      <c r="CN29" s="1083"/>
      <c r="CO29" s="1083"/>
      <c r="CP29" s="1083"/>
      <c r="CQ29" s="1083"/>
      <c r="CR29" s="1083"/>
      <c r="CS29" s="1083"/>
      <c r="CU29" s="1083"/>
      <c r="CV29" s="1083"/>
      <c r="CW29" s="1083"/>
      <c r="CZ29" s="1083"/>
      <c r="DA29" s="1083"/>
      <c r="DB29" s="1083"/>
      <c r="DC29" s="1083"/>
      <c r="DD29" s="1083"/>
      <c r="DE29" s="1083"/>
      <c r="DG29" s="1083"/>
      <c r="DI29" s="1083"/>
      <c r="DJ29" s="1083"/>
      <c r="DK29" s="1083"/>
      <c r="DM29" s="1083"/>
      <c r="DN29" s="1083"/>
      <c r="DO29" s="1083"/>
      <c r="DP29" s="1083"/>
      <c r="DS29" s="1083"/>
      <c r="DV29" s="1083"/>
      <c r="DW29" s="1083"/>
      <c r="DX29" s="1083"/>
      <c r="DY29" s="1083"/>
      <c r="EB29" s="1083"/>
      <c r="EC29" s="1083"/>
      <c r="ED29" s="1083"/>
      <c r="EE29" s="1083"/>
      <c r="EG29" s="1083"/>
      <c r="EJ29" s="1083"/>
      <c r="EK29" s="1083"/>
      <c r="EL29" s="1083"/>
      <c r="EM29" s="1083"/>
      <c r="EN29" s="1083"/>
      <c r="EO29" s="1083"/>
      <c r="EP29" s="1083"/>
      <c r="EQ29" s="1083"/>
      <c r="ER29" s="1083"/>
      <c r="ES29" s="1083"/>
      <c r="ET29" s="1083"/>
      <c r="EV29" s="1083"/>
      <c r="EX29" s="1083"/>
      <c r="EY29" s="1083"/>
      <c r="EZ29" s="1083"/>
      <c r="FA29" s="1083"/>
      <c r="FB29" s="1083"/>
      <c r="FD29" s="1083"/>
      <c r="FH29" s="1083"/>
      <c r="FJ29" s="1083"/>
      <c r="FK29" s="1083"/>
      <c r="FN29" s="1083"/>
      <c r="FO29" s="1083"/>
      <c r="FP29" s="1083"/>
      <c r="FR29" s="1083"/>
    </row>
    <row r="30" spans="6:174" ht="14.4" x14ac:dyDescent="0.3">
      <c r="F30" s="1082"/>
      <c r="G30" s="1083"/>
      <c r="H30" s="1083"/>
      <c r="J30" s="1083"/>
      <c r="M30" s="1083"/>
      <c r="O30" s="1083"/>
      <c r="Q30" s="1083"/>
      <c r="S30" s="1083"/>
      <c r="T30" s="1083"/>
      <c r="V30" s="1083"/>
      <c r="W30" s="1083"/>
      <c r="X30" s="1083"/>
      <c r="Z30" s="1083"/>
      <c r="AA30" s="1083"/>
      <c r="AB30" s="1083"/>
      <c r="AC30" s="1083"/>
      <c r="AD30" s="1083"/>
      <c r="AE30" s="1083"/>
      <c r="AF30" s="1083"/>
      <c r="AH30" s="1083"/>
      <c r="AK30" s="1083"/>
      <c r="AM30" s="1083"/>
      <c r="AN30" s="1083"/>
      <c r="AO30" s="1083"/>
      <c r="AQ30" s="1083"/>
      <c r="AS30" s="1083"/>
      <c r="AU30" s="1083"/>
      <c r="AV30" s="1083"/>
      <c r="AY30" s="1083"/>
      <c r="AZ30" s="1083"/>
      <c r="BB30" s="1083"/>
      <c r="BD30" s="1083"/>
      <c r="BE30" s="1083"/>
      <c r="BF30" s="1083"/>
      <c r="BG30" s="1083"/>
      <c r="BH30" s="1083"/>
      <c r="BJ30" s="1083"/>
      <c r="BL30" s="1083"/>
      <c r="BO30" s="1083"/>
      <c r="BP30" s="1083"/>
      <c r="BR30" s="1083"/>
      <c r="BT30" s="1083"/>
      <c r="BU30" s="1083"/>
      <c r="BW30" s="1083"/>
      <c r="BX30" s="1083"/>
      <c r="BY30" s="1083"/>
      <c r="BZ30" s="1083"/>
      <c r="CA30" s="1083"/>
      <c r="CC30" s="1083"/>
      <c r="CF30" s="1083"/>
      <c r="CJ30" s="1083"/>
      <c r="CK30" s="1083"/>
      <c r="CM30" s="1083"/>
      <c r="CN30" s="1083"/>
      <c r="CO30" s="1083"/>
      <c r="CP30" s="1083"/>
      <c r="CQ30" s="1083"/>
      <c r="CR30" s="1083"/>
      <c r="CS30" s="1083"/>
      <c r="CU30" s="1083"/>
      <c r="CV30" s="1083"/>
      <c r="CW30" s="1083"/>
      <c r="CZ30" s="1083"/>
      <c r="DA30" s="1083"/>
      <c r="DB30" s="1083"/>
      <c r="DC30" s="1083"/>
      <c r="DD30" s="1083"/>
      <c r="DE30" s="1083"/>
      <c r="DG30" s="1083"/>
      <c r="DI30" s="1083"/>
      <c r="DJ30" s="1083"/>
      <c r="DK30" s="1083"/>
      <c r="DM30" s="1083"/>
      <c r="DN30" s="1083"/>
      <c r="DO30" s="1083"/>
      <c r="DP30" s="1083"/>
      <c r="DS30" s="1083"/>
      <c r="DV30" s="1083"/>
      <c r="DW30" s="1083"/>
      <c r="DX30" s="1083"/>
      <c r="DY30" s="1083"/>
      <c r="EB30" s="1083"/>
      <c r="EC30" s="1083"/>
      <c r="ED30" s="1083"/>
      <c r="EE30" s="1083"/>
      <c r="EG30" s="1083"/>
      <c r="EJ30" s="1083"/>
      <c r="EK30" s="1083"/>
      <c r="EL30" s="1083"/>
      <c r="EM30" s="1083"/>
      <c r="EN30" s="1083"/>
      <c r="EO30" s="1083"/>
      <c r="EP30" s="1083"/>
      <c r="EQ30" s="1083"/>
      <c r="ER30" s="1083"/>
      <c r="ES30" s="1083"/>
      <c r="ET30" s="1083"/>
      <c r="EV30" s="1083"/>
      <c r="EX30" s="1083"/>
      <c r="EY30" s="1083"/>
      <c r="EZ30" s="1083"/>
      <c r="FA30" s="1083"/>
      <c r="FB30" s="1083"/>
      <c r="FD30" s="1083"/>
      <c r="FH30" s="1083"/>
      <c r="FJ30" s="1083"/>
      <c r="FK30" s="1083"/>
      <c r="FN30" s="1083"/>
      <c r="FO30" s="1083"/>
      <c r="FP30" s="1083"/>
      <c r="FR30" s="1083"/>
    </row>
    <row r="31" spans="6:174" ht="14.4" x14ac:dyDescent="0.3">
      <c r="F31" s="1082"/>
      <c r="G31" s="1083"/>
      <c r="H31" s="1083"/>
      <c r="J31" s="1083"/>
      <c r="M31" s="1083"/>
      <c r="O31" s="1083"/>
      <c r="Q31" s="1083"/>
      <c r="S31" s="1083"/>
      <c r="T31" s="1083"/>
      <c r="V31" s="1083"/>
      <c r="W31" s="1083"/>
      <c r="X31" s="1083"/>
      <c r="Z31" s="1083"/>
      <c r="AA31" s="1083"/>
      <c r="AB31" s="1083"/>
      <c r="AC31" s="1083"/>
      <c r="AD31" s="1083"/>
      <c r="AE31" s="1083"/>
      <c r="AF31" s="1083"/>
      <c r="AH31" s="1083"/>
      <c r="AK31" s="1083"/>
      <c r="AM31" s="1083"/>
      <c r="AN31" s="1083"/>
      <c r="AO31" s="1083"/>
      <c r="AQ31" s="1083"/>
      <c r="AS31" s="1083"/>
      <c r="AU31" s="1083"/>
      <c r="AV31" s="1083"/>
      <c r="AY31" s="1083"/>
      <c r="AZ31" s="1083"/>
      <c r="BB31" s="1083"/>
      <c r="BD31" s="1083"/>
      <c r="BE31" s="1083"/>
      <c r="BF31" s="1083"/>
      <c r="BG31" s="1083"/>
      <c r="BH31" s="1083"/>
      <c r="BJ31" s="1083"/>
      <c r="BL31" s="1083"/>
      <c r="BO31" s="1083"/>
      <c r="BP31" s="1083"/>
      <c r="BR31" s="1083"/>
      <c r="BT31" s="1083"/>
      <c r="BU31" s="1083"/>
      <c r="BW31" s="1083"/>
      <c r="BX31" s="1083"/>
      <c r="BY31" s="1083"/>
      <c r="BZ31" s="1083"/>
      <c r="CA31" s="1083"/>
      <c r="CC31" s="1083"/>
      <c r="CF31" s="1083"/>
      <c r="CJ31" s="1083"/>
      <c r="CK31" s="1083"/>
      <c r="CM31" s="1083"/>
      <c r="CN31" s="1083"/>
      <c r="CO31" s="1083"/>
      <c r="CP31" s="1083"/>
      <c r="CQ31" s="1083"/>
      <c r="CR31" s="1083"/>
      <c r="CS31" s="1083"/>
      <c r="CU31" s="1083"/>
      <c r="CV31" s="1083"/>
      <c r="CW31" s="1083"/>
      <c r="CZ31" s="1083"/>
      <c r="DA31" s="1083"/>
      <c r="DB31" s="1083"/>
      <c r="DC31" s="1083"/>
      <c r="DD31" s="1083"/>
      <c r="DE31" s="1083"/>
      <c r="DG31" s="1083"/>
      <c r="DI31" s="1083"/>
      <c r="DJ31" s="1083"/>
      <c r="DK31" s="1083"/>
      <c r="DM31" s="1083"/>
      <c r="DN31" s="1083"/>
      <c r="DO31" s="1083"/>
      <c r="DP31" s="1083"/>
      <c r="DS31" s="1083"/>
      <c r="DV31" s="1083"/>
      <c r="DW31" s="1083"/>
      <c r="DX31" s="1083"/>
      <c r="DY31" s="1083"/>
      <c r="EB31" s="1083"/>
      <c r="EC31" s="1083"/>
      <c r="ED31" s="1083"/>
      <c r="EE31" s="1083"/>
      <c r="EG31" s="1083"/>
      <c r="EJ31" s="1083"/>
      <c r="EK31" s="1083"/>
      <c r="EL31" s="1083"/>
      <c r="EM31" s="1083"/>
      <c r="EN31" s="1083"/>
      <c r="EO31" s="1083"/>
      <c r="EP31" s="1083"/>
      <c r="EQ31" s="1083"/>
      <c r="ER31" s="1083"/>
      <c r="ES31" s="1083"/>
      <c r="ET31" s="1083"/>
      <c r="EV31" s="1083"/>
      <c r="EX31" s="1083"/>
      <c r="EY31" s="1083"/>
      <c r="EZ31" s="1083"/>
      <c r="FA31" s="1083"/>
      <c r="FB31" s="1083"/>
      <c r="FD31" s="1083"/>
      <c r="FH31" s="1083"/>
      <c r="FJ31" s="1083"/>
      <c r="FK31" s="1083"/>
      <c r="FN31" s="1083"/>
      <c r="FO31" s="1083"/>
      <c r="FP31" s="1083"/>
      <c r="FR31" s="1083"/>
    </row>
    <row r="32" spans="6:174" ht="14.4" x14ac:dyDescent="0.3">
      <c r="F32" s="1082"/>
      <c r="G32" s="1083"/>
      <c r="H32" s="1083"/>
      <c r="J32" s="1083"/>
      <c r="M32" s="1083"/>
      <c r="O32" s="1083"/>
      <c r="Q32" s="1083"/>
      <c r="S32" s="1083"/>
      <c r="T32" s="1083"/>
      <c r="V32" s="1083"/>
      <c r="W32" s="1083"/>
      <c r="X32" s="1083"/>
      <c r="Z32" s="1083"/>
      <c r="AA32" s="1083"/>
      <c r="AB32" s="1083"/>
      <c r="AC32" s="1083"/>
      <c r="AD32" s="1083"/>
      <c r="AE32" s="1083"/>
      <c r="AF32" s="1083"/>
      <c r="AH32" s="1083"/>
      <c r="AK32" s="1083"/>
      <c r="AM32" s="1083"/>
      <c r="AN32" s="1083"/>
      <c r="AO32" s="1083"/>
      <c r="AQ32" s="1083"/>
      <c r="AS32" s="1083"/>
      <c r="AU32" s="1083"/>
      <c r="AV32" s="1083"/>
      <c r="AY32" s="1083"/>
      <c r="AZ32" s="1083"/>
      <c r="BB32" s="1083"/>
      <c r="BD32" s="1083"/>
      <c r="BE32" s="1083"/>
      <c r="BF32" s="1083"/>
      <c r="BG32" s="1083"/>
      <c r="BH32" s="1083"/>
      <c r="BJ32" s="1083"/>
      <c r="BL32" s="1083"/>
      <c r="BO32" s="1083"/>
      <c r="BP32" s="1083"/>
      <c r="BR32" s="1083"/>
      <c r="BT32" s="1083"/>
      <c r="BU32" s="1083"/>
      <c r="BW32" s="1083"/>
      <c r="BX32" s="1083"/>
      <c r="BY32" s="1083"/>
      <c r="BZ32" s="1083"/>
      <c r="CA32" s="1083"/>
      <c r="CC32" s="1083"/>
      <c r="CF32" s="1083"/>
      <c r="CJ32" s="1083"/>
      <c r="CK32" s="1083"/>
      <c r="CM32" s="1083"/>
      <c r="CN32" s="1083"/>
      <c r="CO32" s="1083"/>
      <c r="CP32" s="1083"/>
      <c r="CQ32" s="1083"/>
      <c r="CR32" s="1083"/>
      <c r="CS32" s="1083"/>
      <c r="CU32" s="1083"/>
      <c r="CV32" s="1083"/>
      <c r="CW32" s="1083"/>
      <c r="CZ32" s="1083"/>
      <c r="DA32" s="1083"/>
      <c r="DB32" s="1083"/>
      <c r="DC32" s="1083"/>
      <c r="DD32" s="1083"/>
      <c r="DE32" s="1083"/>
      <c r="DG32" s="1083"/>
      <c r="DI32" s="1083"/>
      <c r="DJ32" s="1083"/>
      <c r="DK32" s="1083"/>
      <c r="DM32" s="1083"/>
      <c r="DN32" s="1083"/>
      <c r="DO32" s="1083"/>
      <c r="DP32" s="1083"/>
      <c r="DS32" s="1083"/>
      <c r="DV32" s="1083"/>
      <c r="DW32" s="1083"/>
      <c r="DX32" s="1083"/>
      <c r="DY32" s="1083"/>
      <c r="EB32" s="1083"/>
      <c r="EC32" s="1083"/>
      <c r="ED32" s="1083"/>
      <c r="EE32" s="1083"/>
      <c r="EG32" s="1083"/>
      <c r="EJ32" s="1083"/>
      <c r="EK32" s="1083"/>
      <c r="EL32" s="1083"/>
      <c r="EM32" s="1083"/>
      <c r="EN32" s="1083"/>
      <c r="EO32" s="1083"/>
      <c r="EP32" s="1083"/>
      <c r="EQ32" s="1083"/>
      <c r="ER32" s="1083"/>
      <c r="ES32" s="1083"/>
      <c r="ET32" s="1083"/>
      <c r="EV32" s="1083"/>
      <c r="EX32" s="1083"/>
      <c r="EY32" s="1083"/>
      <c r="EZ32" s="1083"/>
      <c r="FA32" s="1083"/>
      <c r="FB32" s="1083"/>
      <c r="FD32" s="1083"/>
      <c r="FH32" s="1083"/>
      <c r="FJ32" s="1083"/>
      <c r="FK32" s="1083"/>
      <c r="FN32" s="1083"/>
      <c r="FO32" s="1083"/>
      <c r="FP32" s="1083"/>
      <c r="FR32" s="1083"/>
    </row>
  </sheetData>
  <mergeCells count="2">
    <mergeCell ref="D6:E6"/>
    <mergeCell ref="D7:E7"/>
  </mergeCells>
  <conditionalFormatting sqref="A8:C8 F8:FR8">
    <cfRule type="expression" dxfId="59" priority="2">
      <formula>IF(INDEX(VAD_bMeasSoilFAME,COLUMN(A8),5)&gt;0,TRUE(),FALSE())</formula>
    </cfRule>
  </conditionalFormatting>
  <conditionalFormatting sqref="D8:E8">
    <cfRule type="expression" dxfId="58" priority="1">
      <formula>IF(INDEX(Vad_MeasSoilBiol,COLUMN(D8),5)&gt;0,TRUE(),FALSE())</formula>
    </cfRule>
  </conditionalFormatting>
  <dataValidations count="9">
    <dataValidation allowBlank="1" showErrorMessage="1" sqref="G8:FR8"/>
    <dataValidation type="list" allowBlank="1" showInputMessage="1" showErrorMessage="1" sqref="M9:N1048576">
      <formula1>Yes_No</formula1>
    </dataValidation>
    <dataValidation type="list" allowBlank="1" showInputMessage="1" showErrorMessage="1" sqref="A9:A725">
      <formula1>Exp_UnitID</formula1>
    </dataValidation>
    <dataValidation type="list" allowBlank="1" showInputMessage="1" showErrorMessage="1" sqref="C9:C725">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F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S19"/>
  <sheetViews>
    <sheetView workbookViewId="0">
      <pane xSplit="5" ySplit="8" topLeftCell="F9" activePane="bottomRight" state="frozen"/>
      <selection pane="topRight" activeCell="F1" sqref="F1"/>
      <selection pane="bottomLeft" activeCell="A9" sqref="A9"/>
      <selection pane="bottomRight" activeCell="A8" sqref="A8"/>
    </sheetView>
  </sheetViews>
  <sheetFormatPr defaultColWidth="8.88671875" defaultRowHeight="14.4" x14ac:dyDescent="0.3"/>
  <cols>
    <col min="1" max="1" width="8.88671875" style="10"/>
    <col min="2" max="6" width="8.88671875" style="108"/>
    <col min="7" max="7" width="20.109375" style="108" customWidth="1"/>
    <col min="8" max="8" width="10.88671875" style="108" customWidth="1"/>
    <col min="9" max="9" width="19.88671875" style="108" customWidth="1"/>
    <col min="10" max="10" width="20.6640625" style="108" customWidth="1"/>
    <col min="11" max="11" width="12.88671875" style="108" customWidth="1"/>
    <col min="12" max="12" width="13" style="108" customWidth="1"/>
    <col min="13" max="13" width="12.88671875" style="108" customWidth="1"/>
    <col min="14" max="14" width="13.88671875" style="108" bestFit="1" customWidth="1"/>
    <col min="15" max="15" width="12.5546875" style="108" customWidth="1"/>
    <col min="16" max="16" width="12.109375" style="108" customWidth="1"/>
    <col min="17" max="25" width="8.88671875" style="108"/>
    <col min="26" max="26" width="11.5546875" style="108" bestFit="1" customWidth="1"/>
    <col min="27" max="27" width="8.33203125" style="108" bestFit="1" customWidth="1"/>
    <col min="28" max="28" width="11.5546875" style="108" bestFit="1" customWidth="1"/>
    <col min="29" max="29" width="8.33203125" style="108" bestFit="1" customWidth="1"/>
    <col min="30" max="30" width="11.5546875" style="108" bestFit="1" customWidth="1"/>
    <col min="31" max="31" width="8.33203125" style="108" bestFit="1" customWidth="1"/>
    <col min="32" max="32" width="11.5546875" style="108" bestFit="1" customWidth="1"/>
    <col min="33" max="33" width="8.33203125" style="108" bestFit="1" customWidth="1"/>
    <col min="34" max="34" width="11.5546875" style="108" bestFit="1" customWidth="1"/>
    <col min="35" max="35" width="8.33203125" style="108" bestFit="1" customWidth="1"/>
    <col min="36" max="36" width="11.5546875" style="108" bestFit="1" customWidth="1"/>
    <col min="37" max="37" width="8.33203125" style="108" bestFit="1" customWidth="1"/>
    <col min="38" max="38" width="11.5546875" style="108" bestFit="1" customWidth="1"/>
    <col min="39" max="39" width="8.33203125" style="108" bestFit="1" customWidth="1"/>
    <col min="40" max="40" width="11.5546875" style="108" bestFit="1" customWidth="1"/>
    <col min="41" max="41" width="8.33203125" style="108" bestFit="1" customWidth="1"/>
    <col min="42" max="42" width="11.5546875" style="108" bestFit="1" customWidth="1"/>
    <col min="43" max="43" width="8.33203125" style="108" bestFit="1" customWidth="1"/>
    <col min="44" max="44" width="11.5546875" style="108" bestFit="1" customWidth="1"/>
    <col min="45" max="45" width="8.33203125" style="108" bestFit="1" customWidth="1"/>
    <col min="46" max="16384" width="8.88671875" style="108"/>
  </cols>
  <sheetData>
    <row r="1" spans="1:45" ht="17.399999999999999" x14ac:dyDescent="0.3">
      <c r="A1" s="1024" t="s">
        <v>551</v>
      </c>
      <c r="B1" s="1041"/>
      <c r="C1" s="1024"/>
      <c r="D1" s="184"/>
      <c r="E1" s="212"/>
      <c r="F1" s="1084"/>
      <c r="G1" s="1084"/>
      <c r="H1" s="1069"/>
      <c r="I1" s="1069"/>
      <c r="J1" s="1069"/>
      <c r="K1" s="1069"/>
      <c r="L1" s="1069"/>
      <c r="M1" s="1069"/>
      <c r="N1" s="1069"/>
      <c r="O1" s="1069"/>
      <c r="P1" s="1069"/>
      <c r="Q1" s="1069"/>
      <c r="R1" s="1069"/>
      <c r="S1" s="1069"/>
      <c r="T1" s="1069"/>
      <c r="U1" s="1069"/>
      <c r="V1" s="1069"/>
      <c r="W1" s="1069"/>
      <c r="X1" s="1069"/>
      <c r="Y1" s="1085"/>
      <c r="Z1" s="1085"/>
      <c r="AA1" s="1085"/>
      <c r="AB1" s="1085"/>
      <c r="AC1" s="1085"/>
      <c r="AD1" s="1085"/>
      <c r="AE1" s="1085"/>
      <c r="AF1" s="1085"/>
      <c r="AG1" s="1085"/>
      <c r="AH1" s="1085"/>
      <c r="AI1" s="1085"/>
      <c r="AJ1" s="1085"/>
      <c r="AK1" s="1085"/>
      <c r="AL1" s="1085"/>
      <c r="AM1" s="1085"/>
      <c r="AN1" s="1085"/>
      <c r="AO1" s="1085"/>
      <c r="AP1" s="1085"/>
      <c r="AQ1" s="1085"/>
      <c r="AR1" s="1085"/>
      <c r="AS1" s="1085"/>
    </row>
    <row r="2" spans="1:45" ht="16.5" customHeight="1" x14ac:dyDescent="0.3">
      <c r="A2" s="897" t="s">
        <v>617</v>
      </c>
      <c r="B2" s="265"/>
      <c r="C2" s="712"/>
      <c r="D2" s="109"/>
      <c r="E2" s="1050"/>
      <c r="F2" s="1086" t="s">
        <v>2691</v>
      </c>
      <c r="G2" s="1086"/>
      <c r="H2" s="1086"/>
      <c r="I2" s="1086"/>
      <c r="J2" s="1086"/>
      <c r="K2" s="1086" t="s">
        <v>2692</v>
      </c>
      <c r="L2" s="1086"/>
      <c r="M2" s="1086" t="s">
        <v>2691</v>
      </c>
      <c r="N2" s="1086" t="s">
        <v>2691</v>
      </c>
      <c r="O2" s="1086" t="s">
        <v>2691</v>
      </c>
      <c r="P2" s="1086" t="s">
        <v>2691</v>
      </c>
      <c r="Q2" s="1086"/>
      <c r="R2" s="1087" t="s">
        <v>2691</v>
      </c>
      <c r="S2" s="1087" t="s">
        <v>2691</v>
      </c>
      <c r="T2" s="1087" t="s">
        <v>2691</v>
      </c>
      <c r="U2" s="1087" t="s">
        <v>2691</v>
      </c>
      <c r="V2" s="1087" t="s">
        <v>2691</v>
      </c>
      <c r="W2" s="1087"/>
      <c r="X2" s="1088" t="s">
        <v>2691</v>
      </c>
      <c r="Y2" s="1085"/>
      <c r="Z2" s="1085"/>
      <c r="AA2" s="1085"/>
      <c r="AB2" s="1085"/>
      <c r="AC2" s="1085"/>
      <c r="AD2" s="1085"/>
      <c r="AE2" s="1085"/>
      <c r="AF2" s="1085"/>
      <c r="AG2" s="1085"/>
      <c r="AH2" s="1085"/>
      <c r="AI2" s="1085"/>
      <c r="AJ2" s="1085"/>
      <c r="AK2" s="1085"/>
      <c r="AL2" s="1085"/>
      <c r="AM2" s="1085"/>
      <c r="AN2" s="1085"/>
      <c r="AO2" s="1085"/>
      <c r="AP2" s="1085"/>
      <c r="AQ2" s="1085"/>
      <c r="AR2" s="1085"/>
      <c r="AS2" s="1085"/>
    </row>
    <row r="3" spans="1:45" ht="16.5" customHeight="1" x14ac:dyDescent="0.3">
      <c r="A3" s="712"/>
      <c r="B3" s="266"/>
      <c r="C3" s="712"/>
      <c r="D3" s="109"/>
      <c r="E3" s="1050"/>
      <c r="F3" s="1085"/>
      <c r="G3" s="1085"/>
      <c r="H3" s="1085"/>
      <c r="I3" s="1085"/>
      <c r="J3" s="1085"/>
      <c r="K3" s="1085" t="s">
        <v>2693</v>
      </c>
      <c r="L3" s="1085" t="s">
        <v>2694</v>
      </c>
      <c r="M3" s="1085"/>
      <c r="N3" s="1085"/>
      <c r="O3" s="1085"/>
      <c r="P3" s="1085"/>
      <c r="Q3" s="1085"/>
      <c r="R3" s="1085"/>
      <c r="S3" s="1085"/>
      <c r="T3" s="1085"/>
      <c r="U3" s="1085"/>
      <c r="V3" s="1085"/>
      <c r="W3" s="1085"/>
      <c r="X3" s="1085" t="s">
        <v>2695</v>
      </c>
      <c r="Y3" s="1085"/>
      <c r="Z3" s="1085"/>
      <c r="AA3" s="1085"/>
      <c r="AB3" s="1085"/>
      <c r="AC3" s="1085"/>
      <c r="AD3" s="1085"/>
      <c r="AE3" s="1085"/>
      <c r="AF3" s="1085"/>
      <c r="AG3" s="1085"/>
      <c r="AH3" s="1085"/>
      <c r="AI3" s="1085"/>
      <c r="AJ3" s="1085"/>
      <c r="AK3" s="1085"/>
      <c r="AL3" s="1085"/>
      <c r="AM3" s="1085"/>
      <c r="AN3" s="1085"/>
      <c r="AO3" s="1085"/>
      <c r="AP3" s="1085"/>
      <c r="AQ3" s="1085"/>
      <c r="AR3" s="1085"/>
      <c r="AS3" s="1085"/>
    </row>
    <row r="4" spans="1:45" ht="16.5" customHeight="1" x14ac:dyDescent="0.3">
      <c r="A4" s="712"/>
      <c r="B4" s="267"/>
      <c r="C4" s="712"/>
      <c r="D4" s="111"/>
      <c r="E4" s="1050"/>
      <c r="F4" s="1085"/>
      <c r="G4" s="1085" t="s">
        <v>2696</v>
      </c>
      <c r="H4" s="1085"/>
      <c r="I4" s="1085"/>
      <c r="J4" s="1085" t="s">
        <v>2696</v>
      </c>
      <c r="K4" s="1085" t="s">
        <v>2697</v>
      </c>
      <c r="L4" s="1085" t="s">
        <v>2698</v>
      </c>
      <c r="M4" s="1085"/>
      <c r="N4" s="1085"/>
      <c r="O4" s="1085"/>
      <c r="P4" s="1085"/>
      <c r="Q4" s="1085"/>
      <c r="R4" s="1085"/>
      <c r="S4" s="1085"/>
      <c r="T4" s="1085"/>
      <c r="U4" s="1085"/>
      <c r="V4" s="1085"/>
      <c r="W4" s="1085"/>
      <c r="X4" s="1085" t="s">
        <v>2699</v>
      </c>
      <c r="Y4" s="1085"/>
      <c r="Z4" s="1085"/>
      <c r="AA4" s="1085"/>
      <c r="AB4" s="1085"/>
      <c r="AC4" s="1085"/>
      <c r="AD4" s="1085"/>
      <c r="AE4" s="1085"/>
      <c r="AF4" s="1085"/>
      <c r="AG4" s="1085"/>
      <c r="AH4" s="1085"/>
      <c r="AI4" s="1085"/>
      <c r="AJ4" s="1085"/>
      <c r="AK4" s="1085"/>
      <c r="AL4" s="1085"/>
      <c r="AM4" s="1085"/>
      <c r="AN4" s="1085"/>
      <c r="AO4" s="1085"/>
      <c r="AP4" s="1085"/>
      <c r="AQ4" s="1085"/>
      <c r="AR4" s="1085"/>
      <c r="AS4" s="1085"/>
    </row>
    <row r="5" spans="1:45" ht="16.5" customHeight="1" x14ac:dyDescent="0.3">
      <c r="A5" s="1052" t="s">
        <v>343</v>
      </c>
      <c r="B5" s="1053"/>
      <c r="C5" s="1054"/>
      <c r="D5" s="109"/>
      <c r="E5" s="1050"/>
      <c r="F5" s="1085"/>
      <c r="G5" s="1085" t="s">
        <v>2700</v>
      </c>
      <c r="H5" s="1085"/>
      <c r="I5" s="1085"/>
      <c r="J5" s="1085" t="s">
        <v>2700</v>
      </c>
      <c r="K5" s="1085" t="s">
        <v>2701</v>
      </c>
      <c r="L5" s="1085" t="s">
        <v>2702</v>
      </c>
      <c r="M5" s="1085"/>
      <c r="N5" s="1085"/>
      <c r="O5" s="1085"/>
      <c r="P5" s="1085"/>
      <c r="Q5" s="1085"/>
      <c r="R5" s="1085"/>
      <c r="S5" s="1085"/>
      <c r="T5" s="1085"/>
      <c r="U5" s="1085"/>
      <c r="V5" s="1085"/>
      <c r="W5" s="1085"/>
      <c r="X5" s="1085" t="s">
        <v>2703</v>
      </c>
      <c r="Y5" s="1085"/>
      <c r="Z5" s="1085"/>
      <c r="AA5" s="1085"/>
      <c r="AB5" s="1085"/>
      <c r="AC5" s="1085"/>
      <c r="AD5" s="1085"/>
      <c r="AE5" s="1085"/>
      <c r="AF5" s="1085"/>
      <c r="AG5" s="1085"/>
      <c r="AH5" s="1085"/>
      <c r="AI5" s="1085"/>
      <c r="AJ5" s="1085"/>
      <c r="AK5" s="1085"/>
      <c r="AL5" s="1085"/>
      <c r="AM5" s="1085"/>
      <c r="AN5" s="1085"/>
      <c r="AO5" s="1085"/>
      <c r="AP5" s="1085"/>
      <c r="AQ5" s="1085"/>
      <c r="AR5" s="1085"/>
      <c r="AS5" s="1085"/>
    </row>
    <row r="6" spans="1:45" ht="16.5" customHeight="1" x14ac:dyDescent="0.3">
      <c r="A6" s="641"/>
      <c r="B6" s="256" t="s">
        <v>116</v>
      </c>
      <c r="C6" s="641"/>
      <c r="D6" s="1528" t="s">
        <v>46</v>
      </c>
      <c r="E6" s="1528"/>
      <c r="F6" s="1085"/>
      <c r="G6" s="1085" t="s">
        <v>2704</v>
      </c>
      <c r="H6" s="1085"/>
      <c r="I6" s="1085"/>
      <c r="J6" s="1085" t="s">
        <v>2704</v>
      </c>
      <c r="K6" s="1085" t="s">
        <v>2705</v>
      </c>
      <c r="L6" s="1085" t="s">
        <v>2706</v>
      </c>
      <c r="M6" s="1085"/>
      <c r="N6" s="1085"/>
      <c r="O6" s="1085"/>
      <c r="P6" s="1085"/>
      <c r="Q6" s="1085"/>
      <c r="R6" s="1085"/>
      <c r="S6" s="1085"/>
      <c r="T6" s="1085"/>
      <c r="U6" s="1085"/>
      <c r="V6" s="1085"/>
      <c r="W6" s="1085"/>
      <c r="X6" s="1085" t="s">
        <v>2707</v>
      </c>
      <c r="Y6" s="1089"/>
      <c r="Z6" s="1085" t="s">
        <v>2708</v>
      </c>
      <c r="AA6" s="1089"/>
      <c r="AB6" s="1085" t="s">
        <v>2708</v>
      </c>
      <c r="AC6" s="1089"/>
      <c r="AD6" s="1085" t="s">
        <v>2708</v>
      </c>
      <c r="AE6" s="1089"/>
      <c r="AF6" s="1085" t="s">
        <v>2708</v>
      </c>
      <c r="AG6" s="1089"/>
      <c r="AH6" s="1085" t="s">
        <v>2708</v>
      </c>
      <c r="AI6" s="1089"/>
      <c r="AJ6" s="1085" t="s">
        <v>2708</v>
      </c>
      <c r="AK6" s="1089"/>
      <c r="AL6" s="1085" t="s">
        <v>2708</v>
      </c>
      <c r="AM6" s="1089"/>
      <c r="AN6" s="1085" t="s">
        <v>2708</v>
      </c>
      <c r="AO6" s="1089"/>
      <c r="AP6" s="1085" t="s">
        <v>2708</v>
      </c>
      <c r="AQ6" s="1089"/>
      <c r="AR6" s="1085" t="s">
        <v>2708</v>
      </c>
      <c r="AS6" s="1089"/>
    </row>
    <row r="7" spans="1:45" ht="16.5" customHeight="1" x14ac:dyDescent="0.3">
      <c r="A7" s="713"/>
      <c r="B7" s="67"/>
      <c r="C7" s="713"/>
      <c r="D7" s="1566" t="s">
        <v>71</v>
      </c>
      <c r="E7" s="1566"/>
      <c r="F7" s="1090"/>
      <c r="G7" s="1090" t="s">
        <v>2709</v>
      </c>
      <c r="H7" s="1090"/>
      <c r="I7" s="1090"/>
      <c r="J7" s="1090" t="s">
        <v>2709</v>
      </c>
      <c r="K7" s="1090" t="s">
        <v>2710</v>
      </c>
      <c r="L7" s="1090" t="s">
        <v>2711</v>
      </c>
      <c r="M7" s="1090"/>
      <c r="N7" s="1090"/>
      <c r="O7" s="1090"/>
      <c r="P7" s="1090"/>
      <c r="Q7" s="1090"/>
      <c r="R7" s="1090"/>
      <c r="S7" s="1090"/>
      <c r="T7" s="1090"/>
      <c r="U7" s="1090"/>
      <c r="V7" s="1090"/>
      <c r="W7" s="1090"/>
      <c r="X7" s="1090" t="s">
        <v>2712</v>
      </c>
      <c r="Y7" s="1089"/>
      <c r="Z7" s="1091" t="s">
        <v>2713</v>
      </c>
      <c r="AA7" s="1092"/>
      <c r="AB7" s="1085"/>
      <c r="AC7" s="1089"/>
      <c r="AD7" s="1085"/>
      <c r="AE7" s="1089"/>
      <c r="AF7" s="1085"/>
      <c r="AG7" s="1089"/>
      <c r="AH7" s="1085"/>
      <c r="AI7" s="1089"/>
      <c r="AJ7" s="1085"/>
      <c r="AK7" s="1089"/>
      <c r="AL7" s="1085"/>
      <c r="AM7" s="1089"/>
      <c r="AN7" s="1085"/>
      <c r="AO7" s="1089"/>
      <c r="AP7" s="1085"/>
      <c r="AQ7" s="1089"/>
      <c r="AR7" s="1085"/>
      <c r="AS7" s="1089"/>
    </row>
    <row r="8" spans="1:45" ht="54" thickBot="1" x14ac:dyDescent="0.35">
      <c r="A8" s="1037" t="s">
        <v>3474</v>
      </c>
      <c r="B8" s="812" t="s">
        <v>35</v>
      </c>
      <c r="C8" s="625" t="s">
        <v>152</v>
      </c>
      <c r="D8" s="114" t="s">
        <v>2121</v>
      </c>
      <c r="E8" s="469" t="s">
        <v>2122</v>
      </c>
      <c r="F8" s="114" t="s">
        <v>2714</v>
      </c>
      <c r="G8" s="114" t="s">
        <v>2715</v>
      </c>
      <c r="H8" s="114" t="s">
        <v>2716</v>
      </c>
      <c r="I8" s="114" t="s">
        <v>2717</v>
      </c>
      <c r="J8" s="114" t="s">
        <v>2718</v>
      </c>
      <c r="K8" s="114" t="s">
        <v>2719</v>
      </c>
      <c r="L8" s="114" t="s">
        <v>2720</v>
      </c>
      <c r="M8" s="114" t="s">
        <v>2721</v>
      </c>
      <c r="N8" s="114" t="s">
        <v>2722</v>
      </c>
      <c r="O8" s="114" t="s">
        <v>2723</v>
      </c>
      <c r="P8" s="114" t="s">
        <v>2724</v>
      </c>
      <c r="Q8" s="114" t="s">
        <v>2725</v>
      </c>
      <c r="R8" s="114" t="s">
        <v>2726</v>
      </c>
      <c r="S8" s="114" t="s">
        <v>2727</v>
      </c>
      <c r="T8" s="114" t="s">
        <v>2728</v>
      </c>
      <c r="U8" s="114" t="s">
        <v>2729</v>
      </c>
      <c r="V8" s="114" t="s">
        <v>2730</v>
      </c>
      <c r="W8" s="114" t="s">
        <v>2731</v>
      </c>
      <c r="X8" s="114" t="s">
        <v>2732</v>
      </c>
      <c r="Y8" s="469" t="s">
        <v>2733</v>
      </c>
      <c r="Z8" s="114" t="s">
        <v>2734</v>
      </c>
      <c r="AA8" s="469" t="s">
        <v>2735</v>
      </c>
      <c r="AB8" s="114" t="s">
        <v>2734</v>
      </c>
      <c r="AC8" s="469" t="s">
        <v>2735</v>
      </c>
      <c r="AD8" s="114" t="s">
        <v>2734</v>
      </c>
      <c r="AE8" s="469" t="s">
        <v>2735</v>
      </c>
      <c r="AF8" s="114" t="s">
        <v>2734</v>
      </c>
      <c r="AG8" s="469" t="s">
        <v>2735</v>
      </c>
      <c r="AH8" s="114" t="s">
        <v>2734</v>
      </c>
      <c r="AI8" s="469" t="s">
        <v>2735</v>
      </c>
      <c r="AJ8" s="114" t="s">
        <v>2734</v>
      </c>
      <c r="AK8" s="469" t="s">
        <v>2735</v>
      </c>
      <c r="AL8" s="114" t="s">
        <v>2734</v>
      </c>
      <c r="AM8" s="469" t="s">
        <v>2735</v>
      </c>
      <c r="AN8" s="114" t="s">
        <v>2734</v>
      </c>
      <c r="AO8" s="469" t="s">
        <v>2735</v>
      </c>
      <c r="AP8" s="114" t="s">
        <v>2734</v>
      </c>
      <c r="AQ8" s="469" t="s">
        <v>2735</v>
      </c>
      <c r="AR8" s="114" t="s">
        <v>2734</v>
      </c>
      <c r="AS8" s="469" t="s">
        <v>2735</v>
      </c>
    </row>
    <row r="9" spans="1:45" ht="40.200000000000003" x14ac:dyDescent="0.3">
      <c r="A9" s="316" t="s">
        <v>2398</v>
      </c>
      <c r="B9" s="313">
        <v>39561</v>
      </c>
      <c r="C9" s="316" t="s">
        <v>2399</v>
      </c>
      <c r="D9" s="314">
        <v>0</v>
      </c>
      <c r="E9" s="1093">
        <v>5</v>
      </c>
      <c r="F9" s="314" t="s">
        <v>2736</v>
      </c>
      <c r="G9" s="314" t="s">
        <v>2737</v>
      </c>
      <c r="H9" s="1094" t="s">
        <v>2738</v>
      </c>
      <c r="I9" s="1094" t="s">
        <v>2739</v>
      </c>
      <c r="J9" s="314" t="s">
        <v>2737</v>
      </c>
      <c r="K9" s="314" t="s">
        <v>2740</v>
      </c>
      <c r="L9" s="1094" t="s">
        <v>2741</v>
      </c>
      <c r="M9" s="314">
        <v>454</v>
      </c>
      <c r="N9" s="314" t="s">
        <v>2742</v>
      </c>
      <c r="O9" s="314" t="s">
        <v>2743</v>
      </c>
      <c r="P9" s="314" t="s">
        <v>51</v>
      </c>
      <c r="Q9" s="314" t="s">
        <v>2744</v>
      </c>
      <c r="R9" s="314" t="s">
        <v>2745</v>
      </c>
      <c r="S9" s="314" t="s">
        <v>2746</v>
      </c>
      <c r="T9" s="314" t="s">
        <v>2747</v>
      </c>
      <c r="U9" s="314" t="s">
        <v>196</v>
      </c>
      <c r="V9" s="314" t="s">
        <v>2748</v>
      </c>
      <c r="W9" s="314" t="s">
        <v>2749</v>
      </c>
      <c r="X9" s="314" t="s">
        <v>2750</v>
      </c>
    </row>
    <row r="10" spans="1:45" ht="40.200000000000003" x14ac:dyDescent="0.3">
      <c r="A10" s="316" t="s">
        <v>2398</v>
      </c>
      <c r="B10" s="313">
        <v>39561</v>
      </c>
      <c r="C10" s="316" t="s">
        <v>2399</v>
      </c>
      <c r="D10" s="314">
        <v>0</v>
      </c>
      <c r="E10" s="1093">
        <v>5</v>
      </c>
      <c r="F10" s="314" t="s">
        <v>2736</v>
      </c>
      <c r="G10" s="314" t="s">
        <v>2737</v>
      </c>
      <c r="H10" s="1094" t="s">
        <v>2738</v>
      </c>
      <c r="I10" s="1094" t="s">
        <v>2739</v>
      </c>
      <c r="J10" s="314" t="s">
        <v>2737</v>
      </c>
      <c r="K10" s="314" t="s">
        <v>2751</v>
      </c>
      <c r="L10" s="1094" t="s">
        <v>2741</v>
      </c>
      <c r="M10" s="314">
        <v>454</v>
      </c>
      <c r="N10" s="314" t="s">
        <v>2742</v>
      </c>
      <c r="O10" s="314" t="s">
        <v>2743</v>
      </c>
      <c r="P10" s="314" t="s">
        <v>51</v>
      </c>
      <c r="Q10" s="314" t="s">
        <v>2744</v>
      </c>
      <c r="R10" s="314" t="s">
        <v>2745</v>
      </c>
      <c r="S10" s="314" t="s">
        <v>2746</v>
      </c>
      <c r="T10" s="314" t="s">
        <v>2747</v>
      </c>
      <c r="U10" s="314" t="s">
        <v>196</v>
      </c>
      <c r="V10" s="314" t="s">
        <v>2748</v>
      </c>
      <c r="W10" s="314" t="s">
        <v>2749</v>
      </c>
      <c r="X10" s="314" t="s">
        <v>2750</v>
      </c>
      <c r="AR10" s="1085"/>
    </row>
    <row r="11" spans="1:45" ht="40.200000000000003" x14ac:dyDescent="0.3">
      <c r="A11" s="316" t="s">
        <v>2398</v>
      </c>
      <c r="B11" s="313">
        <v>39561</v>
      </c>
      <c r="C11" s="316" t="s">
        <v>2399</v>
      </c>
      <c r="D11" s="314">
        <v>0</v>
      </c>
      <c r="E11" s="1093">
        <v>5</v>
      </c>
      <c r="F11" s="314" t="s">
        <v>2736</v>
      </c>
      <c r="G11" s="314" t="s">
        <v>2737</v>
      </c>
      <c r="H11" s="1094" t="s">
        <v>2738</v>
      </c>
      <c r="I11" s="1094" t="s">
        <v>2739</v>
      </c>
      <c r="J11" s="314" t="s">
        <v>2737</v>
      </c>
      <c r="K11" s="314" t="s">
        <v>2752</v>
      </c>
      <c r="L11" s="1094" t="s">
        <v>2741</v>
      </c>
      <c r="M11" s="314">
        <v>454</v>
      </c>
      <c r="N11" s="314" t="s">
        <v>2742</v>
      </c>
      <c r="O11" s="314" t="s">
        <v>2743</v>
      </c>
      <c r="P11" s="314" t="s">
        <v>51</v>
      </c>
      <c r="Q11" s="314" t="s">
        <v>2744</v>
      </c>
      <c r="R11" s="314" t="s">
        <v>2745</v>
      </c>
      <c r="S11" s="314" t="s">
        <v>2746</v>
      </c>
      <c r="T11" s="314" t="s">
        <v>2747</v>
      </c>
      <c r="U11" s="314" t="s">
        <v>196</v>
      </c>
      <c r="V11" s="314" t="s">
        <v>2748</v>
      </c>
      <c r="W11" s="314" t="s">
        <v>2749</v>
      </c>
      <c r="X11" s="314" t="s">
        <v>2750</v>
      </c>
    </row>
    <row r="12" spans="1:45" ht="40.200000000000003" x14ac:dyDescent="0.3">
      <c r="A12" s="316" t="s">
        <v>2412</v>
      </c>
      <c r="B12" s="313">
        <v>42584</v>
      </c>
      <c r="C12" s="316" t="s">
        <v>2471</v>
      </c>
      <c r="D12" s="314">
        <v>0</v>
      </c>
      <c r="E12" s="1093">
        <v>5</v>
      </c>
      <c r="F12" s="314" t="s">
        <v>2736</v>
      </c>
      <c r="G12" s="314" t="s">
        <v>2737</v>
      </c>
      <c r="H12" s="1094" t="s">
        <v>2753</v>
      </c>
      <c r="I12" s="1094" t="s">
        <v>2754</v>
      </c>
      <c r="J12" s="314" t="s">
        <v>2737</v>
      </c>
      <c r="K12" s="314" t="s">
        <v>2740</v>
      </c>
      <c r="L12" s="1094" t="s">
        <v>2755</v>
      </c>
      <c r="M12" s="314" t="s">
        <v>2756</v>
      </c>
      <c r="N12" s="314" t="s">
        <v>2742</v>
      </c>
      <c r="O12" s="314" t="s">
        <v>2743</v>
      </c>
      <c r="P12" s="314" t="s">
        <v>51</v>
      </c>
      <c r="Q12" s="314" t="s">
        <v>2744</v>
      </c>
      <c r="R12" s="314" t="s">
        <v>2757</v>
      </c>
      <c r="S12" s="314" t="s">
        <v>2745</v>
      </c>
      <c r="T12" s="314" t="s">
        <v>2747</v>
      </c>
      <c r="U12" s="314" t="s">
        <v>196</v>
      </c>
      <c r="V12" s="314" t="s">
        <v>2748</v>
      </c>
      <c r="W12" s="314" t="s">
        <v>2758</v>
      </c>
      <c r="X12" s="314" t="s">
        <v>2759</v>
      </c>
    </row>
    <row r="13" spans="1:45" ht="40.200000000000003" x14ac:dyDescent="0.3">
      <c r="A13" s="316" t="s">
        <v>2412</v>
      </c>
      <c r="B13" s="313">
        <v>42584</v>
      </c>
      <c r="C13" s="316" t="s">
        <v>2475</v>
      </c>
      <c r="D13" s="314">
        <v>0</v>
      </c>
      <c r="E13" s="1093">
        <v>5</v>
      </c>
      <c r="F13" s="314" t="s">
        <v>2736</v>
      </c>
      <c r="G13" s="314" t="s">
        <v>2737</v>
      </c>
      <c r="H13" s="1094" t="s">
        <v>2753</v>
      </c>
      <c r="I13" s="1094" t="s">
        <v>2754</v>
      </c>
      <c r="J13" s="314" t="s">
        <v>2737</v>
      </c>
      <c r="K13" s="314" t="s">
        <v>2751</v>
      </c>
      <c r="L13" s="1094" t="s">
        <v>2755</v>
      </c>
      <c r="M13" s="314" t="s">
        <v>2756</v>
      </c>
      <c r="N13" s="314" t="s">
        <v>2742</v>
      </c>
      <c r="O13" s="314" t="s">
        <v>2743</v>
      </c>
      <c r="P13" s="314" t="s">
        <v>51</v>
      </c>
      <c r="Q13" s="314" t="s">
        <v>2744</v>
      </c>
      <c r="R13" s="314" t="s">
        <v>2745</v>
      </c>
      <c r="S13" s="314" t="s">
        <v>2745</v>
      </c>
      <c r="T13" s="314" t="s">
        <v>2747</v>
      </c>
      <c r="U13" s="314" t="s">
        <v>196</v>
      </c>
      <c r="V13" s="314" t="s">
        <v>2748</v>
      </c>
      <c r="W13" s="314" t="s">
        <v>2758</v>
      </c>
      <c r="X13" s="314" t="s">
        <v>2759</v>
      </c>
    </row>
    <row r="14" spans="1:45" ht="40.200000000000003" x14ac:dyDescent="0.3">
      <c r="A14" s="316" t="s">
        <v>2412</v>
      </c>
      <c r="B14" s="313">
        <v>42584</v>
      </c>
      <c r="C14" s="316" t="s">
        <v>2461</v>
      </c>
      <c r="D14" s="314">
        <v>0</v>
      </c>
      <c r="E14" s="1093">
        <v>5</v>
      </c>
      <c r="F14" s="314" t="s">
        <v>2736</v>
      </c>
      <c r="G14" s="314" t="s">
        <v>2737</v>
      </c>
      <c r="H14" s="1094" t="s">
        <v>2753</v>
      </c>
      <c r="I14" s="1094" t="s">
        <v>2754</v>
      </c>
      <c r="J14" s="314" t="s">
        <v>2737</v>
      </c>
      <c r="K14" s="314" t="s">
        <v>2752</v>
      </c>
      <c r="L14" s="1094" t="s">
        <v>2755</v>
      </c>
      <c r="M14" s="314" t="s">
        <v>2756</v>
      </c>
      <c r="N14" s="314" t="s">
        <v>2742</v>
      </c>
      <c r="O14" s="314" t="s">
        <v>2743</v>
      </c>
      <c r="P14" s="314" t="s">
        <v>51</v>
      </c>
      <c r="Q14" s="314" t="s">
        <v>2744</v>
      </c>
      <c r="R14" s="314" t="s">
        <v>2745</v>
      </c>
      <c r="S14" s="314" t="s">
        <v>2745</v>
      </c>
      <c r="T14" s="314" t="s">
        <v>2747</v>
      </c>
      <c r="U14" s="314" t="s">
        <v>196</v>
      </c>
      <c r="V14" s="314" t="s">
        <v>2748</v>
      </c>
      <c r="W14" s="314" t="s">
        <v>2758</v>
      </c>
      <c r="X14" s="314" t="s">
        <v>2759</v>
      </c>
    </row>
    <row r="15" spans="1:45" ht="40.200000000000003" x14ac:dyDescent="0.3">
      <c r="A15" s="316" t="s">
        <v>2421</v>
      </c>
      <c r="B15" s="313">
        <v>42705</v>
      </c>
      <c r="C15" s="316" t="s">
        <v>2385</v>
      </c>
      <c r="D15" s="314">
        <v>0</v>
      </c>
      <c r="E15" s="1093">
        <v>5</v>
      </c>
      <c r="F15" s="314" t="s">
        <v>2736</v>
      </c>
      <c r="G15" s="314" t="s">
        <v>2737</v>
      </c>
      <c r="H15" s="1094" t="s">
        <v>2760</v>
      </c>
      <c r="I15" s="1094" t="s">
        <v>2761</v>
      </c>
      <c r="J15" s="314" t="s">
        <v>2737</v>
      </c>
      <c r="K15" s="314" t="s">
        <v>2740</v>
      </c>
      <c r="L15" s="1094" t="s">
        <v>2762</v>
      </c>
      <c r="M15" s="314">
        <v>454</v>
      </c>
      <c r="N15" s="314" t="s">
        <v>2742</v>
      </c>
      <c r="O15" s="314" t="s">
        <v>2743</v>
      </c>
      <c r="P15" s="314" t="s">
        <v>51</v>
      </c>
      <c r="Q15" s="314" t="s">
        <v>2744</v>
      </c>
      <c r="R15" s="314" t="s">
        <v>2745</v>
      </c>
      <c r="S15" s="314" t="s">
        <v>2745</v>
      </c>
      <c r="T15" s="314" t="s">
        <v>2747</v>
      </c>
      <c r="U15" s="314" t="s">
        <v>196</v>
      </c>
      <c r="V15" s="314" t="s">
        <v>2748</v>
      </c>
      <c r="W15" s="314" t="s">
        <v>2763</v>
      </c>
      <c r="X15" s="314" t="s">
        <v>2764</v>
      </c>
    </row>
    <row r="16" spans="1:45" ht="40.200000000000003" x14ac:dyDescent="0.3">
      <c r="A16" s="316" t="s">
        <v>2421</v>
      </c>
      <c r="B16" s="313">
        <v>42705</v>
      </c>
      <c r="C16" s="316" t="s">
        <v>2385</v>
      </c>
      <c r="D16" s="314">
        <v>5</v>
      </c>
      <c r="E16" s="1093">
        <v>10</v>
      </c>
      <c r="F16" s="314" t="s">
        <v>2736</v>
      </c>
      <c r="G16" s="314" t="s">
        <v>2737</v>
      </c>
      <c r="H16" s="1094" t="s">
        <v>2760</v>
      </c>
      <c r="I16" s="1094" t="s">
        <v>2761</v>
      </c>
      <c r="J16" s="314" t="s">
        <v>2737</v>
      </c>
      <c r="K16" s="314" t="s">
        <v>2751</v>
      </c>
      <c r="L16" s="1094" t="s">
        <v>2762</v>
      </c>
      <c r="M16" s="314">
        <v>454</v>
      </c>
      <c r="N16" s="314" t="s">
        <v>2742</v>
      </c>
      <c r="O16" s="314" t="s">
        <v>2743</v>
      </c>
      <c r="P16" s="314" t="s">
        <v>51</v>
      </c>
      <c r="Q16" s="314" t="s">
        <v>2744</v>
      </c>
      <c r="R16" s="314" t="s">
        <v>2745</v>
      </c>
      <c r="S16" s="314" t="s">
        <v>2745</v>
      </c>
      <c r="T16" s="314" t="s">
        <v>2747</v>
      </c>
      <c r="U16" s="314" t="s">
        <v>196</v>
      </c>
      <c r="V16" s="314" t="s">
        <v>2748</v>
      </c>
      <c r="W16" s="314" t="s">
        <v>2763</v>
      </c>
      <c r="X16" s="314" t="s">
        <v>2764</v>
      </c>
    </row>
    <row r="17" spans="1:24" ht="40.200000000000003" x14ac:dyDescent="0.3">
      <c r="A17" s="316" t="s">
        <v>2421</v>
      </c>
      <c r="B17" s="313">
        <v>42705</v>
      </c>
      <c r="C17" s="316" t="s">
        <v>2385</v>
      </c>
      <c r="D17" s="314">
        <v>10</v>
      </c>
      <c r="E17" s="1093">
        <v>30</v>
      </c>
      <c r="F17" s="314" t="s">
        <v>2736</v>
      </c>
      <c r="G17" s="314" t="s">
        <v>2737</v>
      </c>
      <c r="H17" s="1094" t="s">
        <v>2760</v>
      </c>
      <c r="I17" s="1094" t="s">
        <v>2761</v>
      </c>
      <c r="J17" s="314" t="s">
        <v>2737</v>
      </c>
      <c r="K17" s="314" t="s">
        <v>2752</v>
      </c>
      <c r="L17" s="1094" t="s">
        <v>2762</v>
      </c>
      <c r="M17" s="314">
        <v>454</v>
      </c>
      <c r="N17" s="314" t="s">
        <v>2742</v>
      </c>
      <c r="O17" s="314" t="s">
        <v>2743</v>
      </c>
      <c r="P17" s="314" t="s">
        <v>51</v>
      </c>
      <c r="Q17" s="314" t="s">
        <v>2744</v>
      </c>
      <c r="R17" s="314" t="s">
        <v>2745</v>
      </c>
      <c r="S17" s="314" t="s">
        <v>2745</v>
      </c>
      <c r="T17" s="314" t="s">
        <v>2747</v>
      </c>
      <c r="U17" s="314" t="s">
        <v>196</v>
      </c>
      <c r="V17" s="314" t="s">
        <v>2748</v>
      </c>
      <c r="W17" s="314" t="s">
        <v>2763</v>
      </c>
      <c r="X17" s="314" t="s">
        <v>2764</v>
      </c>
    </row>
    <row r="18" spans="1:24" x14ac:dyDescent="0.3">
      <c r="H18" s="1083"/>
    </row>
    <row r="19" spans="1:24" x14ac:dyDescent="0.3">
      <c r="H19" s="1083"/>
    </row>
  </sheetData>
  <mergeCells count="2">
    <mergeCell ref="D6:E6"/>
    <mergeCell ref="D7:E7"/>
  </mergeCells>
  <conditionalFormatting sqref="A8:AS8">
    <cfRule type="expression" dxfId="57" priority="1">
      <formula>IF(INDEX(VAD_bMeasSoilDNASeq,COLUMN(A8),5)&gt;0,TRUE(),FALSE())</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P19"/>
  <sheetViews>
    <sheetView workbookViewId="0">
      <pane xSplit="5" ySplit="8" topLeftCell="H9" activePane="bottomRight" state="frozen"/>
      <selection pane="topRight" activeCell="F1" sqref="F1"/>
      <selection pane="bottomLeft" activeCell="A9" sqref="A9"/>
      <selection pane="bottomRight" activeCell="O21" sqref="O21"/>
    </sheetView>
  </sheetViews>
  <sheetFormatPr defaultColWidth="8.88671875" defaultRowHeight="14.4" x14ac:dyDescent="0.3"/>
  <cols>
    <col min="1" max="1" width="8.88671875" style="10"/>
    <col min="2" max="5" width="8.88671875" style="108"/>
    <col min="6" max="6" width="19.5546875" style="108" bestFit="1" customWidth="1"/>
    <col min="7" max="8" width="15.109375" style="108" customWidth="1"/>
    <col min="9" max="9" width="16.5546875" style="108" customWidth="1"/>
    <col min="10" max="10" width="8.88671875" style="108"/>
    <col min="11" max="11" width="13" style="108" customWidth="1"/>
    <col min="12" max="12" width="8.6640625" style="108" customWidth="1"/>
    <col min="13" max="13" width="20" style="108" customWidth="1"/>
    <col min="14" max="14" width="11.44140625" style="108" customWidth="1"/>
    <col min="15" max="15" width="19" style="108" customWidth="1"/>
    <col min="16" max="16" width="16.44140625" style="108" customWidth="1"/>
    <col min="17" max="16384" width="8.88671875" style="108"/>
  </cols>
  <sheetData>
    <row r="1" spans="1:16" ht="17.399999999999999" x14ac:dyDescent="0.3">
      <c r="A1" s="1024" t="s">
        <v>551</v>
      </c>
      <c r="B1" s="1041"/>
      <c r="C1" s="1024"/>
      <c r="D1" s="184"/>
      <c r="E1" s="212"/>
      <c r="F1" s="1084"/>
      <c r="G1" s="1084"/>
      <c r="H1" s="1084"/>
      <c r="I1" s="1084"/>
      <c r="J1" s="1084"/>
      <c r="K1" s="1084"/>
      <c r="L1" s="1069"/>
      <c r="M1" s="1069"/>
      <c r="N1" s="1069"/>
      <c r="O1" s="1069"/>
      <c r="P1" s="1069"/>
    </row>
    <row r="2" spans="1:16" x14ac:dyDescent="0.3">
      <c r="A2" s="897" t="s">
        <v>617</v>
      </c>
      <c r="B2" s="265"/>
      <c r="C2" s="712"/>
      <c r="D2" s="109"/>
      <c r="E2" s="1050"/>
      <c r="F2" s="111"/>
      <c r="G2" s="1086"/>
      <c r="H2" s="1086"/>
      <c r="I2" s="1086"/>
      <c r="J2" s="1086"/>
      <c r="K2" s="1086" t="s">
        <v>2765</v>
      </c>
      <c r="L2" s="1086"/>
      <c r="M2" s="1086"/>
      <c r="N2" s="1086"/>
      <c r="O2" s="1086"/>
      <c r="P2" s="1095"/>
    </row>
    <row r="3" spans="1:16" x14ac:dyDescent="0.3">
      <c r="A3" s="712"/>
      <c r="B3" s="266"/>
      <c r="C3" s="712"/>
      <c r="D3" s="109"/>
      <c r="E3" s="1050"/>
      <c r="F3" s="111"/>
      <c r="G3" s="1085"/>
      <c r="H3" s="1085" t="s">
        <v>2691</v>
      </c>
      <c r="I3" s="1085" t="s">
        <v>2691</v>
      </c>
      <c r="J3" s="1085"/>
      <c r="K3" s="314" t="s">
        <v>2766</v>
      </c>
      <c r="L3" s="1085"/>
      <c r="M3" s="1085"/>
      <c r="N3" s="1085"/>
      <c r="O3" s="1085"/>
      <c r="P3" s="1089"/>
    </row>
    <row r="4" spans="1:16" x14ac:dyDescent="0.3">
      <c r="A4" s="712"/>
      <c r="B4" s="267"/>
      <c r="C4" s="712"/>
      <c r="D4" s="111"/>
      <c r="E4" s="1050"/>
      <c r="F4" s="111"/>
      <c r="G4" s="1085"/>
      <c r="H4" s="1085"/>
      <c r="I4" s="1085"/>
      <c r="J4" s="1085"/>
      <c r="K4" s="1085"/>
      <c r="L4" s="1085"/>
      <c r="M4" s="1085"/>
      <c r="N4" s="1085"/>
      <c r="O4" s="1085"/>
      <c r="P4" s="1089"/>
    </row>
    <row r="5" spans="1:16" ht="15.6" x14ac:dyDescent="0.3">
      <c r="A5" s="1096" t="s">
        <v>343</v>
      </c>
      <c r="B5" s="1097"/>
      <c r="C5" s="1098"/>
      <c r="D5" s="109"/>
      <c r="E5" s="1050"/>
      <c r="F5" s="111"/>
      <c r="G5" s="1085"/>
      <c r="H5" s="1085"/>
      <c r="I5" s="1085"/>
      <c r="J5" s="1085"/>
      <c r="K5" s="1085"/>
      <c r="L5" s="1085"/>
      <c r="M5" s="1085"/>
      <c r="N5" s="1085"/>
      <c r="O5" s="1085"/>
      <c r="P5" s="1099"/>
    </row>
    <row r="6" spans="1:16" x14ac:dyDescent="0.3">
      <c r="A6" s="1100"/>
      <c r="B6" s="1101" t="s">
        <v>116</v>
      </c>
      <c r="C6" s="1100"/>
      <c r="D6" s="1528" t="s">
        <v>46</v>
      </c>
      <c r="E6" s="1567"/>
      <c r="F6" s="1102"/>
      <c r="G6" s="1103"/>
      <c r="H6" s="1103"/>
      <c r="I6" s="1103"/>
      <c r="J6" s="1103"/>
      <c r="K6" s="1103"/>
      <c r="L6" s="1103"/>
      <c r="M6" s="1103"/>
      <c r="N6" s="1103"/>
      <c r="O6" s="1103"/>
      <c r="P6" s="1059" t="s">
        <v>2767</v>
      </c>
    </row>
    <row r="7" spans="1:16" x14ac:dyDescent="0.3">
      <c r="A7" s="713"/>
      <c r="B7" s="67"/>
      <c r="C7" s="713"/>
      <c r="D7" s="1568" t="s">
        <v>71</v>
      </c>
      <c r="E7" s="1558"/>
      <c r="F7" s="1104"/>
      <c r="G7" s="1557" t="s">
        <v>2768</v>
      </c>
      <c r="H7" s="1495"/>
      <c r="I7" s="1558"/>
      <c r="J7" s="1105"/>
      <c r="K7" s="1095"/>
      <c r="L7" s="1557" t="s">
        <v>2726</v>
      </c>
      <c r="M7" s="1558"/>
      <c r="N7" s="1557" t="s">
        <v>2727</v>
      </c>
      <c r="O7" s="1558"/>
      <c r="P7" s="1106"/>
    </row>
    <row r="8" spans="1:16" ht="40.799999999999997" thickBot="1" x14ac:dyDescent="0.35">
      <c r="A8" s="1037" t="s">
        <v>3474</v>
      </c>
      <c r="B8" s="812" t="s">
        <v>35</v>
      </c>
      <c r="C8" s="625" t="s">
        <v>152</v>
      </c>
      <c r="D8" s="165" t="s">
        <v>2121</v>
      </c>
      <c r="E8" s="1107" t="s">
        <v>2122</v>
      </c>
      <c r="F8" s="114" t="s">
        <v>2718</v>
      </c>
      <c r="G8" s="1108" t="s">
        <v>2768</v>
      </c>
      <c r="H8" s="114" t="s">
        <v>2769</v>
      </c>
      <c r="I8" s="1109" t="s">
        <v>2770</v>
      </c>
      <c r="J8" s="114" t="s">
        <v>2771</v>
      </c>
      <c r="K8" s="114" t="s">
        <v>2772</v>
      </c>
      <c r="L8" s="1108" t="s">
        <v>3693</v>
      </c>
      <c r="M8" s="114" t="s">
        <v>3694</v>
      </c>
      <c r="N8" s="1108" t="s">
        <v>3695</v>
      </c>
      <c r="O8" s="1109" t="s">
        <v>3696</v>
      </c>
      <c r="P8" s="469" t="s">
        <v>2773</v>
      </c>
    </row>
    <row r="9" spans="1:16" x14ac:dyDescent="0.3">
      <c r="A9" s="316" t="s">
        <v>2398</v>
      </c>
      <c r="B9" s="313">
        <v>39561</v>
      </c>
      <c r="C9" s="316" t="s">
        <v>2399</v>
      </c>
      <c r="D9" s="1110">
        <v>0</v>
      </c>
      <c r="E9" s="1093">
        <v>5</v>
      </c>
      <c r="F9" s="314" t="s">
        <v>2737</v>
      </c>
      <c r="G9" s="1110" t="s">
        <v>2774</v>
      </c>
      <c r="H9" s="314" t="s">
        <v>2775</v>
      </c>
      <c r="I9" s="1111" t="s">
        <v>2776</v>
      </c>
      <c r="J9" s="314" t="s">
        <v>2777</v>
      </c>
      <c r="K9" s="314" t="s">
        <v>2778</v>
      </c>
      <c r="L9" s="1112" t="s">
        <v>2779</v>
      </c>
      <c r="M9" s="1094" t="s">
        <v>2780</v>
      </c>
      <c r="N9" s="1112" t="s">
        <v>2781</v>
      </c>
      <c r="O9" s="1113" t="s">
        <v>2744</v>
      </c>
      <c r="P9" s="1114">
        <v>1878732498</v>
      </c>
    </row>
    <row r="10" spans="1:16" x14ac:dyDescent="0.3">
      <c r="A10" s="316" t="s">
        <v>2398</v>
      </c>
      <c r="B10" s="313">
        <v>39561</v>
      </c>
      <c r="C10" s="316" t="s">
        <v>2399</v>
      </c>
      <c r="D10" s="1110">
        <v>0</v>
      </c>
      <c r="E10" s="1093">
        <v>5</v>
      </c>
      <c r="F10" s="314" t="s">
        <v>2737</v>
      </c>
      <c r="G10" s="1115"/>
      <c r="H10" s="311" t="s">
        <v>2782</v>
      </c>
      <c r="I10" s="1116" t="s">
        <v>2783</v>
      </c>
      <c r="J10" s="314" t="s">
        <v>2784</v>
      </c>
      <c r="K10" s="314" t="s">
        <v>2785</v>
      </c>
      <c r="L10" s="1117" t="s">
        <v>2786</v>
      </c>
      <c r="M10" s="1094"/>
      <c r="N10" s="1117" t="s">
        <v>2787</v>
      </c>
      <c r="O10" s="1118"/>
      <c r="P10" s="1093">
        <v>2834</v>
      </c>
    </row>
    <row r="11" spans="1:16" x14ac:dyDescent="0.3">
      <c r="A11" s="316" t="s">
        <v>2398</v>
      </c>
      <c r="B11" s="313">
        <v>39561</v>
      </c>
      <c r="C11" s="316" t="s">
        <v>2399</v>
      </c>
      <c r="D11" s="1110">
        <v>0</v>
      </c>
      <c r="E11" s="1093">
        <v>5</v>
      </c>
      <c r="F11" s="314" t="s">
        <v>2737</v>
      </c>
      <c r="G11" s="1115"/>
      <c r="H11" s="311" t="s">
        <v>2788</v>
      </c>
      <c r="I11" s="213"/>
      <c r="J11" s="314" t="s">
        <v>2789</v>
      </c>
      <c r="K11" s="314"/>
      <c r="L11" s="1117" t="s">
        <v>2790</v>
      </c>
      <c r="M11" s="1094"/>
      <c r="N11" s="1117" t="s">
        <v>2791</v>
      </c>
      <c r="O11" s="1118"/>
      <c r="P11" s="1093">
        <v>1534</v>
      </c>
    </row>
    <row r="12" spans="1:16" x14ac:dyDescent="0.3">
      <c r="A12" s="316" t="s">
        <v>2400</v>
      </c>
      <c r="B12" s="313">
        <v>39561</v>
      </c>
      <c r="C12" s="316" t="s">
        <v>2399</v>
      </c>
      <c r="D12" s="1110">
        <v>0</v>
      </c>
      <c r="E12" s="1093">
        <v>5</v>
      </c>
      <c r="F12" s="314" t="s">
        <v>2737</v>
      </c>
      <c r="G12" s="1115"/>
      <c r="H12" s="311" t="s">
        <v>2792</v>
      </c>
      <c r="I12" s="213"/>
      <c r="J12" s="314" t="s">
        <v>2777</v>
      </c>
      <c r="K12" s="314"/>
      <c r="L12" s="1117" t="s">
        <v>2779</v>
      </c>
      <c r="M12" s="1094"/>
      <c r="N12" s="1117" t="s">
        <v>2781</v>
      </c>
      <c r="O12" s="1118"/>
      <c r="P12" s="1114">
        <v>13487239874</v>
      </c>
    </row>
    <row r="13" spans="1:16" x14ac:dyDescent="0.3">
      <c r="A13" s="316" t="s">
        <v>2400</v>
      </c>
      <c r="B13" s="313">
        <v>39561</v>
      </c>
      <c r="C13" s="316" t="s">
        <v>2399</v>
      </c>
      <c r="D13" s="1110">
        <v>0</v>
      </c>
      <c r="E13" s="1093">
        <v>5</v>
      </c>
      <c r="F13" s="314" t="s">
        <v>2737</v>
      </c>
      <c r="G13" s="1115"/>
      <c r="I13" s="213"/>
      <c r="J13" s="314" t="s">
        <v>2784</v>
      </c>
      <c r="K13" s="314"/>
      <c r="L13" s="1117" t="s">
        <v>2786</v>
      </c>
      <c r="M13" s="1094"/>
      <c r="N13" s="1117" t="s">
        <v>2787</v>
      </c>
      <c r="O13" s="1118"/>
      <c r="P13" s="1093">
        <v>5421</v>
      </c>
    </row>
    <row r="14" spans="1:16" x14ac:dyDescent="0.3">
      <c r="A14" s="316" t="s">
        <v>2400</v>
      </c>
      <c r="B14" s="313">
        <v>39561</v>
      </c>
      <c r="C14" s="316" t="s">
        <v>2399</v>
      </c>
      <c r="D14" s="1110">
        <v>0</v>
      </c>
      <c r="E14" s="1093">
        <v>5</v>
      </c>
      <c r="F14" s="314" t="s">
        <v>2737</v>
      </c>
      <c r="G14" s="1115"/>
      <c r="I14" s="213"/>
      <c r="J14" s="314" t="s">
        <v>2789</v>
      </c>
      <c r="K14" s="314"/>
      <c r="L14" s="1117" t="s">
        <v>2790</v>
      </c>
      <c r="M14" s="1094"/>
      <c r="N14" s="1117" t="s">
        <v>2791</v>
      </c>
      <c r="O14" s="1118"/>
      <c r="P14" s="1093">
        <v>1052</v>
      </c>
    </row>
    <row r="15" spans="1:16" x14ac:dyDescent="0.3">
      <c r="A15" s="316" t="s">
        <v>2402</v>
      </c>
      <c r="B15" s="313">
        <v>39561</v>
      </c>
      <c r="C15" s="316" t="s">
        <v>2399</v>
      </c>
      <c r="D15" s="1110">
        <v>0</v>
      </c>
      <c r="E15" s="1093">
        <v>5</v>
      </c>
      <c r="F15" s="314" t="s">
        <v>2737</v>
      </c>
      <c r="G15" s="1115"/>
      <c r="I15" s="213"/>
      <c r="J15" s="314" t="s">
        <v>2777</v>
      </c>
      <c r="K15" s="314"/>
      <c r="L15" s="1117" t="s">
        <v>2779</v>
      </c>
      <c r="M15" s="1094"/>
      <c r="N15" s="1117" t="s">
        <v>2781</v>
      </c>
      <c r="O15" s="1118"/>
      <c r="P15" s="1114">
        <v>8945787201</v>
      </c>
    </row>
    <row r="16" spans="1:16" x14ac:dyDescent="0.3">
      <c r="A16" s="316" t="s">
        <v>2402</v>
      </c>
      <c r="B16" s="313">
        <v>39561</v>
      </c>
      <c r="C16" s="316" t="s">
        <v>2399</v>
      </c>
      <c r="D16" s="1110">
        <v>0</v>
      </c>
      <c r="E16" s="1093">
        <v>5</v>
      </c>
      <c r="F16" s="314" t="s">
        <v>2737</v>
      </c>
      <c r="G16" s="1115"/>
      <c r="I16" s="213"/>
      <c r="J16" s="314" t="s">
        <v>2784</v>
      </c>
      <c r="K16" s="314"/>
      <c r="L16" s="1117" t="s">
        <v>2786</v>
      </c>
      <c r="M16" s="1094"/>
      <c r="N16" s="1117" t="s">
        <v>2787</v>
      </c>
      <c r="O16" s="1118"/>
      <c r="P16" s="1093">
        <v>7654</v>
      </c>
    </row>
    <row r="17" spans="1:16" ht="27" x14ac:dyDescent="0.3">
      <c r="A17" s="316" t="s">
        <v>2402</v>
      </c>
      <c r="B17" s="313">
        <v>39561</v>
      </c>
      <c r="C17" s="316" t="s">
        <v>2399</v>
      </c>
      <c r="D17" s="1110">
        <v>0</v>
      </c>
      <c r="E17" s="1093">
        <v>5</v>
      </c>
      <c r="F17" s="1094" t="s">
        <v>2793</v>
      </c>
      <c r="G17" s="1115"/>
      <c r="I17" s="213"/>
      <c r="J17" s="314" t="s">
        <v>2789</v>
      </c>
      <c r="K17" s="314"/>
      <c r="L17" s="1117" t="s">
        <v>2790</v>
      </c>
      <c r="M17" s="1094"/>
      <c r="N17" s="1117" t="s">
        <v>2791</v>
      </c>
      <c r="O17" s="1118"/>
      <c r="P17" s="1093">
        <v>451</v>
      </c>
    </row>
    <row r="18" spans="1:16" x14ac:dyDescent="0.3">
      <c r="L18" s="1083"/>
      <c r="M18" s="1083"/>
    </row>
    <row r="19" spans="1:16" x14ac:dyDescent="0.3">
      <c r="L19" s="1083"/>
      <c r="M19" s="1083"/>
    </row>
  </sheetData>
  <mergeCells count="5">
    <mergeCell ref="D6:E6"/>
    <mergeCell ref="D7:E7"/>
    <mergeCell ref="G7:I7"/>
    <mergeCell ref="L7:M7"/>
    <mergeCell ref="N7:O7"/>
  </mergeCells>
  <conditionalFormatting sqref="A8:P8">
    <cfRule type="expression" dxfId="56" priority="1">
      <formula>IF(INDEX(VAD_bMeasSoilDNAqPCR,COLUMN(A8),5)&gt;0,TRUE(),FALSE())</formula>
    </cfRule>
  </conditionalFormatting>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F13" sqref="F13"/>
    </sheetView>
  </sheetViews>
  <sheetFormatPr defaultColWidth="9.109375" defaultRowHeight="13.2" x14ac:dyDescent="0.25"/>
  <cols>
    <col min="1" max="1" width="29.44140625" style="316" customWidth="1"/>
    <col min="2" max="2" width="29.44140625" style="313" customWidth="1"/>
    <col min="3" max="3" width="29.44140625" style="316" customWidth="1"/>
    <col min="4" max="4" width="19.88671875" style="316" customWidth="1"/>
    <col min="5" max="5" width="16.5546875" style="316" customWidth="1"/>
    <col min="6" max="6" width="26.6640625" style="314" customWidth="1"/>
    <col min="7" max="16384" width="9.109375" style="314"/>
  </cols>
  <sheetData>
    <row r="1" spans="1:6" s="339" customFormat="1" ht="18.600000000000001" thickBot="1" x14ac:dyDescent="0.4">
      <c r="A1" s="720" t="s">
        <v>552</v>
      </c>
      <c r="B1" s="270"/>
      <c r="C1" s="721"/>
      <c r="D1" s="722"/>
      <c r="E1" s="723"/>
      <c r="F1" s="477"/>
    </row>
    <row r="2" spans="1:6" s="339" customFormat="1" ht="15.6" x14ac:dyDescent="0.3">
      <c r="A2" s="888" t="s">
        <v>617</v>
      </c>
      <c r="B2" s="271"/>
      <c r="C2" s="724"/>
      <c r="D2" s="725"/>
      <c r="E2" s="726"/>
      <c r="F2" s="187"/>
    </row>
    <row r="3" spans="1:6" s="339" customFormat="1" ht="14.4" x14ac:dyDescent="0.3">
      <c r="A3" s="599"/>
      <c r="B3" s="272"/>
      <c r="C3" s="599"/>
      <c r="D3" s="599"/>
      <c r="E3" s="726"/>
      <c r="F3" s="478"/>
    </row>
    <row r="4" spans="1:6" s="339" customFormat="1" ht="14.4" x14ac:dyDescent="0.3">
      <c r="A4" s="599"/>
      <c r="B4" s="90"/>
      <c r="C4" s="599"/>
      <c r="D4" s="599"/>
      <c r="E4" s="726"/>
      <c r="F4" s="478"/>
    </row>
    <row r="5" spans="1:6" s="339" customFormat="1" ht="15.6" x14ac:dyDescent="0.3">
      <c r="A5" s="1569" t="s">
        <v>343</v>
      </c>
      <c r="B5" s="1570"/>
      <c r="C5" s="1571"/>
      <c r="D5" s="599"/>
      <c r="E5" s="726"/>
      <c r="F5" s="479"/>
    </row>
    <row r="6" spans="1:6" s="339" customFormat="1" ht="14.4" x14ac:dyDescent="0.3">
      <c r="A6" s="599"/>
      <c r="B6" s="256" t="s">
        <v>116</v>
      </c>
      <c r="C6" s="599"/>
      <c r="D6" s="599"/>
      <c r="E6" s="726"/>
      <c r="F6" s="950" t="s">
        <v>40</v>
      </c>
    </row>
    <row r="7" spans="1:6" s="339" customFormat="1" ht="14.4" x14ac:dyDescent="0.3">
      <c r="A7" s="599"/>
      <c r="B7" s="67"/>
      <c r="C7" s="599"/>
      <c r="D7" s="807" t="str">
        <f>HYPERLINK("#DropDownLists!AE6","Add to this list")</f>
        <v>Add to this list</v>
      </c>
      <c r="E7" s="808" t="str">
        <f>HYPERLINK("#DropDownLists!K6","Add to this list")</f>
        <v>Add to this list</v>
      </c>
      <c r="F7" s="480"/>
    </row>
    <row r="8" spans="1:6" s="339" customFormat="1" ht="15" thickBot="1" x14ac:dyDescent="0.35">
      <c r="A8" s="18" t="s">
        <v>1637</v>
      </c>
      <c r="B8" s="20" t="s">
        <v>35</v>
      </c>
      <c r="C8" s="7" t="s">
        <v>1598</v>
      </c>
      <c r="D8" s="7" t="s">
        <v>1747</v>
      </c>
      <c r="E8" s="727" t="s">
        <v>77</v>
      </c>
      <c r="F8" s="481" t="s">
        <v>3697</v>
      </c>
    </row>
  </sheetData>
  <mergeCells count="1">
    <mergeCell ref="A5:C5"/>
  </mergeCells>
  <conditionalFormatting sqref="A8:F8">
    <cfRule type="expression" dxfId="55"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K36"/>
  <sheetViews>
    <sheetView workbookViewId="0">
      <pane xSplit="5" ySplit="8" topLeftCell="F9" activePane="bottomRight" state="frozen"/>
      <selection pane="topRight" activeCell="F1" sqref="F1"/>
      <selection pane="bottomLeft" activeCell="A9" sqref="A9"/>
      <selection pane="bottomRight" activeCell="I9" sqref="I9"/>
    </sheetView>
  </sheetViews>
  <sheetFormatPr defaultColWidth="9.109375" defaultRowHeight="13.2" x14ac:dyDescent="0.25"/>
  <cols>
    <col min="1" max="1" width="7.33203125" style="316" customWidth="1"/>
    <col min="2" max="2" width="11" style="313" bestFit="1" customWidth="1"/>
    <col min="3" max="3" width="14.5546875" style="316" customWidth="1"/>
    <col min="4" max="4" width="12.88671875" style="316" customWidth="1"/>
    <col min="5" max="5" width="13.44140625" style="316" customWidth="1"/>
    <col min="6" max="7" width="17.6640625" style="314" customWidth="1"/>
    <col min="8" max="8" width="50.33203125" style="314" bestFit="1" customWidth="1"/>
    <col min="9" max="9" width="18.5546875" style="314" customWidth="1"/>
    <col min="10" max="16384" width="9.109375" style="314"/>
  </cols>
  <sheetData>
    <row r="1" spans="1:11" s="339" customFormat="1" ht="17.399999999999999" x14ac:dyDescent="0.3">
      <c r="A1" s="1227" t="s">
        <v>2905</v>
      </c>
      <c r="B1" s="1228"/>
      <c r="C1" s="1229"/>
      <c r="D1" s="1229"/>
      <c r="E1" s="1229"/>
      <c r="F1" s="517" t="s">
        <v>2906</v>
      </c>
      <c r="G1" s="517"/>
      <c r="H1" s="517"/>
      <c r="I1" s="1230"/>
    </row>
    <row r="2" spans="1:11" s="339" customFormat="1" ht="14.4" x14ac:dyDescent="0.3">
      <c r="A2" s="1572" t="s">
        <v>2907</v>
      </c>
      <c r="B2" s="1572"/>
      <c r="C2" s="1572"/>
      <c r="D2" s="1572"/>
      <c r="E2" s="1572"/>
      <c r="F2" s="113" t="s">
        <v>617</v>
      </c>
      <c r="G2" s="113"/>
      <c r="H2" s="460"/>
      <c r="I2" s="1231" t="s">
        <v>538</v>
      </c>
    </row>
    <row r="3" spans="1:11" s="339" customFormat="1" ht="15.6" x14ac:dyDescent="0.3">
      <c r="A3" s="1507"/>
      <c r="B3" s="1507"/>
      <c r="C3" s="1507"/>
      <c r="D3" s="1507"/>
      <c r="E3" s="1507"/>
      <c r="F3" s="63"/>
      <c r="G3" s="63"/>
      <c r="H3" s="1232"/>
      <c r="I3" s="1233"/>
      <c r="K3" s="1247"/>
    </row>
    <row r="4" spans="1:11" s="339" customFormat="1" ht="14.4" x14ac:dyDescent="0.3">
      <c r="A4" s="1573"/>
      <c r="B4" s="1573"/>
      <c r="C4" s="1573"/>
      <c r="D4" s="1573"/>
      <c r="E4" s="1573"/>
      <c r="F4" s="63"/>
      <c r="G4" s="63"/>
      <c r="H4" s="482" t="s">
        <v>3428</v>
      </c>
      <c r="I4" s="1231"/>
      <c r="K4" s="1247"/>
    </row>
    <row r="5" spans="1:11" s="339" customFormat="1" ht="15.6" x14ac:dyDescent="0.3">
      <c r="A5" s="1234" t="s">
        <v>343</v>
      </c>
      <c r="B5" s="1235"/>
      <c r="C5" s="1236"/>
      <c r="D5" s="1162"/>
      <c r="E5" s="1120"/>
      <c r="F5" s="1148"/>
      <c r="G5" s="1148"/>
      <c r="H5" s="1237"/>
      <c r="I5" s="1238"/>
    </row>
    <row r="6" spans="1:11" s="339" customFormat="1" ht="16.2" x14ac:dyDescent="0.35">
      <c r="A6" s="667"/>
      <c r="B6" s="274" t="s">
        <v>116</v>
      </c>
      <c r="C6" s="641"/>
      <c r="D6" s="1163" t="str">
        <f>HYPERLINK("#DropDownLists!O6","Add to this list")</f>
        <v>Add to this list</v>
      </c>
      <c r="E6" s="1163" t="str">
        <f>HYPERLINK("#DropDownLists!K6","Add to this list")</f>
        <v>Add to this list</v>
      </c>
      <c r="F6" s="1186"/>
      <c r="G6" s="1186"/>
      <c r="H6" s="1239"/>
      <c r="I6" s="1240"/>
    </row>
    <row r="7" spans="1:11" s="339" customFormat="1" ht="14.4" x14ac:dyDescent="0.3">
      <c r="A7" s="732" t="s">
        <v>390</v>
      </c>
      <c r="B7" s="275"/>
      <c r="C7" s="732"/>
      <c r="D7" s="732"/>
      <c r="E7" s="732"/>
      <c r="F7" s="1133"/>
      <c r="G7" s="1133"/>
      <c r="H7" s="1139"/>
      <c r="I7" s="1241"/>
    </row>
    <row r="8" spans="1:11" s="339" customFormat="1" ht="27.6" thickBot="1" x14ac:dyDescent="0.35">
      <c r="A8" s="1242" t="s">
        <v>3474</v>
      </c>
      <c r="B8" s="1243" t="s">
        <v>1788</v>
      </c>
      <c r="C8" s="625" t="s">
        <v>152</v>
      </c>
      <c r="D8" s="625" t="s">
        <v>1659</v>
      </c>
      <c r="E8" s="625" t="s">
        <v>77</v>
      </c>
      <c r="F8" s="1244" t="s">
        <v>3698</v>
      </c>
      <c r="G8" s="1244" t="s">
        <v>3699</v>
      </c>
      <c r="H8" s="1245" t="s">
        <v>2908</v>
      </c>
      <c r="I8" s="1246" t="s">
        <v>3700</v>
      </c>
    </row>
    <row r="9" spans="1:11" x14ac:dyDescent="0.25">
      <c r="A9" s="316" t="s">
        <v>2842</v>
      </c>
      <c r="B9" s="313">
        <v>36713</v>
      </c>
      <c r="C9" s="316" t="s">
        <v>2843</v>
      </c>
      <c r="D9" s="316" t="s">
        <v>1195</v>
      </c>
      <c r="E9" s="316" t="s">
        <v>1372</v>
      </c>
      <c r="F9" s="1247"/>
      <c r="G9" s="1247"/>
      <c r="H9" s="1247" t="s">
        <v>2909</v>
      </c>
    </row>
    <row r="10" spans="1:11" x14ac:dyDescent="0.25">
      <c r="A10" s="316" t="s">
        <v>2846</v>
      </c>
      <c r="B10" s="313">
        <v>36713</v>
      </c>
      <c r="C10" s="316" t="s">
        <v>2847</v>
      </c>
      <c r="D10" s="316" t="s">
        <v>1195</v>
      </c>
      <c r="E10" s="316" t="s">
        <v>1372</v>
      </c>
      <c r="F10" s="1247"/>
      <c r="G10" s="1247"/>
      <c r="H10" s="1247" t="s">
        <v>2910</v>
      </c>
    </row>
    <row r="11" spans="1:11" x14ac:dyDescent="0.25">
      <c r="A11" s="316" t="s">
        <v>2850</v>
      </c>
      <c r="B11" s="313">
        <v>36713</v>
      </c>
      <c r="C11" s="316" t="s">
        <v>2851</v>
      </c>
      <c r="D11" s="316" t="s">
        <v>1195</v>
      </c>
      <c r="E11" s="316" t="s">
        <v>1372</v>
      </c>
      <c r="F11" s="1247"/>
      <c r="G11" s="1247"/>
      <c r="H11" s="1247" t="s">
        <v>2911</v>
      </c>
    </row>
    <row r="12" spans="1:11" x14ac:dyDescent="0.25">
      <c r="A12" s="316" t="s">
        <v>2854</v>
      </c>
      <c r="B12" s="313">
        <v>36713</v>
      </c>
      <c r="C12" s="316" t="s">
        <v>2855</v>
      </c>
      <c r="D12" s="316" t="s">
        <v>1195</v>
      </c>
      <c r="E12" s="316" t="s">
        <v>1372</v>
      </c>
      <c r="F12" s="1247"/>
      <c r="G12" s="1247"/>
      <c r="H12" s="1247" t="s">
        <v>2912</v>
      </c>
    </row>
    <row r="13" spans="1:11" x14ac:dyDescent="0.25">
      <c r="A13" s="316" t="s">
        <v>2858</v>
      </c>
      <c r="B13" s="313">
        <v>36713</v>
      </c>
      <c r="C13" s="316" t="s">
        <v>2859</v>
      </c>
      <c r="D13" s="316" t="s">
        <v>1195</v>
      </c>
      <c r="E13" s="316" t="s">
        <v>1372</v>
      </c>
      <c r="F13" s="1247"/>
      <c r="G13" s="1247"/>
      <c r="H13" s="1247" t="s">
        <v>2913</v>
      </c>
    </row>
    <row r="14" spans="1:11" x14ac:dyDescent="0.25">
      <c r="A14" s="316" t="s">
        <v>2888</v>
      </c>
      <c r="B14" s="313">
        <v>36713</v>
      </c>
      <c r="C14" s="316" t="s">
        <v>2889</v>
      </c>
      <c r="D14" s="316" t="s">
        <v>1195</v>
      </c>
      <c r="E14" s="316" t="s">
        <v>1372</v>
      </c>
      <c r="F14" s="1247"/>
      <c r="G14" s="1247"/>
      <c r="H14" s="1247" t="s">
        <v>2914</v>
      </c>
    </row>
    <row r="15" spans="1:11" x14ac:dyDescent="0.25">
      <c r="A15" s="316" t="s">
        <v>2890</v>
      </c>
      <c r="B15" s="313">
        <v>36713</v>
      </c>
      <c r="C15" s="316" t="s">
        <v>2889</v>
      </c>
      <c r="D15" s="316" t="s">
        <v>1195</v>
      </c>
      <c r="E15" s="316" t="s">
        <v>1372</v>
      </c>
      <c r="F15" s="1247"/>
      <c r="G15" s="1247"/>
      <c r="H15" s="1247" t="s">
        <v>2915</v>
      </c>
    </row>
    <row r="16" spans="1:11" x14ac:dyDescent="0.25">
      <c r="A16" s="316" t="s">
        <v>2860</v>
      </c>
      <c r="B16" s="313">
        <v>36713</v>
      </c>
      <c r="C16" s="316" t="s">
        <v>2859</v>
      </c>
      <c r="D16" s="316" t="s">
        <v>1195</v>
      </c>
      <c r="E16" s="316" t="s">
        <v>1372</v>
      </c>
      <c r="F16" s="1247"/>
      <c r="G16" s="1247"/>
      <c r="H16" s="1247"/>
    </row>
    <row r="17" spans="1:8" x14ac:dyDescent="0.25">
      <c r="A17" s="316" t="s">
        <v>2852</v>
      </c>
      <c r="B17" s="313">
        <v>36713</v>
      </c>
      <c r="C17" s="316" t="s">
        <v>2851</v>
      </c>
      <c r="D17" s="316" t="s">
        <v>1195</v>
      </c>
      <c r="E17" s="316" t="s">
        <v>1372</v>
      </c>
      <c r="F17" s="1247"/>
      <c r="G17" s="1247"/>
      <c r="H17" s="1247"/>
    </row>
    <row r="18" spans="1:8" x14ac:dyDescent="0.25">
      <c r="A18" s="316" t="s">
        <v>2856</v>
      </c>
      <c r="B18" s="313">
        <v>36713</v>
      </c>
      <c r="C18" s="316" t="s">
        <v>2855</v>
      </c>
      <c r="D18" s="316" t="s">
        <v>1195</v>
      </c>
      <c r="E18" s="316" t="s">
        <v>1372</v>
      </c>
      <c r="F18" s="1247"/>
      <c r="G18" s="1247"/>
      <c r="H18" s="1247"/>
    </row>
    <row r="19" spans="1:8" x14ac:dyDescent="0.25">
      <c r="A19" s="316" t="s">
        <v>2848</v>
      </c>
      <c r="B19" s="313">
        <v>36713</v>
      </c>
      <c r="C19" s="316" t="s">
        <v>2847</v>
      </c>
      <c r="D19" s="316" t="s">
        <v>1195</v>
      </c>
      <c r="E19" s="316" t="s">
        <v>1372</v>
      </c>
      <c r="F19" s="1247"/>
      <c r="G19" s="1247"/>
      <c r="H19" s="1247"/>
    </row>
    <row r="20" spans="1:8" x14ac:dyDescent="0.25">
      <c r="A20" s="316" t="s">
        <v>2844</v>
      </c>
      <c r="B20" s="313">
        <v>36713</v>
      </c>
      <c r="C20" s="316" t="s">
        <v>2843</v>
      </c>
      <c r="D20" s="316" t="s">
        <v>1195</v>
      </c>
      <c r="E20" s="316" t="s">
        <v>1372</v>
      </c>
      <c r="F20" s="1247"/>
      <c r="G20" s="1247"/>
      <c r="H20" s="1247"/>
    </row>
    <row r="21" spans="1:8" x14ac:dyDescent="0.25">
      <c r="A21" s="316" t="s">
        <v>2892</v>
      </c>
      <c r="B21" s="313">
        <v>36713</v>
      </c>
      <c r="C21" s="316" t="s">
        <v>2889</v>
      </c>
      <c r="D21" s="316" t="s">
        <v>1195</v>
      </c>
      <c r="E21" s="316" t="s">
        <v>1372</v>
      </c>
      <c r="F21" s="1247"/>
      <c r="G21" s="1247"/>
      <c r="H21" s="1247"/>
    </row>
    <row r="22" spans="1:8" x14ac:dyDescent="0.25">
      <c r="A22" s="316" t="s">
        <v>2861</v>
      </c>
      <c r="B22" s="313">
        <v>36713</v>
      </c>
      <c r="C22" s="316" t="s">
        <v>2859</v>
      </c>
      <c r="D22" s="316" t="s">
        <v>1195</v>
      </c>
      <c r="E22" s="316" t="s">
        <v>1372</v>
      </c>
      <c r="F22" s="1247"/>
      <c r="G22" s="1247"/>
      <c r="H22" s="1247"/>
    </row>
    <row r="23" spans="1:8" x14ac:dyDescent="0.25">
      <c r="A23" s="316" t="s">
        <v>2857</v>
      </c>
      <c r="B23" s="313">
        <v>36713</v>
      </c>
      <c r="C23" s="316" t="s">
        <v>2855</v>
      </c>
      <c r="D23" s="316" t="s">
        <v>1195</v>
      </c>
      <c r="E23" s="316" t="s">
        <v>1372</v>
      </c>
      <c r="F23" s="1247"/>
      <c r="G23" s="1247"/>
      <c r="H23" s="1247"/>
    </row>
    <row r="24" spans="1:8" x14ac:dyDescent="0.25">
      <c r="A24" s="316" t="s">
        <v>2853</v>
      </c>
      <c r="B24" s="313">
        <v>36713</v>
      </c>
      <c r="C24" s="316" t="s">
        <v>2851</v>
      </c>
      <c r="D24" s="316" t="s">
        <v>1195</v>
      </c>
      <c r="E24" s="316" t="s">
        <v>1372</v>
      </c>
      <c r="F24" s="1247"/>
      <c r="G24" s="1247"/>
      <c r="H24" s="1247"/>
    </row>
    <row r="25" spans="1:8" x14ac:dyDescent="0.25">
      <c r="A25" s="316" t="s">
        <v>2849</v>
      </c>
      <c r="B25" s="313">
        <v>36713</v>
      </c>
      <c r="C25" s="316" t="s">
        <v>2847</v>
      </c>
      <c r="D25" s="316" t="s">
        <v>102</v>
      </c>
      <c r="E25" s="316" t="s">
        <v>1372</v>
      </c>
      <c r="F25" s="1247"/>
      <c r="G25" s="1247"/>
      <c r="H25" s="1247"/>
    </row>
    <row r="26" spans="1:8" x14ac:dyDescent="0.25">
      <c r="A26" s="316" t="s">
        <v>2845</v>
      </c>
      <c r="B26" s="313">
        <v>36713</v>
      </c>
      <c r="C26" s="316" t="s">
        <v>2843</v>
      </c>
      <c r="D26" s="316" t="s">
        <v>102</v>
      </c>
      <c r="E26" s="316" t="s">
        <v>1372</v>
      </c>
      <c r="F26" s="1247"/>
      <c r="G26" s="1247"/>
      <c r="H26" s="1247"/>
    </row>
    <row r="27" spans="1:8" x14ac:dyDescent="0.25">
      <c r="A27" s="316" t="s">
        <v>2842</v>
      </c>
      <c r="B27" s="313">
        <v>36713</v>
      </c>
      <c r="C27" s="316" t="s">
        <v>2843</v>
      </c>
      <c r="D27" s="316" t="s">
        <v>102</v>
      </c>
      <c r="E27" s="316" t="s">
        <v>1372</v>
      </c>
      <c r="F27" s="1247"/>
      <c r="G27" s="1247"/>
      <c r="H27" s="1247"/>
    </row>
    <row r="28" spans="1:8" x14ac:dyDescent="0.25">
      <c r="A28" s="316" t="s">
        <v>2846</v>
      </c>
      <c r="B28" s="313">
        <v>36713</v>
      </c>
      <c r="C28" s="316" t="s">
        <v>2847</v>
      </c>
      <c r="D28" s="316" t="s">
        <v>102</v>
      </c>
      <c r="E28" s="316" t="s">
        <v>1372</v>
      </c>
      <c r="F28" s="1247"/>
      <c r="G28" s="1247"/>
      <c r="H28" s="1247"/>
    </row>
    <row r="29" spans="1:8" x14ac:dyDescent="0.25">
      <c r="A29" s="316" t="s">
        <v>2850</v>
      </c>
      <c r="B29" s="313">
        <v>36713</v>
      </c>
      <c r="C29" s="316" t="s">
        <v>2851</v>
      </c>
      <c r="D29" s="316" t="s">
        <v>102</v>
      </c>
      <c r="E29" s="316" t="s">
        <v>1372</v>
      </c>
      <c r="F29" s="1247"/>
      <c r="G29" s="1247"/>
      <c r="H29" s="1247"/>
    </row>
    <row r="30" spans="1:8" x14ac:dyDescent="0.25">
      <c r="A30" s="316" t="s">
        <v>2854</v>
      </c>
      <c r="B30" s="313">
        <v>36713</v>
      </c>
      <c r="C30" s="316" t="s">
        <v>2855</v>
      </c>
      <c r="D30" s="316" t="s">
        <v>102</v>
      </c>
      <c r="E30" s="316" t="s">
        <v>1372</v>
      </c>
      <c r="F30" s="1247"/>
      <c r="G30" s="1247"/>
      <c r="H30" s="1247"/>
    </row>
    <row r="31" spans="1:8" x14ac:dyDescent="0.25">
      <c r="F31" s="1247"/>
      <c r="G31" s="1247"/>
      <c r="H31" s="1247"/>
    </row>
    <row r="32" spans="1:8" x14ac:dyDescent="0.25">
      <c r="F32" s="1247"/>
      <c r="G32" s="1247"/>
      <c r="H32" s="1247"/>
    </row>
    <row r="33" spans="6:8" x14ac:dyDescent="0.25">
      <c r="F33" s="1247"/>
      <c r="G33" s="1247"/>
      <c r="H33" s="1247"/>
    </row>
    <row r="34" spans="6:8" x14ac:dyDescent="0.25">
      <c r="F34" s="1247"/>
      <c r="G34" s="1247"/>
      <c r="H34" s="1247"/>
    </row>
    <row r="35" spans="6:8" x14ac:dyDescent="0.25">
      <c r="F35" s="1247"/>
      <c r="G35" s="1247"/>
      <c r="H35" s="1247"/>
    </row>
    <row r="36" spans="6:8" x14ac:dyDescent="0.25">
      <c r="F36" s="1247"/>
      <c r="G36" s="1247"/>
      <c r="H36" s="1247"/>
    </row>
  </sheetData>
  <mergeCells count="1">
    <mergeCell ref="A2:E4"/>
  </mergeCells>
  <conditionalFormatting sqref="A8:I8">
    <cfRule type="expression" dxfId="54" priority="1">
      <formula>IF(INDEX(VAD_nMeasNutrientMonitoring,COLUMN(A8),5)&gt;0,TRUE(),FALSE())</formula>
    </cfRule>
  </conditionalFormatting>
  <dataValidations count="11">
    <dataValidation type="list" allowBlank="1" showInputMessage="1" showErrorMessage="1" sqref="E9:E554">
      <formula1>Crop</formula1>
    </dataValidation>
    <dataValidation type="list" allowBlank="1" showInputMessage="1" showErrorMessage="1" sqref="C9:C554">
      <formula1>TreatmentID</formula1>
    </dataValidation>
    <dataValidation type="list" allowBlank="1" showInputMessage="1" showErrorMessage="1" sqref="A9:A554">
      <formula1>Exp_UnitID</formula1>
    </dataValidation>
    <dataValidation type="list" allowBlank="1" showInputMessage="1" showErrorMessage="1" sqref="D9:D554">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H9:H14">
      <formula1>Crop_Monitoring</formula1>
    </dataValidation>
    <dataValidation type="list" allowBlank="1" showInputMessage="1" showErrorMessage="1" sqref="H15:H35">
      <formula1>CropMonitoring</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458"/>
  <sheetViews>
    <sheetView workbookViewId="0">
      <pane xSplit="6" ySplit="8" topLeftCell="G9" activePane="bottomRight" state="frozen"/>
      <selection pane="topRight" activeCell="G1" sqref="G1"/>
      <selection pane="bottomLeft" activeCell="A9" sqref="A9"/>
      <selection pane="bottomRight" activeCell="AN8" sqref="AN8"/>
    </sheetView>
  </sheetViews>
  <sheetFormatPr defaultColWidth="9.109375" defaultRowHeight="13.2" x14ac:dyDescent="0.25"/>
  <cols>
    <col min="1" max="1" width="15.6640625" style="316" customWidth="1"/>
    <col min="2" max="2" width="15.6640625" style="313" customWidth="1"/>
    <col min="3" max="3" width="11.5546875" style="316" bestFit="1" customWidth="1"/>
    <col min="4" max="4" width="13.109375" style="316" bestFit="1" customWidth="1"/>
    <col min="5" max="5" width="22.33203125" style="316" customWidth="1"/>
    <col min="6" max="6" width="25.21875" style="316" customWidth="1"/>
    <col min="7" max="7" width="19.21875" style="316" customWidth="1"/>
    <col min="8" max="8" width="19.44140625" style="316" customWidth="1"/>
    <col min="9" max="9" width="19.5546875" style="314" customWidth="1"/>
    <col min="10" max="10" width="20" style="314" customWidth="1"/>
    <col min="11" max="11" width="15.5546875" style="314" customWidth="1"/>
    <col min="12" max="24" width="17.6640625" style="314" customWidth="1"/>
    <col min="25" max="25" width="15.6640625" style="314" customWidth="1"/>
    <col min="26" max="31" width="10.6640625" style="314" customWidth="1"/>
    <col min="32" max="32" width="12.33203125" style="314" customWidth="1"/>
    <col min="33" max="33" width="12" style="314" customWidth="1"/>
    <col min="34" max="34" width="12.5546875" style="314" customWidth="1"/>
    <col min="35" max="35" width="11.6640625" style="314" customWidth="1"/>
    <col min="36" max="36" width="12.33203125" style="314" customWidth="1"/>
    <col min="37" max="37" width="12.88671875" style="314" customWidth="1"/>
    <col min="38" max="38" width="10.6640625" style="314" customWidth="1"/>
    <col min="39" max="39" width="13.33203125" style="314" customWidth="1"/>
    <col min="40" max="40" width="14.5546875" style="314" customWidth="1"/>
    <col min="41" max="41" width="9.109375" style="314"/>
    <col min="42" max="42" width="15" style="314" customWidth="1"/>
    <col min="43" max="16384" width="9.109375" style="314"/>
  </cols>
  <sheetData>
    <row r="1" spans="1:40" s="339" customFormat="1" ht="17.399999999999999" x14ac:dyDescent="0.3">
      <c r="A1" s="1227" t="s">
        <v>2916</v>
      </c>
      <c r="B1" s="1228"/>
      <c r="C1" s="1229"/>
      <c r="D1" s="1229"/>
      <c r="E1" s="517" t="s">
        <v>2917</v>
      </c>
      <c r="F1" s="1229"/>
      <c r="G1" s="1229"/>
      <c r="H1" s="1229"/>
      <c r="I1" s="1229"/>
      <c r="J1" s="517"/>
      <c r="K1" s="517"/>
      <c r="L1" s="517"/>
      <c r="M1" s="517"/>
      <c r="N1" s="517"/>
      <c r="O1" s="517"/>
      <c r="P1" s="517"/>
      <c r="Q1" s="517"/>
      <c r="R1" s="517"/>
      <c r="S1" s="517"/>
      <c r="T1" s="517"/>
      <c r="U1" s="517"/>
      <c r="V1" s="517"/>
      <c r="W1" s="517"/>
      <c r="X1" s="517"/>
      <c r="Y1" s="517"/>
      <c r="Z1" s="517"/>
      <c r="AA1" s="517"/>
      <c r="AB1" s="517"/>
      <c r="AC1" s="1248"/>
      <c r="AD1" s="1248"/>
      <c r="AE1" s="1248"/>
      <c r="AF1" s="1248"/>
      <c r="AG1" s="1248"/>
      <c r="AH1" s="1248"/>
      <c r="AI1" s="1248"/>
      <c r="AJ1" s="1248"/>
      <c r="AK1" s="1248"/>
      <c r="AL1" s="1248"/>
      <c r="AM1" s="1248"/>
      <c r="AN1" s="518"/>
    </row>
    <row r="2" spans="1:40" s="339" customFormat="1" ht="15" customHeight="1" x14ac:dyDescent="0.3">
      <c r="A2" s="1572"/>
      <c r="B2" s="1572"/>
      <c r="C2" s="1572"/>
      <c r="D2" s="1572"/>
      <c r="E2" s="1572"/>
      <c r="F2" s="1572"/>
      <c r="G2" s="73"/>
      <c r="H2" s="73"/>
      <c r="I2" s="113" t="s">
        <v>617</v>
      </c>
      <c r="J2" s="63"/>
      <c r="K2" s="63"/>
      <c r="L2" s="63"/>
      <c r="M2" s="63"/>
      <c r="N2" s="63"/>
      <c r="O2" s="63"/>
      <c r="P2" s="63"/>
      <c r="Q2" s="63"/>
      <c r="R2" s="63"/>
      <c r="S2" s="63"/>
      <c r="T2" s="63"/>
      <c r="U2" s="63"/>
      <c r="V2" s="63"/>
      <c r="W2" s="63"/>
      <c r="X2" s="460"/>
      <c r="Y2" s="1249" t="s">
        <v>538</v>
      </c>
      <c r="Z2" s="1249" t="s">
        <v>538</v>
      </c>
      <c r="AA2" s="1249" t="s">
        <v>538</v>
      </c>
      <c r="AB2" s="1249" t="s">
        <v>538</v>
      </c>
      <c r="AC2" s="1249" t="s">
        <v>538</v>
      </c>
      <c r="AD2" s="1249" t="s">
        <v>538</v>
      </c>
      <c r="AE2" s="1249" t="s">
        <v>538</v>
      </c>
      <c r="AF2" s="1249" t="s">
        <v>538</v>
      </c>
      <c r="AG2" s="1249" t="s">
        <v>538</v>
      </c>
      <c r="AH2" s="1249" t="s">
        <v>538</v>
      </c>
      <c r="AI2" s="1249" t="s">
        <v>538</v>
      </c>
      <c r="AJ2" s="1249" t="s">
        <v>538</v>
      </c>
      <c r="AK2" s="1249" t="s">
        <v>538</v>
      </c>
      <c r="AL2" s="1249" t="s">
        <v>538</v>
      </c>
      <c r="AM2" s="1249" t="s">
        <v>538</v>
      </c>
      <c r="AN2" s="1250" t="s">
        <v>538</v>
      </c>
    </row>
    <row r="3" spans="1:40" s="339" customFormat="1" ht="15.6" customHeight="1" x14ac:dyDescent="0.3">
      <c r="A3" s="1507"/>
      <c r="B3" s="1507"/>
      <c r="C3" s="1507"/>
      <c r="D3" s="1507"/>
      <c r="E3" s="1507"/>
      <c r="F3" s="1507"/>
      <c r="G3" s="1251"/>
      <c r="H3" s="1251"/>
      <c r="I3" s="63"/>
      <c r="J3" s="444"/>
      <c r="K3" s="443"/>
      <c r="L3" s="63"/>
      <c r="M3" s="1251"/>
      <c r="N3" s="1251"/>
      <c r="O3" s="1251"/>
      <c r="P3" s="1251"/>
      <c r="Q3" s="1251"/>
      <c r="R3" s="1251"/>
      <c r="S3" s="1251"/>
      <c r="T3" s="1251"/>
      <c r="U3" s="1251"/>
      <c r="V3" s="1251"/>
      <c r="W3" s="1251"/>
      <c r="X3" s="460"/>
      <c r="Y3" s="444"/>
      <c r="Z3" s="444"/>
      <c r="AA3" s="63"/>
      <c r="AB3" s="63"/>
      <c r="AC3" s="1251"/>
      <c r="AD3" s="1251"/>
      <c r="AE3" s="1251"/>
      <c r="AF3" s="1251"/>
      <c r="AG3" s="1251"/>
      <c r="AH3" s="1251"/>
      <c r="AI3" s="1251"/>
      <c r="AJ3" s="1251"/>
      <c r="AK3" s="1251"/>
      <c r="AL3" s="1251"/>
      <c r="AM3" s="1251"/>
      <c r="AN3" s="325"/>
    </row>
    <row r="4" spans="1:40" s="339" customFormat="1" ht="14.4" x14ac:dyDescent="0.3">
      <c r="A4" s="1573"/>
      <c r="B4" s="1573"/>
      <c r="C4" s="1573"/>
      <c r="D4" s="1573"/>
      <c r="E4" s="1573"/>
      <c r="F4" s="1573"/>
      <c r="G4" s="639"/>
      <c r="H4" s="639"/>
      <c r="I4" s="63"/>
      <c r="J4" s="63"/>
      <c r="K4" s="63"/>
      <c r="L4" s="63"/>
      <c r="M4" s="63"/>
      <c r="N4" s="63"/>
      <c r="O4" s="63"/>
      <c r="P4" s="63"/>
      <c r="Q4" s="63"/>
      <c r="R4" s="63"/>
      <c r="S4" s="63"/>
      <c r="T4" s="63"/>
      <c r="U4" s="63"/>
      <c r="V4" s="63"/>
      <c r="W4" s="63"/>
      <c r="X4" s="460"/>
      <c r="Y4" s="63"/>
      <c r="Z4" s="63"/>
      <c r="AA4" s="63"/>
      <c r="AB4" s="63"/>
      <c r="AC4" s="63"/>
      <c r="AD4" s="63"/>
      <c r="AE4" s="63"/>
      <c r="AF4" s="63"/>
      <c r="AG4" s="63"/>
      <c r="AH4" s="63"/>
      <c r="AI4" s="63"/>
      <c r="AJ4" s="63"/>
      <c r="AK4" s="63"/>
      <c r="AL4" s="63"/>
      <c r="AM4" s="63"/>
      <c r="AN4" s="325"/>
    </row>
    <row r="5" spans="1:40" s="339" customFormat="1" ht="15.6" x14ac:dyDescent="0.3">
      <c r="A5" s="1234" t="s">
        <v>343</v>
      </c>
      <c r="B5" s="1235"/>
      <c r="C5" s="1236"/>
      <c r="D5" s="1162"/>
      <c r="E5" s="1120"/>
      <c r="F5" s="1252"/>
      <c r="G5" s="1120"/>
      <c r="H5" s="1120"/>
      <c r="I5" s="1253" t="s">
        <v>391</v>
      </c>
      <c r="J5" s="1254"/>
      <c r="K5" s="1254"/>
      <c r="L5" s="1254"/>
      <c r="M5" s="1148"/>
      <c r="N5" s="1148"/>
      <c r="O5" s="1148"/>
      <c r="P5" s="1148"/>
      <c r="Q5" s="1148"/>
      <c r="R5" s="1148"/>
      <c r="S5" s="1148"/>
      <c r="T5" s="1148"/>
      <c r="U5" s="1148"/>
      <c r="V5" s="1148"/>
      <c r="W5" s="1148"/>
      <c r="X5" s="519"/>
      <c r="Y5" s="1255"/>
      <c r="Z5" s="1256"/>
      <c r="AA5" s="1256"/>
      <c r="AB5" s="1256"/>
      <c r="AC5" s="1255"/>
      <c r="AD5" s="1256"/>
      <c r="AE5" s="1256"/>
      <c r="AF5" s="1256"/>
      <c r="AG5" s="1256"/>
      <c r="AH5" s="1256"/>
      <c r="AI5" s="1256"/>
      <c r="AJ5" s="1256"/>
      <c r="AK5" s="1256"/>
      <c r="AL5" s="1256"/>
      <c r="AM5" s="1256"/>
      <c r="AN5" s="520"/>
    </row>
    <row r="6" spans="1:40" s="339" customFormat="1" ht="16.2" x14ac:dyDescent="0.35">
      <c r="A6" s="667"/>
      <c r="B6" s="274" t="s">
        <v>116</v>
      </c>
      <c r="C6" s="641"/>
      <c r="D6" s="1163" t="str">
        <f>HYPERLINK("#DropDownLists!O6","Add to this list")</f>
        <v>Add to this list</v>
      </c>
      <c r="E6" s="1163" t="str">
        <f>HYPERLINK("#DropDownLists!K6","Add to this list")</f>
        <v>Add to this list</v>
      </c>
      <c r="F6" s="1257" t="str">
        <f>HYPERLINK("#DropDownLists!T6","Add to this list")</f>
        <v>Add to this list</v>
      </c>
      <c r="G6" s="1258"/>
      <c r="H6" s="1259"/>
      <c r="I6" s="65" t="s">
        <v>118</v>
      </c>
      <c r="J6" s="1147" t="s">
        <v>40</v>
      </c>
      <c r="K6" s="65" t="s">
        <v>119</v>
      </c>
      <c r="L6" s="495" t="s">
        <v>91</v>
      </c>
      <c r="M6" s="1260" t="s">
        <v>185</v>
      </c>
      <c r="N6" s="1260" t="s">
        <v>186</v>
      </c>
      <c r="O6" s="1260" t="s">
        <v>2873</v>
      </c>
      <c r="P6" s="1260" t="s">
        <v>2874</v>
      </c>
      <c r="Q6" s="1260" t="s">
        <v>2875</v>
      </c>
      <c r="R6" s="1260" t="s">
        <v>2876</v>
      </c>
      <c r="S6" s="1260" t="s">
        <v>2877</v>
      </c>
      <c r="T6" s="1260" t="s">
        <v>2878</v>
      </c>
      <c r="U6" s="1260" t="s">
        <v>2879</v>
      </c>
      <c r="V6" s="1260" t="s">
        <v>2880</v>
      </c>
      <c r="W6" s="1261" t="s">
        <v>2881</v>
      </c>
      <c r="X6" s="1262" t="s">
        <v>138</v>
      </c>
      <c r="Y6" s="1186" t="s">
        <v>118</v>
      </c>
      <c r="Z6" s="1263" t="s">
        <v>40</v>
      </c>
      <c r="AA6" s="1186" t="s">
        <v>119</v>
      </c>
      <c r="AB6" s="1264" t="s">
        <v>91</v>
      </c>
      <c r="AC6" s="1265" t="s">
        <v>185</v>
      </c>
      <c r="AD6" s="1265" t="s">
        <v>186</v>
      </c>
      <c r="AE6" s="1265" t="s">
        <v>2873</v>
      </c>
      <c r="AF6" s="1265" t="s">
        <v>2874</v>
      </c>
      <c r="AG6" s="1265" t="s">
        <v>2875</v>
      </c>
      <c r="AH6" s="1265" t="s">
        <v>2876</v>
      </c>
      <c r="AI6" s="1265" t="s">
        <v>2877</v>
      </c>
      <c r="AJ6" s="1265" t="s">
        <v>2878</v>
      </c>
      <c r="AK6" s="1265" t="s">
        <v>2879</v>
      </c>
      <c r="AL6" s="1265" t="s">
        <v>2880</v>
      </c>
      <c r="AM6" s="1265" t="s">
        <v>2881</v>
      </c>
      <c r="AN6" s="521" t="s">
        <v>138</v>
      </c>
    </row>
    <row r="7" spans="1:40" s="339" customFormat="1" ht="14.4" x14ac:dyDescent="0.3">
      <c r="A7" s="732" t="s">
        <v>390</v>
      </c>
      <c r="B7" s="275"/>
      <c r="C7" s="732"/>
      <c r="D7" s="732"/>
      <c r="E7" s="732"/>
      <c r="F7" s="732"/>
      <c r="G7" s="732"/>
      <c r="H7" s="732"/>
      <c r="I7" s="1144"/>
      <c r="J7" s="1144"/>
      <c r="K7" s="1144"/>
      <c r="L7" s="1144"/>
      <c r="M7" s="1144"/>
      <c r="N7" s="1144"/>
      <c r="O7" s="1144"/>
      <c r="P7" s="1144"/>
      <c r="Q7" s="1144"/>
      <c r="R7" s="1144"/>
      <c r="S7" s="1144"/>
      <c r="T7" s="1144"/>
      <c r="U7" s="1144"/>
      <c r="V7" s="1144"/>
      <c r="W7" s="1144"/>
      <c r="X7" s="1143" t="s">
        <v>389</v>
      </c>
      <c r="Y7" s="1144"/>
      <c r="Z7" s="1144"/>
      <c r="AA7" s="1144"/>
      <c r="AB7" s="1144"/>
      <c r="AC7" s="1144"/>
      <c r="AD7" s="1144"/>
      <c r="AE7" s="1144"/>
      <c r="AF7" s="1144"/>
      <c r="AG7" s="1144"/>
      <c r="AH7" s="1144"/>
      <c r="AI7" s="1144"/>
      <c r="AJ7" s="1144"/>
      <c r="AK7" s="1144"/>
      <c r="AL7" s="1144"/>
      <c r="AM7" s="1144"/>
      <c r="AN7" s="522" t="s">
        <v>389</v>
      </c>
    </row>
    <row r="8" spans="1:40" s="339" customFormat="1" ht="28.8" customHeight="1" thickBot="1" x14ac:dyDescent="0.35">
      <c r="A8" s="1037" t="s">
        <v>3474</v>
      </c>
      <c r="B8" s="1167" t="s">
        <v>1788</v>
      </c>
      <c r="C8" s="625" t="s">
        <v>152</v>
      </c>
      <c r="D8" s="625" t="s">
        <v>1659</v>
      </c>
      <c r="E8" s="556" t="s">
        <v>77</v>
      </c>
      <c r="F8" s="1266" t="s">
        <v>1789</v>
      </c>
      <c r="G8" s="1200" t="s">
        <v>2918</v>
      </c>
      <c r="H8" s="1267" t="s">
        <v>3430</v>
      </c>
      <c r="I8" s="114" t="s">
        <v>1937</v>
      </c>
      <c r="J8" s="114" t="s">
        <v>3714</v>
      </c>
      <c r="K8" s="114" t="s">
        <v>3701</v>
      </c>
      <c r="L8" s="114" t="s">
        <v>3702</v>
      </c>
      <c r="M8" s="1268" t="s">
        <v>3703</v>
      </c>
      <c r="N8" s="1268" t="s">
        <v>3704</v>
      </c>
      <c r="O8" s="1268" t="s">
        <v>3705</v>
      </c>
      <c r="P8" s="1268" t="s">
        <v>3706</v>
      </c>
      <c r="Q8" s="1268" t="s">
        <v>3707</v>
      </c>
      <c r="R8" s="1268" t="s">
        <v>3709</v>
      </c>
      <c r="S8" s="1268" t="s">
        <v>3708</v>
      </c>
      <c r="T8" s="1268" t="s">
        <v>3710</v>
      </c>
      <c r="U8" s="1268" t="s">
        <v>3711</v>
      </c>
      <c r="V8" s="1268" t="s">
        <v>3712</v>
      </c>
      <c r="W8" s="1268" t="s">
        <v>3713</v>
      </c>
      <c r="X8" s="469" t="s">
        <v>3729</v>
      </c>
      <c r="Y8" s="114" t="s">
        <v>3715</v>
      </c>
      <c r="Z8" s="114" t="s">
        <v>3716</v>
      </c>
      <c r="AA8" s="114" t="s">
        <v>3717</v>
      </c>
      <c r="AB8" s="114" t="s">
        <v>3702</v>
      </c>
      <c r="AC8" s="1268" t="s">
        <v>3718</v>
      </c>
      <c r="AD8" s="1268" t="s">
        <v>3719</v>
      </c>
      <c r="AE8" s="1268" t="s">
        <v>3720</v>
      </c>
      <c r="AF8" s="1268" t="s">
        <v>3721</v>
      </c>
      <c r="AG8" s="1268" t="s">
        <v>3722</v>
      </c>
      <c r="AH8" s="1268" t="s">
        <v>3728</v>
      </c>
      <c r="AI8" s="1268" t="s">
        <v>3723</v>
      </c>
      <c r="AJ8" s="1268" t="s">
        <v>3724</v>
      </c>
      <c r="AK8" s="1268" t="s">
        <v>3725</v>
      </c>
      <c r="AL8" s="1268" t="s">
        <v>3726</v>
      </c>
      <c r="AM8" s="1268" t="s">
        <v>3727</v>
      </c>
      <c r="AN8" s="469" t="s">
        <v>3730</v>
      </c>
    </row>
    <row r="9" spans="1:40" x14ac:dyDescent="0.25">
      <c r="A9" s="316" t="s">
        <v>2842</v>
      </c>
      <c r="B9" s="313">
        <v>36648</v>
      </c>
      <c r="C9" s="316" t="s">
        <v>2843</v>
      </c>
      <c r="D9" s="316" t="s">
        <v>102</v>
      </c>
      <c r="E9" s="316" t="s">
        <v>1372</v>
      </c>
      <c r="F9" s="316" t="s">
        <v>1230</v>
      </c>
      <c r="G9" s="639" t="s">
        <v>3429</v>
      </c>
      <c r="H9" s="1269" t="s">
        <v>3431</v>
      </c>
      <c r="I9" s="314">
        <v>4428.6000000000004</v>
      </c>
      <c r="K9" s="314">
        <v>1952.0631026458743</v>
      </c>
      <c r="L9" s="314">
        <v>27.114659157156947</v>
      </c>
    </row>
    <row r="10" spans="1:40" x14ac:dyDescent="0.25">
      <c r="A10" s="316" t="s">
        <v>2842</v>
      </c>
      <c r="B10" s="313">
        <v>36648</v>
      </c>
      <c r="C10" s="316" t="s">
        <v>2843</v>
      </c>
      <c r="D10" s="316" t="s">
        <v>102</v>
      </c>
      <c r="E10" s="316" t="s">
        <v>1372</v>
      </c>
      <c r="F10" s="316" t="s">
        <v>1230</v>
      </c>
      <c r="G10" s="639" t="s">
        <v>3429</v>
      </c>
      <c r="H10" s="1172" t="s">
        <v>3433</v>
      </c>
      <c r="I10" s="314">
        <v>4428.6000000000004</v>
      </c>
      <c r="K10" s="314">
        <v>1952.0631026458743</v>
      </c>
      <c r="L10" s="314">
        <v>27.114659157156947</v>
      </c>
    </row>
    <row r="11" spans="1:40" x14ac:dyDescent="0.25">
      <c r="A11" s="316" t="s">
        <v>2842</v>
      </c>
      <c r="B11" s="313">
        <v>36648</v>
      </c>
      <c r="C11" s="316" t="s">
        <v>2843</v>
      </c>
      <c r="D11" s="316" t="s">
        <v>102</v>
      </c>
      <c r="E11" s="316" t="s">
        <v>1372</v>
      </c>
      <c r="F11" s="316" t="s">
        <v>1230</v>
      </c>
      <c r="G11" s="639" t="s">
        <v>3429</v>
      </c>
      <c r="H11" s="1172" t="s">
        <v>3432</v>
      </c>
      <c r="I11" s="314">
        <v>5859.9</v>
      </c>
      <c r="K11" s="314">
        <v>2500.1534366798396</v>
      </c>
      <c r="L11" s="314">
        <v>57.257485429465767</v>
      </c>
    </row>
    <row r="12" spans="1:40" ht="14.4" x14ac:dyDescent="0.3">
      <c r="A12" s="316" t="s">
        <v>2854</v>
      </c>
      <c r="B12" s="313">
        <v>36775</v>
      </c>
      <c r="C12" s="316" t="s">
        <v>2855</v>
      </c>
      <c r="D12" s="316" t="s">
        <v>102</v>
      </c>
      <c r="E12" s="316" t="s">
        <v>1372</v>
      </c>
      <c r="F12" s="316" t="s">
        <v>1230</v>
      </c>
      <c r="G12" s="639" t="s">
        <v>2920</v>
      </c>
      <c r="H12" s="1208"/>
      <c r="I12" s="314">
        <v>5859.9</v>
      </c>
      <c r="K12" s="314">
        <v>2500.1534366798396</v>
      </c>
      <c r="L12" s="314">
        <v>57.257485429465767</v>
      </c>
      <c r="AF12" s="1204"/>
      <c r="AG12" s="1204"/>
    </row>
    <row r="13" spans="1:40" ht="14.4" x14ac:dyDescent="0.3">
      <c r="A13" s="316" t="s">
        <v>2858</v>
      </c>
      <c r="B13" s="313">
        <v>36775</v>
      </c>
      <c r="C13" s="316" t="s">
        <v>2859</v>
      </c>
      <c r="D13" s="316" t="s">
        <v>102</v>
      </c>
      <c r="E13" s="316" t="s">
        <v>1372</v>
      </c>
      <c r="F13" s="316" t="s">
        <v>1230</v>
      </c>
      <c r="G13" s="639" t="s">
        <v>2920</v>
      </c>
      <c r="H13" s="1208"/>
      <c r="I13" s="314">
        <v>8686.7000000000007</v>
      </c>
      <c r="K13" s="314">
        <v>3826.8282883453376</v>
      </c>
      <c r="L13" s="314">
        <v>42.43776028740406</v>
      </c>
      <c r="AF13" s="1204"/>
      <c r="AG13" s="1204"/>
    </row>
    <row r="14" spans="1:40" ht="14.4" x14ac:dyDescent="0.3">
      <c r="A14" s="316" t="s">
        <v>2888</v>
      </c>
      <c r="B14" s="313">
        <v>36775</v>
      </c>
      <c r="C14" s="316" t="s">
        <v>2889</v>
      </c>
      <c r="D14" s="316" t="s">
        <v>102</v>
      </c>
      <c r="E14" s="316" t="s">
        <v>1372</v>
      </c>
      <c r="F14" s="316" t="s">
        <v>1230</v>
      </c>
      <c r="G14" s="639" t="s">
        <v>2920</v>
      </c>
      <c r="H14" s="1208"/>
      <c r="I14" s="314">
        <v>8686.7000000000007</v>
      </c>
      <c r="K14" s="314">
        <v>3826.8282883453376</v>
      </c>
      <c r="L14" s="314">
        <v>42.43776028740406</v>
      </c>
    </row>
    <row r="15" spans="1:40" ht="14.4" x14ac:dyDescent="0.3">
      <c r="A15" s="316" t="s">
        <v>2890</v>
      </c>
      <c r="B15" s="313">
        <v>36775</v>
      </c>
      <c r="C15" s="316" t="s">
        <v>2889</v>
      </c>
      <c r="D15" s="316" t="s">
        <v>102</v>
      </c>
      <c r="E15" s="316" t="s">
        <v>1372</v>
      </c>
      <c r="F15" s="316" t="s">
        <v>1230</v>
      </c>
      <c r="G15" s="639" t="s">
        <v>2920</v>
      </c>
      <c r="H15" s="1208"/>
      <c r="I15" s="314">
        <v>5445.4</v>
      </c>
      <c r="K15" s="314">
        <v>2365.0261431427002</v>
      </c>
      <c r="L15" s="314">
        <v>41.170514190554613</v>
      </c>
    </row>
    <row r="16" spans="1:40" ht="14.4" x14ac:dyDescent="0.3">
      <c r="A16" s="316" t="s">
        <v>2860</v>
      </c>
      <c r="B16" s="313">
        <v>36775</v>
      </c>
      <c r="C16" s="316" t="s">
        <v>2859</v>
      </c>
      <c r="D16" s="316" t="s">
        <v>102</v>
      </c>
      <c r="E16" s="316" t="s">
        <v>1372</v>
      </c>
      <c r="F16" s="316" t="s">
        <v>1230</v>
      </c>
      <c r="G16" s="639" t="s">
        <v>2920</v>
      </c>
      <c r="H16" s="1208"/>
      <c r="I16" s="314">
        <v>5445.4</v>
      </c>
      <c r="K16" s="314">
        <v>2365.0261431427002</v>
      </c>
      <c r="L16" s="314">
        <v>41.170514190554613</v>
      </c>
    </row>
    <row r="17" spans="1:12" ht="14.4" x14ac:dyDescent="0.3">
      <c r="A17" s="316" t="s">
        <v>2852</v>
      </c>
      <c r="B17" s="313">
        <v>36775</v>
      </c>
      <c r="C17" s="316" t="s">
        <v>2851</v>
      </c>
      <c r="D17" s="316" t="s">
        <v>102</v>
      </c>
      <c r="E17" s="316" t="s">
        <v>1372</v>
      </c>
      <c r="F17" s="316" t="s">
        <v>1230</v>
      </c>
      <c r="G17" s="639" t="s">
        <v>2920</v>
      </c>
      <c r="H17" s="1208"/>
      <c r="I17" s="314">
        <v>3536.4</v>
      </c>
      <c r="K17" s="314">
        <v>1573.8829519500732</v>
      </c>
      <c r="L17" s="314">
        <v>27.681188233852385</v>
      </c>
    </row>
    <row r="18" spans="1:12" ht="14.4" x14ac:dyDescent="0.3">
      <c r="A18" s="316" t="s">
        <v>2856</v>
      </c>
      <c r="B18" s="313">
        <v>36775</v>
      </c>
      <c r="C18" s="316" t="s">
        <v>2855</v>
      </c>
      <c r="D18" s="316" t="s">
        <v>102</v>
      </c>
      <c r="E18" s="316" t="s">
        <v>1372</v>
      </c>
      <c r="F18" s="316" t="s">
        <v>1230</v>
      </c>
      <c r="G18" s="639" t="s">
        <v>2920</v>
      </c>
      <c r="H18" s="1208"/>
      <c r="I18" s="314">
        <v>3536.4</v>
      </c>
      <c r="K18" s="314">
        <v>1573.8829519500732</v>
      </c>
      <c r="L18" s="314">
        <v>27.681188233852385</v>
      </c>
    </row>
    <row r="19" spans="1:12" ht="14.4" x14ac:dyDescent="0.3">
      <c r="A19" s="316" t="s">
        <v>2848</v>
      </c>
      <c r="B19" s="313">
        <v>36775</v>
      </c>
      <c r="C19" s="316" t="s">
        <v>2847</v>
      </c>
      <c r="D19" s="316" t="s">
        <v>102</v>
      </c>
      <c r="E19" s="316" t="s">
        <v>1372</v>
      </c>
      <c r="F19" s="316" t="s">
        <v>1230</v>
      </c>
      <c r="G19" s="639" t="s">
        <v>2920</v>
      </c>
      <c r="H19" s="1208"/>
      <c r="I19" s="314">
        <v>4165.3</v>
      </c>
      <c r="K19" s="314">
        <v>1819.0255215530397</v>
      </c>
      <c r="L19" s="314">
        <v>15.99277838277817</v>
      </c>
    </row>
    <row r="20" spans="1:12" ht="14.4" x14ac:dyDescent="0.3">
      <c r="A20" s="316" t="s">
        <v>2844</v>
      </c>
      <c r="B20" s="313">
        <v>36775</v>
      </c>
      <c r="C20" s="316" t="s">
        <v>2843</v>
      </c>
      <c r="D20" s="316" t="s">
        <v>102</v>
      </c>
      <c r="E20" s="316" t="s">
        <v>1372</v>
      </c>
      <c r="F20" s="316" t="s">
        <v>1230</v>
      </c>
      <c r="G20" s="639" t="s">
        <v>2920</v>
      </c>
      <c r="H20" s="1208"/>
      <c r="I20" s="314">
        <v>4165.3</v>
      </c>
      <c r="K20" s="314">
        <v>1819.0255215530397</v>
      </c>
      <c r="L20" s="314">
        <v>15.99277838277817</v>
      </c>
    </row>
    <row r="21" spans="1:12" ht="14.4" x14ac:dyDescent="0.3">
      <c r="A21" s="316" t="s">
        <v>2892</v>
      </c>
      <c r="B21" s="313">
        <v>36775</v>
      </c>
      <c r="C21" s="316" t="s">
        <v>2889</v>
      </c>
      <c r="D21" s="316" t="s">
        <v>102</v>
      </c>
      <c r="E21" s="316" t="s">
        <v>1372</v>
      </c>
      <c r="F21" s="316" t="s">
        <v>1230</v>
      </c>
      <c r="G21" s="639" t="s">
        <v>2920</v>
      </c>
      <c r="H21" s="1208"/>
      <c r="I21" s="314">
        <v>5666.5</v>
      </c>
      <c r="K21" s="314">
        <v>2475.5528359794616</v>
      </c>
      <c r="L21" s="314">
        <v>40.515189804136753</v>
      </c>
    </row>
    <row r="22" spans="1:12" ht="14.4" x14ac:dyDescent="0.3">
      <c r="A22" s="316" t="s">
        <v>2861</v>
      </c>
      <c r="B22" s="313">
        <v>36775</v>
      </c>
      <c r="C22" s="316" t="s">
        <v>2859</v>
      </c>
      <c r="D22" s="316" t="s">
        <v>102</v>
      </c>
      <c r="E22" s="316" t="s">
        <v>1372</v>
      </c>
      <c r="F22" s="316" t="s">
        <v>1230</v>
      </c>
      <c r="G22" s="639" t="s">
        <v>2920</v>
      </c>
      <c r="H22" s="1208"/>
      <c r="I22" s="314">
        <v>5666.5</v>
      </c>
      <c r="K22" s="314">
        <v>2475.5528359794616</v>
      </c>
      <c r="L22" s="314">
        <v>40.515189804136753</v>
      </c>
    </row>
    <row r="23" spans="1:12" ht="14.4" x14ac:dyDescent="0.3">
      <c r="A23" s="316" t="s">
        <v>2857</v>
      </c>
      <c r="B23" s="313">
        <v>36775</v>
      </c>
      <c r="C23" s="316" t="s">
        <v>2855</v>
      </c>
      <c r="D23" s="316" t="s">
        <v>102</v>
      </c>
      <c r="E23" s="316" t="s">
        <v>1372</v>
      </c>
      <c r="F23" s="316" t="s">
        <v>1230</v>
      </c>
      <c r="G23" s="639" t="s">
        <v>2920</v>
      </c>
      <c r="H23" s="1208"/>
      <c r="I23" s="314">
        <v>6780.3</v>
      </c>
      <c r="K23" s="314">
        <v>3014.0733397293093</v>
      </c>
      <c r="L23" s="314">
        <v>34.532301859974865</v>
      </c>
    </row>
    <row r="24" spans="1:12" ht="14.4" x14ac:dyDescent="0.3">
      <c r="A24" s="316" t="s">
        <v>2853</v>
      </c>
      <c r="B24" s="313">
        <v>36775</v>
      </c>
      <c r="C24" s="316" t="s">
        <v>2851</v>
      </c>
      <c r="D24" s="316" t="s">
        <v>102</v>
      </c>
      <c r="E24" s="316" t="s">
        <v>1372</v>
      </c>
      <c r="F24" s="316" t="s">
        <v>1230</v>
      </c>
      <c r="G24" s="639" t="s">
        <v>2920</v>
      </c>
      <c r="H24" s="1208"/>
      <c r="I24" s="314">
        <v>6780.3</v>
      </c>
      <c r="K24" s="314">
        <v>3014.0733397293093</v>
      </c>
      <c r="L24" s="314">
        <v>34.532301859974865</v>
      </c>
    </row>
    <row r="25" spans="1:12" ht="14.4" x14ac:dyDescent="0.3">
      <c r="A25" s="316" t="s">
        <v>2849</v>
      </c>
      <c r="B25" s="313">
        <v>36775</v>
      </c>
      <c r="C25" s="316" t="s">
        <v>2847</v>
      </c>
      <c r="D25" s="316" t="s">
        <v>102</v>
      </c>
      <c r="E25" s="316" t="s">
        <v>1372</v>
      </c>
      <c r="F25" s="316" t="s">
        <v>1230</v>
      </c>
      <c r="G25" s="639" t="s">
        <v>2920</v>
      </c>
      <c r="H25" s="1208"/>
      <c r="I25" s="314">
        <v>8073</v>
      </c>
      <c r="K25" s="314">
        <v>3520.7957966995241</v>
      </c>
      <c r="L25" s="314">
        <v>33.104068287312984</v>
      </c>
    </row>
    <row r="26" spans="1:12" ht="14.4" x14ac:dyDescent="0.3">
      <c r="A26" s="316" t="s">
        <v>2845</v>
      </c>
      <c r="B26" s="313">
        <v>36775</v>
      </c>
      <c r="C26" s="316" t="s">
        <v>2843</v>
      </c>
      <c r="D26" s="316" t="s">
        <v>102</v>
      </c>
      <c r="E26" s="316" t="s">
        <v>1372</v>
      </c>
      <c r="F26" s="316" t="s">
        <v>1230</v>
      </c>
      <c r="G26" s="639" t="s">
        <v>2920</v>
      </c>
      <c r="H26" s="1208"/>
      <c r="I26" s="314">
        <v>8073</v>
      </c>
      <c r="K26" s="314">
        <v>3520.7957966995241</v>
      </c>
      <c r="L26" s="314">
        <v>33.104068287312984</v>
      </c>
    </row>
    <row r="27" spans="1:12" x14ac:dyDescent="0.25">
      <c r="A27" s="316" t="s">
        <v>2842</v>
      </c>
      <c r="B27" s="313">
        <v>36775</v>
      </c>
      <c r="C27" s="316" t="s">
        <v>2843</v>
      </c>
      <c r="D27" s="316" t="s">
        <v>102</v>
      </c>
      <c r="E27" s="316" t="s">
        <v>1372</v>
      </c>
      <c r="F27" s="316" t="s">
        <v>495</v>
      </c>
      <c r="G27" s="639" t="s">
        <v>2920</v>
      </c>
      <c r="I27" s="314">
        <v>4671</v>
      </c>
      <c r="K27" s="314">
        <v>1988.6503106689454</v>
      </c>
      <c r="L27" s="314">
        <v>74.337558277845389</v>
      </c>
    </row>
    <row r="28" spans="1:12" x14ac:dyDescent="0.25">
      <c r="A28" s="316" t="s">
        <v>2846</v>
      </c>
      <c r="B28" s="313">
        <v>36775</v>
      </c>
      <c r="C28" s="316" t="s">
        <v>2847</v>
      </c>
      <c r="D28" s="316" t="s">
        <v>102</v>
      </c>
      <c r="E28" s="316" t="s">
        <v>1372</v>
      </c>
      <c r="F28" s="316" t="s">
        <v>495</v>
      </c>
      <c r="G28" s="639" t="s">
        <v>2920</v>
      </c>
      <c r="I28" s="314">
        <v>4671</v>
      </c>
      <c r="K28" s="314">
        <v>1988.6503106689454</v>
      </c>
      <c r="L28" s="314">
        <v>74.337558277845389</v>
      </c>
    </row>
    <row r="29" spans="1:12" x14ac:dyDescent="0.25">
      <c r="A29" s="316" t="s">
        <v>2850</v>
      </c>
      <c r="B29" s="313">
        <v>36775</v>
      </c>
      <c r="C29" s="316" t="s">
        <v>2851</v>
      </c>
      <c r="D29" s="316" t="s">
        <v>102</v>
      </c>
      <c r="E29" s="316" t="s">
        <v>1372</v>
      </c>
      <c r="F29" s="316" t="s">
        <v>495</v>
      </c>
      <c r="G29" s="639" t="s">
        <v>2920</v>
      </c>
      <c r="I29" s="314">
        <v>5752</v>
      </c>
      <c r="K29" s="314">
        <v>2441.0339636230469</v>
      </c>
      <c r="L29" s="314">
        <v>92.650783395767206</v>
      </c>
    </row>
    <row r="30" spans="1:12" x14ac:dyDescent="0.25">
      <c r="A30" s="316" t="s">
        <v>2854</v>
      </c>
      <c r="B30" s="313">
        <v>36775</v>
      </c>
      <c r="C30" s="316" t="s">
        <v>2855</v>
      </c>
      <c r="D30" s="316" t="s">
        <v>102</v>
      </c>
      <c r="E30" s="316" t="s">
        <v>1372</v>
      </c>
      <c r="F30" s="316" t="s">
        <v>495</v>
      </c>
      <c r="G30" s="639" t="s">
        <v>2920</v>
      </c>
      <c r="I30" s="314">
        <v>5752</v>
      </c>
      <c r="K30" s="314">
        <v>2441.0339636230469</v>
      </c>
      <c r="L30" s="314">
        <v>92.650783395767206</v>
      </c>
    </row>
    <row r="31" spans="1:12" x14ac:dyDescent="0.25">
      <c r="G31" s="639"/>
    </row>
    <row r="32" spans="1:12" x14ac:dyDescent="0.25">
      <c r="G32" s="639"/>
    </row>
    <row r="33" spans="7:7" x14ac:dyDescent="0.25">
      <c r="G33" s="639"/>
    </row>
    <row r="34" spans="7:7" x14ac:dyDescent="0.25">
      <c r="G34" s="639"/>
    </row>
    <row r="35" spans="7:7" x14ac:dyDescent="0.25">
      <c r="G35" s="639"/>
    </row>
    <row r="36" spans="7:7" x14ac:dyDescent="0.25">
      <c r="G36" s="639"/>
    </row>
    <row r="37" spans="7:7" x14ac:dyDescent="0.25">
      <c r="G37" s="639"/>
    </row>
    <row r="38" spans="7:7" x14ac:dyDescent="0.25">
      <c r="G38" s="639"/>
    </row>
    <row r="39" spans="7:7" x14ac:dyDescent="0.25">
      <c r="G39" s="639"/>
    </row>
    <row r="40" spans="7:7" x14ac:dyDescent="0.25">
      <c r="G40" s="639"/>
    </row>
    <row r="41" spans="7:7" x14ac:dyDescent="0.25">
      <c r="G41" s="639"/>
    </row>
    <row r="42" spans="7:7" x14ac:dyDescent="0.25">
      <c r="G42" s="639"/>
    </row>
    <row r="43" spans="7:7" x14ac:dyDescent="0.25">
      <c r="G43" s="639"/>
    </row>
    <row r="44" spans="7:7" x14ac:dyDescent="0.25">
      <c r="G44" s="639"/>
    </row>
    <row r="45" spans="7:7" x14ac:dyDescent="0.25">
      <c r="G45" s="639"/>
    </row>
    <row r="46" spans="7:7" x14ac:dyDescent="0.25">
      <c r="G46" s="639"/>
    </row>
    <row r="47" spans="7:7" x14ac:dyDescent="0.25">
      <c r="G47" s="639"/>
    </row>
    <row r="48" spans="7:7" x14ac:dyDescent="0.25">
      <c r="G48" s="639"/>
    </row>
    <row r="49" spans="7:7" x14ac:dyDescent="0.25">
      <c r="G49" s="639"/>
    </row>
    <row r="50" spans="7:7" x14ac:dyDescent="0.25">
      <c r="G50" s="639"/>
    </row>
    <row r="51" spans="7:7" x14ac:dyDescent="0.25">
      <c r="G51" s="639"/>
    </row>
    <row r="52" spans="7:7" x14ac:dyDescent="0.25">
      <c r="G52" s="639"/>
    </row>
    <row r="53" spans="7:7" x14ac:dyDescent="0.25">
      <c r="G53" s="639"/>
    </row>
    <row r="54" spans="7:7" x14ac:dyDescent="0.25">
      <c r="G54" s="639"/>
    </row>
    <row r="55" spans="7:7" x14ac:dyDescent="0.25">
      <c r="G55" s="639"/>
    </row>
    <row r="56" spans="7:7" x14ac:dyDescent="0.25">
      <c r="G56" s="639"/>
    </row>
    <row r="57" spans="7:7" x14ac:dyDescent="0.25">
      <c r="G57" s="639"/>
    </row>
    <row r="58" spans="7:7" x14ac:dyDescent="0.25">
      <c r="G58" s="639"/>
    </row>
    <row r="59" spans="7:7" x14ac:dyDescent="0.25">
      <c r="G59" s="639"/>
    </row>
    <row r="60" spans="7:7" x14ac:dyDescent="0.25">
      <c r="G60" s="639"/>
    </row>
    <row r="61" spans="7:7" x14ac:dyDescent="0.25">
      <c r="G61" s="639"/>
    </row>
    <row r="62" spans="7:7" x14ac:dyDescent="0.25">
      <c r="G62" s="639"/>
    </row>
    <row r="63" spans="7:7" x14ac:dyDescent="0.25">
      <c r="G63" s="639"/>
    </row>
    <row r="64" spans="7:7" x14ac:dyDescent="0.25">
      <c r="G64" s="639"/>
    </row>
    <row r="65" spans="7:7" x14ac:dyDescent="0.25">
      <c r="G65" s="639"/>
    </row>
    <row r="66" spans="7:7" x14ac:dyDescent="0.25">
      <c r="G66" s="639"/>
    </row>
    <row r="67" spans="7:7" x14ac:dyDescent="0.25">
      <c r="G67" s="639"/>
    </row>
    <row r="68" spans="7:7" x14ac:dyDescent="0.25">
      <c r="G68" s="639"/>
    </row>
    <row r="69" spans="7:7" x14ac:dyDescent="0.25">
      <c r="G69" s="639"/>
    </row>
    <row r="70" spans="7:7" x14ac:dyDescent="0.25">
      <c r="G70" s="639"/>
    </row>
    <row r="71" spans="7:7" x14ac:dyDescent="0.25">
      <c r="G71" s="639"/>
    </row>
    <row r="72" spans="7:7" x14ac:dyDescent="0.25">
      <c r="G72" s="639"/>
    </row>
    <row r="73" spans="7:7" x14ac:dyDescent="0.25">
      <c r="G73" s="639"/>
    </row>
    <row r="74" spans="7:7" x14ac:dyDescent="0.25">
      <c r="G74" s="639"/>
    </row>
    <row r="75" spans="7:7" x14ac:dyDescent="0.25">
      <c r="G75" s="639"/>
    </row>
    <row r="76" spans="7:7" x14ac:dyDescent="0.25">
      <c r="G76" s="639"/>
    </row>
    <row r="77" spans="7:7" x14ac:dyDescent="0.25">
      <c r="G77" s="639"/>
    </row>
    <row r="78" spans="7:7" x14ac:dyDescent="0.25">
      <c r="G78" s="639"/>
    </row>
    <row r="79" spans="7:7" x14ac:dyDescent="0.25">
      <c r="G79" s="639"/>
    </row>
    <row r="80" spans="7:7" x14ac:dyDescent="0.25">
      <c r="G80" s="639"/>
    </row>
    <row r="81" spans="7:7" x14ac:dyDescent="0.25">
      <c r="G81" s="639"/>
    </row>
    <row r="82" spans="7:7" x14ac:dyDescent="0.25">
      <c r="G82" s="639"/>
    </row>
    <row r="83" spans="7:7" x14ac:dyDescent="0.25">
      <c r="G83" s="639"/>
    </row>
    <row r="84" spans="7:7" x14ac:dyDescent="0.25">
      <c r="G84" s="639"/>
    </row>
    <row r="85" spans="7:7" x14ac:dyDescent="0.25">
      <c r="G85" s="639"/>
    </row>
    <row r="86" spans="7:7" x14ac:dyDescent="0.25">
      <c r="G86" s="639"/>
    </row>
    <row r="87" spans="7:7" x14ac:dyDescent="0.25">
      <c r="G87" s="639"/>
    </row>
    <row r="88" spans="7:7" x14ac:dyDescent="0.25">
      <c r="G88" s="639"/>
    </row>
    <row r="89" spans="7:7" x14ac:dyDescent="0.25">
      <c r="G89" s="639"/>
    </row>
    <row r="90" spans="7:7" x14ac:dyDescent="0.25">
      <c r="G90" s="639"/>
    </row>
    <row r="91" spans="7:7" x14ac:dyDescent="0.25">
      <c r="G91" s="639"/>
    </row>
    <row r="92" spans="7:7" x14ac:dyDescent="0.25">
      <c r="G92" s="639"/>
    </row>
    <row r="93" spans="7:7" x14ac:dyDescent="0.25">
      <c r="G93" s="639"/>
    </row>
    <row r="94" spans="7:7" x14ac:dyDescent="0.25">
      <c r="G94" s="639"/>
    </row>
    <row r="95" spans="7:7" x14ac:dyDescent="0.25">
      <c r="G95" s="639"/>
    </row>
    <row r="96" spans="7:7" x14ac:dyDescent="0.25">
      <c r="G96" s="639"/>
    </row>
    <row r="97" spans="7:7" x14ac:dyDescent="0.25">
      <c r="G97" s="639"/>
    </row>
    <row r="98" spans="7:7" x14ac:dyDescent="0.25">
      <c r="G98" s="639"/>
    </row>
    <row r="99" spans="7:7" x14ac:dyDescent="0.25">
      <c r="G99" s="639"/>
    </row>
    <row r="100" spans="7:7" x14ac:dyDescent="0.25">
      <c r="G100" s="639"/>
    </row>
    <row r="101" spans="7:7" x14ac:dyDescent="0.25">
      <c r="G101" s="639"/>
    </row>
    <row r="102" spans="7:7" x14ac:dyDescent="0.25">
      <c r="G102" s="639"/>
    </row>
    <row r="103" spans="7:7" x14ac:dyDescent="0.25">
      <c r="G103" s="639"/>
    </row>
    <row r="104" spans="7:7" x14ac:dyDescent="0.25">
      <c r="G104" s="639"/>
    </row>
    <row r="105" spans="7:7" x14ac:dyDescent="0.25">
      <c r="G105" s="639"/>
    </row>
    <row r="106" spans="7:7" x14ac:dyDescent="0.25">
      <c r="G106" s="639"/>
    </row>
    <row r="107" spans="7:7" x14ac:dyDescent="0.25">
      <c r="G107" s="639"/>
    </row>
    <row r="108" spans="7:7" x14ac:dyDescent="0.25">
      <c r="G108" s="639"/>
    </row>
    <row r="109" spans="7:7" x14ac:dyDescent="0.25">
      <c r="G109" s="639"/>
    </row>
    <row r="110" spans="7:7" x14ac:dyDescent="0.25">
      <c r="G110" s="639"/>
    </row>
    <row r="111" spans="7:7" x14ac:dyDescent="0.25">
      <c r="G111" s="639"/>
    </row>
    <row r="112" spans="7:7" x14ac:dyDescent="0.25">
      <c r="G112" s="639"/>
    </row>
    <row r="113" spans="7:23" x14ac:dyDescent="0.25">
      <c r="G113" s="639"/>
    </row>
    <row r="114" spans="7:23" x14ac:dyDescent="0.25">
      <c r="G114" s="639"/>
    </row>
    <row r="115" spans="7:23" x14ac:dyDescent="0.25">
      <c r="G115" s="639"/>
    </row>
    <row r="116" spans="7:23" x14ac:dyDescent="0.25">
      <c r="G116" s="639"/>
    </row>
    <row r="117" spans="7:23" x14ac:dyDescent="0.25">
      <c r="G117" s="639"/>
      <c r="L117" s="1270"/>
      <c r="M117" s="1270"/>
      <c r="N117" s="1270"/>
      <c r="O117" s="1270"/>
      <c r="P117" s="1270"/>
      <c r="Q117" s="1270"/>
      <c r="R117" s="1270"/>
      <c r="S117" s="1270"/>
      <c r="T117" s="1270"/>
      <c r="U117" s="1270"/>
      <c r="V117" s="1270"/>
      <c r="W117" s="1270"/>
    </row>
    <row r="118" spans="7:23" x14ac:dyDescent="0.25">
      <c r="G118" s="639"/>
    </row>
    <row r="119" spans="7:23" x14ac:dyDescent="0.25">
      <c r="G119" s="639"/>
    </row>
    <row r="120" spans="7:23" x14ac:dyDescent="0.25">
      <c r="G120" s="639"/>
    </row>
    <row r="121" spans="7:23" x14ac:dyDescent="0.25">
      <c r="G121" s="639"/>
    </row>
    <row r="122" spans="7:23" x14ac:dyDescent="0.25">
      <c r="G122" s="639"/>
    </row>
    <row r="123" spans="7:23" x14ac:dyDescent="0.25">
      <c r="G123" s="639"/>
    </row>
    <row r="124" spans="7:23" x14ac:dyDescent="0.25">
      <c r="G124" s="639"/>
    </row>
    <row r="125" spans="7:23" x14ac:dyDescent="0.25">
      <c r="G125" s="639"/>
    </row>
    <row r="126" spans="7:23" x14ac:dyDescent="0.25">
      <c r="G126" s="639"/>
    </row>
    <row r="127" spans="7:23" x14ac:dyDescent="0.25">
      <c r="G127" s="639"/>
    </row>
    <row r="128" spans="7:23" x14ac:dyDescent="0.25">
      <c r="G128" s="639"/>
    </row>
    <row r="129" spans="7:7" x14ac:dyDescent="0.25">
      <c r="G129" s="639"/>
    </row>
    <row r="130" spans="7:7" x14ac:dyDescent="0.25">
      <c r="G130" s="639"/>
    </row>
    <row r="131" spans="7:7" x14ac:dyDescent="0.25">
      <c r="G131" s="639"/>
    </row>
    <row r="132" spans="7:7" x14ac:dyDescent="0.25">
      <c r="G132" s="639"/>
    </row>
    <row r="133" spans="7:7" x14ac:dyDescent="0.25">
      <c r="G133" s="639"/>
    </row>
    <row r="134" spans="7:7" x14ac:dyDescent="0.25">
      <c r="G134" s="639"/>
    </row>
    <row r="135" spans="7:7" x14ac:dyDescent="0.25">
      <c r="G135" s="639"/>
    </row>
    <row r="136" spans="7:7" x14ac:dyDescent="0.25">
      <c r="G136" s="639"/>
    </row>
    <row r="137" spans="7:7" x14ac:dyDescent="0.25">
      <c r="G137" s="639"/>
    </row>
    <row r="138" spans="7:7" x14ac:dyDescent="0.25">
      <c r="G138" s="639"/>
    </row>
    <row r="139" spans="7:7" x14ac:dyDescent="0.25">
      <c r="G139" s="639"/>
    </row>
    <row r="140" spans="7:7" x14ac:dyDescent="0.25">
      <c r="G140" s="639"/>
    </row>
    <row r="141" spans="7:7" x14ac:dyDescent="0.25">
      <c r="G141" s="639"/>
    </row>
    <row r="142" spans="7:7" x14ac:dyDescent="0.25">
      <c r="G142" s="639"/>
    </row>
    <row r="143" spans="7:7" x14ac:dyDescent="0.25">
      <c r="G143" s="639"/>
    </row>
    <row r="144" spans="7:7" x14ac:dyDescent="0.25">
      <c r="G144" s="639"/>
    </row>
    <row r="145" spans="7:7" x14ac:dyDescent="0.25">
      <c r="G145" s="639"/>
    </row>
    <row r="146" spans="7:7" x14ac:dyDescent="0.25">
      <c r="G146" s="639"/>
    </row>
    <row r="147" spans="7:7" x14ac:dyDescent="0.25">
      <c r="G147" s="639"/>
    </row>
    <row r="148" spans="7:7" x14ac:dyDescent="0.25">
      <c r="G148" s="639"/>
    </row>
    <row r="149" spans="7:7" x14ac:dyDescent="0.25">
      <c r="G149" s="639"/>
    </row>
    <row r="150" spans="7:7" x14ac:dyDescent="0.25">
      <c r="G150" s="639"/>
    </row>
    <row r="151" spans="7:7" x14ac:dyDescent="0.25">
      <c r="G151" s="639"/>
    </row>
    <row r="152" spans="7:7" x14ac:dyDescent="0.25">
      <c r="G152" s="639"/>
    </row>
    <row r="153" spans="7:7" x14ac:dyDescent="0.25">
      <c r="G153" s="639"/>
    </row>
    <row r="154" spans="7:7" x14ac:dyDescent="0.25">
      <c r="G154" s="639"/>
    </row>
    <row r="155" spans="7:7" x14ac:dyDescent="0.25">
      <c r="G155" s="639"/>
    </row>
    <row r="156" spans="7:7" x14ac:dyDescent="0.25">
      <c r="G156" s="639"/>
    </row>
    <row r="157" spans="7:7" x14ac:dyDescent="0.25">
      <c r="G157" s="639"/>
    </row>
    <row r="158" spans="7:7" x14ac:dyDescent="0.25">
      <c r="G158" s="639"/>
    </row>
    <row r="159" spans="7:7" x14ac:dyDescent="0.25">
      <c r="G159" s="639"/>
    </row>
    <row r="160" spans="7:7" x14ac:dyDescent="0.25">
      <c r="G160" s="639"/>
    </row>
    <row r="161" spans="7:7" x14ac:dyDescent="0.25">
      <c r="G161" s="639"/>
    </row>
    <row r="162" spans="7:7" x14ac:dyDescent="0.25">
      <c r="G162" s="639"/>
    </row>
    <row r="163" spans="7:7" x14ac:dyDescent="0.25">
      <c r="G163" s="639"/>
    </row>
    <row r="164" spans="7:7" x14ac:dyDescent="0.25">
      <c r="G164" s="639"/>
    </row>
    <row r="165" spans="7:7" x14ac:dyDescent="0.25">
      <c r="G165" s="639"/>
    </row>
    <row r="166" spans="7:7" x14ac:dyDescent="0.25">
      <c r="G166" s="639"/>
    </row>
    <row r="167" spans="7:7" x14ac:dyDescent="0.25">
      <c r="G167" s="639"/>
    </row>
    <row r="168" spans="7:7" x14ac:dyDescent="0.25">
      <c r="G168" s="639"/>
    </row>
    <row r="169" spans="7:7" x14ac:dyDescent="0.25">
      <c r="G169" s="639"/>
    </row>
    <row r="170" spans="7:7" x14ac:dyDescent="0.25">
      <c r="G170" s="639"/>
    </row>
    <row r="171" spans="7:7" x14ac:dyDescent="0.25">
      <c r="G171" s="639"/>
    </row>
    <row r="172" spans="7:7" x14ac:dyDescent="0.25">
      <c r="G172" s="639"/>
    </row>
    <row r="173" spans="7:7" x14ac:dyDescent="0.25">
      <c r="G173" s="639"/>
    </row>
    <row r="174" spans="7:7" x14ac:dyDescent="0.25">
      <c r="G174" s="639"/>
    </row>
    <row r="175" spans="7:7" x14ac:dyDescent="0.25">
      <c r="G175" s="639"/>
    </row>
    <row r="176" spans="7:7" x14ac:dyDescent="0.25">
      <c r="G176" s="639"/>
    </row>
    <row r="177" spans="7:7" x14ac:dyDescent="0.25">
      <c r="G177" s="639"/>
    </row>
    <row r="178" spans="7:7" x14ac:dyDescent="0.25">
      <c r="G178" s="639"/>
    </row>
    <row r="179" spans="7:7" x14ac:dyDescent="0.25">
      <c r="G179" s="639"/>
    </row>
    <row r="180" spans="7:7" x14ac:dyDescent="0.25">
      <c r="G180" s="639"/>
    </row>
    <row r="181" spans="7:7" x14ac:dyDescent="0.25">
      <c r="G181" s="639"/>
    </row>
    <row r="182" spans="7:7" x14ac:dyDescent="0.25">
      <c r="G182" s="639"/>
    </row>
    <row r="183" spans="7:7" x14ac:dyDescent="0.25">
      <c r="G183" s="639"/>
    </row>
    <row r="184" spans="7:7" x14ac:dyDescent="0.25">
      <c r="G184" s="639"/>
    </row>
    <row r="185" spans="7:7" x14ac:dyDescent="0.25">
      <c r="G185" s="639"/>
    </row>
    <row r="186" spans="7:7" x14ac:dyDescent="0.25">
      <c r="G186" s="639"/>
    </row>
    <row r="187" spans="7:7" x14ac:dyDescent="0.25">
      <c r="G187" s="639"/>
    </row>
    <row r="188" spans="7:7" x14ac:dyDescent="0.25">
      <c r="G188" s="639"/>
    </row>
    <row r="189" spans="7:7" x14ac:dyDescent="0.25">
      <c r="G189" s="639"/>
    </row>
    <row r="190" spans="7:7" x14ac:dyDescent="0.25">
      <c r="G190" s="639"/>
    </row>
    <row r="191" spans="7:7" x14ac:dyDescent="0.25">
      <c r="G191" s="639"/>
    </row>
    <row r="192" spans="7:7" x14ac:dyDescent="0.25">
      <c r="G192" s="639"/>
    </row>
    <row r="193" spans="7:7" x14ac:dyDescent="0.25">
      <c r="G193" s="639"/>
    </row>
    <row r="194" spans="7:7" x14ac:dyDescent="0.25">
      <c r="G194" s="639"/>
    </row>
    <row r="195" spans="7:7" x14ac:dyDescent="0.25">
      <c r="G195" s="639"/>
    </row>
    <row r="196" spans="7:7" x14ac:dyDescent="0.25">
      <c r="G196" s="639"/>
    </row>
    <row r="197" spans="7:7" x14ac:dyDescent="0.25">
      <c r="G197" s="639"/>
    </row>
    <row r="198" spans="7:7" x14ac:dyDescent="0.25">
      <c r="G198" s="639"/>
    </row>
    <row r="199" spans="7:7" x14ac:dyDescent="0.25">
      <c r="G199" s="639"/>
    </row>
    <row r="200" spans="7:7" x14ac:dyDescent="0.25">
      <c r="G200" s="639"/>
    </row>
    <row r="201" spans="7:7" x14ac:dyDescent="0.25">
      <c r="G201" s="639"/>
    </row>
    <row r="202" spans="7:7" x14ac:dyDescent="0.25">
      <c r="G202" s="639"/>
    </row>
    <row r="203" spans="7:7" x14ac:dyDescent="0.25">
      <c r="G203" s="639"/>
    </row>
    <row r="204" spans="7:7" x14ac:dyDescent="0.25">
      <c r="G204" s="639"/>
    </row>
    <row r="205" spans="7:7" x14ac:dyDescent="0.25">
      <c r="G205" s="639"/>
    </row>
    <row r="206" spans="7:7" x14ac:dyDescent="0.25">
      <c r="G206" s="639"/>
    </row>
    <row r="207" spans="7:7" x14ac:dyDescent="0.25">
      <c r="G207" s="639"/>
    </row>
    <row r="208" spans="7:7" x14ac:dyDescent="0.25">
      <c r="G208" s="639"/>
    </row>
    <row r="209" spans="7:7" x14ac:dyDescent="0.25">
      <c r="G209" s="639"/>
    </row>
    <row r="210" spans="7:7" x14ac:dyDescent="0.25">
      <c r="G210" s="639"/>
    </row>
    <row r="211" spans="7:7" x14ac:dyDescent="0.25">
      <c r="G211" s="639"/>
    </row>
    <row r="212" spans="7:7" x14ac:dyDescent="0.25">
      <c r="G212" s="639"/>
    </row>
    <row r="213" spans="7:7" x14ac:dyDescent="0.25">
      <c r="G213" s="639"/>
    </row>
    <row r="214" spans="7:7" x14ac:dyDescent="0.25">
      <c r="G214" s="639"/>
    </row>
    <row r="215" spans="7:7" x14ac:dyDescent="0.25">
      <c r="G215" s="639"/>
    </row>
    <row r="216" spans="7:7" x14ac:dyDescent="0.25">
      <c r="G216" s="639"/>
    </row>
    <row r="217" spans="7:7" x14ac:dyDescent="0.25">
      <c r="G217" s="639"/>
    </row>
    <row r="218" spans="7:7" x14ac:dyDescent="0.25">
      <c r="G218" s="639"/>
    </row>
    <row r="219" spans="7:7" x14ac:dyDescent="0.25">
      <c r="G219" s="639"/>
    </row>
    <row r="220" spans="7:7" x14ac:dyDescent="0.25">
      <c r="G220" s="639"/>
    </row>
    <row r="221" spans="7:7" x14ac:dyDescent="0.25">
      <c r="G221" s="639"/>
    </row>
    <row r="222" spans="7:7" x14ac:dyDescent="0.25">
      <c r="G222" s="639"/>
    </row>
    <row r="223" spans="7:7" x14ac:dyDescent="0.25">
      <c r="G223" s="639"/>
    </row>
    <row r="224" spans="7:7" x14ac:dyDescent="0.25">
      <c r="G224" s="639"/>
    </row>
    <row r="225" spans="7:7" x14ac:dyDescent="0.25">
      <c r="G225" s="639"/>
    </row>
    <row r="226" spans="7:7" x14ac:dyDescent="0.25">
      <c r="G226" s="639"/>
    </row>
    <row r="227" spans="7:7" x14ac:dyDescent="0.25">
      <c r="G227" s="639"/>
    </row>
    <row r="228" spans="7:7" x14ac:dyDescent="0.25">
      <c r="G228" s="639"/>
    </row>
    <row r="229" spans="7:7" x14ac:dyDescent="0.25">
      <c r="G229" s="639"/>
    </row>
    <row r="230" spans="7:7" x14ac:dyDescent="0.25">
      <c r="G230" s="639"/>
    </row>
    <row r="231" spans="7:7" x14ac:dyDescent="0.25">
      <c r="G231" s="639"/>
    </row>
    <row r="232" spans="7:7" x14ac:dyDescent="0.25">
      <c r="G232" s="639"/>
    </row>
    <row r="233" spans="7:7" x14ac:dyDescent="0.25">
      <c r="G233" s="639"/>
    </row>
    <row r="234" spans="7:7" x14ac:dyDescent="0.25">
      <c r="G234" s="639"/>
    </row>
    <row r="235" spans="7:7" x14ac:dyDescent="0.25">
      <c r="G235" s="639"/>
    </row>
    <row r="236" spans="7:7" x14ac:dyDescent="0.25">
      <c r="G236" s="639"/>
    </row>
    <row r="237" spans="7:7" x14ac:dyDescent="0.25">
      <c r="G237" s="639"/>
    </row>
    <row r="238" spans="7:7" x14ac:dyDescent="0.25">
      <c r="G238" s="639"/>
    </row>
    <row r="239" spans="7:7" x14ac:dyDescent="0.25">
      <c r="G239" s="639"/>
    </row>
    <row r="240" spans="7:7" x14ac:dyDescent="0.25">
      <c r="G240" s="639"/>
    </row>
    <row r="241" spans="7:7" x14ac:dyDescent="0.25">
      <c r="G241" s="639"/>
    </row>
    <row r="242" spans="7:7" x14ac:dyDescent="0.25">
      <c r="G242" s="639"/>
    </row>
    <row r="243" spans="7:7" x14ac:dyDescent="0.25">
      <c r="G243" s="639"/>
    </row>
    <row r="244" spans="7:7" x14ac:dyDescent="0.25">
      <c r="G244" s="639"/>
    </row>
    <row r="245" spans="7:7" x14ac:dyDescent="0.25">
      <c r="G245" s="639"/>
    </row>
    <row r="246" spans="7:7" x14ac:dyDescent="0.25">
      <c r="G246" s="639"/>
    </row>
    <row r="247" spans="7:7" x14ac:dyDescent="0.25">
      <c r="G247" s="639"/>
    </row>
    <row r="248" spans="7:7" x14ac:dyDescent="0.25">
      <c r="G248" s="639"/>
    </row>
    <row r="249" spans="7:7" x14ac:dyDescent="0.25">
      <c r="G249" s="639"/>
    </row>
    <row r="250" spans="7:7" x14ac:dyDescent="0.25">
      <c r="G250" s="639"/>
    </row>
    <row r="251" spans="7:7" x14ac:dyDescent="0.25">
      <c r="G251" s="639"/>
    </row>
    <row r="252" spans="7:7" x14ac:dyDescent="0.25">
      <c r="G252" s="639"/>
    </row>
    <row r="253" spans="7:7" x14ac:dyDescent="0.25">
      <c r="G253" s="639"/>
    </row>
    <row r="254" spans="7:7" x14ac:dyDescent="0.25">
      <c r="G254" s="639"/>
    </row>
    <row r="255" spans="7:7" x14ac:dyDescent="0.25">
      <c r="G255" s="639"/>
    </row>
    <row r="256" spans="7:7" x14ac:dyDescent="0.25">
      <c r="G256" s="639"/>
    </row>
    <row r="257" spans="7:7" x14ac:dyDescent="0.25">
      <c r="G257" s="639"/>
    </row>
    <row r="258" spans="7:7" x14ac:dyDescent="0.25">
      <c r="G258" s="639"/>
    </row>
    <row r="259" spans="7:7" x14ac:dyDescent="0.25">
      <c r="G259" s="639"/>
    </row>
    <row r="260" spans="7:7" x14ac:dyDescent="0.25">
      <c r="G260" s="639"/>
    </row>
    <row r="261" spans="7:7" x14ac:dyDescent="0.25">
      <c r="G261" s="639"/>
    </row>
    <row r="262" spans="7:7" x14ac:dyDescent="0.25">
      <c r="G262" s="639"/>
    </row>
    <row r="263" spans="7:7" x14ac:dyDescent="0.25">
      <c r="G263" s="639"/>
    </row>
    <row r="264" spans="7:7" x14ac:dyDescent="0.25">
      <c r="G264" s="639"/>
    </row>
    <row r="265" spans="7:7" x14ac:dyDescent="0.25">
      <c r="G265" s="639"/>
    </row>
    <row r="266" spans="7:7" x14ac:dyDescent="0.25">
      <c r="G266" s="639"/>
    </row>
    <row r="267" spans="7:7" x14ac:dyDescent="0.25">
      <c r="G267" s="639"/>
    </row>
    <row r="268" spans="7:7" x14ac:dyDescent="0.25">
      <c r="G268" s="639"/>
    </row>
    <row r="269" spans="7:7" x14ac:dyDescent="0.25">
      <c r="G269" s="639"/>
    </row>
    <row r="270" spans="7:7" x14ac:dyDescent="0.25">
      <c r="G270" s="639"/>
    </row>
    <row r="271" spans="7:7" x14ac:dyDescent="0.25">
      <c r="G271" s="639"/>
    </row>
    <row r="272" spans="7:7" x14ac:dyDescent="0.25">
      <c r="G272" s="639"/>
    </row>
    <row r="273" spans="7:7" x14ac:dyDescent="0.25">
      <c r="G273" s="639"/>
    </row>
    <row r="274" spans="7:7" x14ac:dyDescent="0.25">
      <c r="G274" s="639"/>
    </row>
    <row r="275" spans="7:7" x14ac:dyDescent="0.25">
      <c r="G275" s="639"/>
    </row>
    <row r="276" spans="7:7" x14ac:dyDescent="0.25">
      <c r="G276" s="639"/>
    </row>
    <row r="277" spans="7:7" x14ac:dyDescent="0.25">
      <c r="G277" s="639"/>
    </row>
    <row r="278" spans="7:7" x14ac:dyDescent="0.25">
      <c r="G278" s="639"/>
    </row>
    <row r="279" spans="7:7" x14ac:dyDescent="0.25">
      <c r="G279" s="639"/>
    </row>
    <row r="280" spans="7:7" x14ac:dyDescent="0.25">
      <c r="G280" s="639"/>
    </row>
    <row r="281" spans="7:7" x14ac:dyDescent="0.25">
      <c r="G281" s="639"/>
    </row>
    <row r="282" spans="7:7" x14ac:dyDescent="0.25">
      <c r="G282" s="639"/>
    </row>
    <row r="283" spans="7:7" x14ac:dyDescent="0.25">
      <c r="G283" s="639"/>
    </row>
    <row r="284" spans="7:7" x14ac:dyDescent="0.25">
      <c r="G284" s="639"/>
    </row>
    <row r="285" spans="7:7" x14ac:dyDescent="0.25">
      <c r="G285" s="639"/>
    </row>
    <row r="286" spans="7:7" x14ac:dyDescent="0.25">
      <c r="G286" s="639"/>
    </row>
    <row r="287" spans="7:7" x14ac:dyDescent="0.25">
      <c r="G287" s="639"/>
    </row>
    <row r="288" spans="7:7" x14ac:dyDescent="0.25">
      <c r="G288" s="639"/>
    </row>
    <row r="289" spans="7:7" x14ac:dyDescent="0.25">
      <c r="G289" s="639"/>
    </row>
    <row r="290" spans="7:7" x14ac:dyDescent="0.25">
      <c r="G290" s="639"/>
    </row>
    <row r="291" spans="7:7" x14ac:dyDescent="0.25">
      <c r="G291" s="639"/>
    </row>
    <row r="292" spans="7:7" x14ac:dyDescent="0.25">
      <c r="G292" s="639"/>
    </row>
    <row r="293" spans="7:7" x14ac:dyDescent="0.25">
      <c r="G293" s="639"/>
    </row>
    <row r="294" spans="7:7" x14ac:dyDescent="0.25">
      <c r="G294" s="639"/>
    </row>
    <row r="295" spans="7:7" x14ac:dyDescent="0.25">
      <c r="G295" s="639"/>
    </row>
    <row r="296" spans="7:7" x14ac:dyDescent="0.25">
      <c r="G296" s="639"/>
    </row>
    <row r="297" spans="7:7" x14ac:dyDescent="0.25">
      <c r="G297" s="639"/>
    </row>
    <row r="298" spans="7:7" x14ac:dyDescent="0.25">
      <c r="G298" s="639"/>
    </row>
    <row r="299" spans="7:7" x14ac:dyDescent="0.25">
      <c r="G299" s="639"/>
    </row>
    <row r="300" spans="7:7" x14ac:dyDescent="0.25">
      <c r="G300" s="639"/>
    </row>
    <row r="301" spans="7:7" x14ac:dyDescent="0.25">
      <c r="G301" s="639"/>
    </row>
    <row r="302" spans="7:7" x14ac:dyDescent="0.25">
      <c r="G302" s="639"/>
    </row>
    <row r="303" spans="7:7" x14ac:dyDescent="0.25">
      <c r="G303" s="639"/>
    </row>
    <row r="304" spans="7:7" x14ac:dyDescent="0.25">
      <c r="G304" s="639"/>
    </row>
    <row r="305" spans="7:7" x14ac:dyDescent="0.25">
      <c r="G305" s="639"/>
    </row>
    <row r="306" spans="7:7" x14ac:dyDescent="0.25">
      <c r="G306" s="639"/>
    </row>
    <row r="307" spans="7:7" x14ac:dyDescent="0.25">
      <c r="G307" s="639"/>
    </row>
    <row r="308" spans="7:7" x14ac:dyDescent="0.25">
      <c r="G308" s="639"/>
    </row>
    <row r="309" spans="7:7" x14ac:dyDescent="0.25">
      <c r="G309" s="639"/>
    </row>
    <row r="310" spans="7:7" x14ac:dyDescent="0.25">
      <c r="G310" s="639"/>
    </row>
    <row r="311" spans="7:7" x14ac:dyDescent="0.25">
      <c r="G311" s="639"/>
    </row>
    <row r="312" spans="7:7" x14ac:dyDescent="0.25">
      <c r="G312" s="639"/>
    </row>
    <row r="313" spans="7:7" x14ac:dyDescent="0.25">
      <c r="G313" s="639"/>
    </row>
    <row r="314" spans="7:7" x14ac:dyDescent="0.25">
      <c r="G314" s="639"/>
    </row>
    <row r="315" spans="7:7" x14ac:dyDescent="0.25">
      <c r="G315" s="639"/>
    </row>
    <row r="316" spans="7:7" x14ac:dyDescent="0.25">
      <c r="G316" s="639"/>
    </row>
    <row r="317" spans="7:7" x14ac:dyDescent="0.25">
      <c r="G317" s="639"/>
    </row>
    <row r="318" spans="7:7" x14ac:dyDescent="0.25">
      <c r="G318" s="639"/>
    </row>
    <row r="319" spans="7:7" x14ac:dyDescent="0.25">
      <c r="G319" s="639"/>
    </row>
    <row r="320" spans="7:7" x14ac:dyDescent="0.25">
      <c r="G320" s="639"/>
    </row>
    <row r="321" spans="7:7" x14ac:dyDescent="0.25">
      <c r="G321" s="639"/>
    </row>
    <row r="322" spans="7:7" x14ac:dyDescent="0.25">
      <c r="G322" s="639"/>
    </row>
    <row r="323" spans="7:7" x14ac:dyDescent="0.25">
      <c r="G323" s="639"/>
    </row>
    <row r="324" spans="7:7" x14ac:dyDescent="0.25">
      <c r="G324" s="639"/>
    </row>
    <row r="325" spans="7:7" x14ac:dyDescent="0.25">
      <c r="G325" s="639"/>
    </row>
    <row r="326" spans="7:7" x14ac:dyDescent="0.25">
      <c r="G326" s="639"/>
    </row>
    <row r="327" spans="7:7" x14ac:dyDescent="0.25">
      <c r="G327" s="639"/>
    </row>
    <row r="328" spans="7:7" x14ac:dyDescent="0.25">
      <c r="G328" s="639"/>
    </row>
    <row r="329" spans="7:7" x14ac:dyDescent="0.25">
      <c r="G329" s="639"/>
    </row>
    <row r="330" spans="7:7" x14ac:dyDescent="0.25">
      <c r="G330" s="639"/>
    </row>
    <row r="331" spans="7:7" x14ac:dyDescent="0.25">
      <c r="G331" s="639"/>
    </row>
    <row r="332" spans="7:7" x14ac:dyDescent="0.25">
      <c r="G332" s="639"/>
    </row>
    <row r="333" spans="7:7" x14ac:dyDescent="0.25">
      <c r="G333" s="639"/>
    </row>
    <row r="334" spans="7:7" x14ac:dyDescent="0.25">
      <c r="G334" s="639"/>
    </row>
    <row r="335" spans="7:7" x14ac:dyDescent="0.25">
      <c r="G335" s="639"/>
    </row>
    <row r="336" spans="7:7" x14ac:dyDescent="0.25">
      <c r="G336" s="639"/>
    </row>
    <row r="337" spans="7:7" x14ac:dyDescent="0.25">
      <c r="G337" s="639"/>
    </row>
    <row r="338" spans="7:7" x14ac:dyDescent="0.25">
      <c r="G338" s="639"/>
    </row>
    <row r="339" spans="7:7" x14ac:dyDescent="0.25">
      <c r="G339" s="639"/>
    </row>
    <row r="340" spans="7:7" x14ac:dyDescent="0.25">
      <c r="G340" s="639"/>
    </row>
    <row r="341" spans="7:7" x14ac:dyDescent="0.25">
      <c r="G341" s="639"/>
    </row>
    <row r="342" spans="7:7" x14ac:dyDescent="0.25">
      <c r="G342" s="639"/>
    </row>
    <row r="343" spans="7:7" x14ac:dyDescent="0.25">
      <c r="G343" s="639"/>
    </row>
    <row r="344" spans="7:7" x14ac:dyDescent="0.25">
      <c r="G344" s="639"/>
    </row>
    <row r="345" spans="7:7" x14ac:dyDescent="0.25">
      <c r="G345" s="639"/>
    </row>
    <row r="346" spans="7:7" x14ac:dyDescent="0.25">
      <c r="G346" s="639"/>
    </row>
    <row r="347" spans="7:7" x14ac:dyDescent="0.25">
      <c r="G347" s="639"/>
    </row>
    <row r="348" spans="7:7" x14ac:dyDescent="0.25">
      <c r="G348" s="639"/>
    </row>
    <row r="349" spans="7:7" x14ac:dyDescent="0.25">
      <c r="G349" s="639"/>
    </row>
    <row r="350" spans="7:7" x14ac:dyDescent="0.25">
      <c r="G350" s="639"/>
    </row>
    <row r="351" spans="7:7" x14ac:dyDescent="0.25">
      <c r="G351" s="639"/>
    </row>
    <row r="352" spans="7:7" x14ac:dyDescent="0.25">
      <c r="G352" s="639"/>
    </row>
    <row r="353" spans="7:7" x14ac:dyDescent="0.25">
      <c r="G353" s="639"/>
    </row>
    <row r="354" spans="7:7" x14ac:dyDescent="0.25">
      <c r="G354" s="639"/>
    </row>
    <row r="355" spans="7:7" x14ac:dyDescent="0.25">
      <c r="G355" s="639"/>
    </row>
    <row r="356" spans="7:7" x14ac:dyDescent="0.25">
      <c r="G356" s="639"/>
    </row>
    <row r="357" spans="7:7" x14ac:dyDescent="0.25">
      <c r="G357" s="639"/>
    </row>
    <row r="358" spans="7:7" x14ac:dyDescent="0.25">
      <c r="G358" s="639"/>
    </row>
    <row r="359" spans="7:7" x14ac:dyDescent="0.25">
      <c r="G359" s="639"/>
    </row>
    <row r="360" spans="7:7" x14ac:dyDescent="0.25">
      <c r="G360" s="639"/>
    </row>
    <row r="361" spans="7:7" x14ac:dyDescent="0.25">
      <c r="G361" s="639"/>
    </row>
    <row r="362" spans="7:7" x14ac:dyDescent="0.25">
      <c r="G362" s="639"/>
    </row>
    <row r="363" spans="7:7" x14ac:dyDescent="0.25">
      <c r="G363" s="639"/>
    </row>
    <row r="364" spans="7:7" x14ac:dyDescent="0.25">
      <c r="G364" s="639"/>
    </row>
    <row r="365" spans="7:7" x14ac:dyDescent="0.25">
      <c r="G365" s="639"/>
    </row>
    <row r="366" spans="7:7" x14ac:dyDescent="0.25">
      <c r="G366" s="639"/>
    </row>
    <row r="367" spans="7:7" x14ac:dyDescent="0.25">
      <c r="G367" s="639"/>
    </row>
    <row r="368" spans="7:7" x14ac:dyDescent="0.25">
      <c r="G368" s="639"/>
    </row>
    <row r="369" spans="1:23" x14ac:dyDescent="0.25">
      <c r="A369" s="1271"/>
      <c r="B369" s="1272"/>
      <c r="C369" s="1172"/>
      <c r="D369" s="1172"/>
      <c r="E369" s="1172"/>
      <c r="G369" s="639"/>
      <c r="I369" s="1226"/>
      <c r="J369" s="1226"/>
      <c r="K369" s="1226"/>
      <c r="L369" s="1273"/>
      <c r="M369" s="1273"/>
      <c r="N369" s="1273"/>
      <c r="O369" s="1273"/>
      <c r="P369" s="1273"/>
      <c r="Q369" s="1273"/>
      <c r="R369" s="1273"/>
      <c r="S369" s="1273"/>
      <c r="T369" s="1273"/>
      <c r="U369" s="1273"/>
      <c r="V369" s="1273"/>
      <c r="W369" s="1273"/>
    </row>
    <row r="370" spans="1:23" x14ac:dyDescent="0.25">
      <c r="A370" s="1271"/>
      <c r="G370" s="639"/>
      <c r="J370" s="1274"/>
      <c r="L370" s="1275"/>
      <c r="M370" s="1275"/>
      <c r="N370" s="1275"/>
      <c r="O370" s="1275"/>
      <c r="P370" s="1275"/>
      <c r="Q370" s="1275"/>
      <c r="R370" s="1275"/>
      <c r="S370" s="1275"/>
      <c r="T370" s="1275"/>
      <c r="U370" s="1275"/>
      <c r="V370" s="1275"/>
      <c r="W370" s="1275"/>
    </row>
    <row r="371" spans="1:23" x14ac:dyDescent="0.25">
      <c r="G371" s="639"/>
    </row>
    <row r="372" spans="1:23" x14ac:dyDescent="0.25">
      <c r="A372" s="1271"/>
      <c r="G372" s="639"/>
      <c r="L372" s="1275"/>
      <c r="M372" s="1275"/>
      <c r="N372" s="1275"/>
      <c r="O372" s="1275"/>
      <c r="P372" s="1275"/>
      <c r="Q372" s="1275"/>
      <c r="R372" s="1275"/>
      <c r="S372" s="1275"/>
      <c r="T372" s="1275"/>
      <c r="U372" s="1275"/>
      <c r="V372" s="1275"/>
      <c r="W372" s="1275"/>
    </row>
    <row r="373" spans="1:23" x14ac:dyDescent="0.25">
      <c r="G373" s="639"/>
    </row>
    <row r="374" spans="1:23" x14ac:dyDescent="0.25">
      <c r="A374" s="1271"/>
      <c r="G374" s="639"/>
      <c r="L374" s="1275"/>
      <c r="M374" s="1275"/>
      <c r="N374" s="1275"/>
      <c r="O374" s="1275"/>
      <c r="P374" s="1275"/>
      <c r="Q374" s="1275"/>
      <c r="R374" s="1275"/>
      <c r="S374" s="1275"/>
      <c r="T374" s="1275"/>
      <c r="U374" s="1275"/>
      <c r="V374" s="1275"/>
      <c r="W374" s="1275"/>
    </row>
    <row r="375" spans="1:23" x14ac:dyDescent="0.25">
      <c r="G375" s="639"/>
    </row>
    <row r="376" spans="1:23" x14ac:dyDescent="0.25">
      <c r="G376" s="639"/>
    </row>
    <row r="377" spans="1:23" x14ac:dyDescent="0.25">
      <c r="A377" s="1271"/>
      <c r="G377" s="639"/>
      <c r="L377" s="1275"/>
      <c r="M377" s="1275"/>
      <c r="N377" s="1275"/>
      <c r="O377" s="1275"/>
      <c r="P377" s="1275"/>
      <c r="Q377" s="1275"/>
      <c r="R377" s="1275"/>
      <c r="S377" s="1275"/>
      <c r="T377" s="1275"/>
      <c r="U377" s="1275"/>
      <c r="V377" s="1275"/>
      <c r="W377" s="1275"/>
    </row>
    <row r="378" spans="1:23" x14ac:dyDescent="0.25">
      <c r="A378" s="1271"/>
      <c r="G378" s="639"/>
      <c r="L378" s="1275"/>
      <c r="M378" s="1275"/>
      <c r="N378" s="1275"/>
      <c r="O378" s="1275"/>
      <c r="P378" s="1275"/>
      <c r="Q378" s="1275"/>
      <c r="R378" s="1275"/>
      <c r="S378" s="1275"/>
      <c r="T378" s="1275"/>
      <c r="U378" s="1275"/>
      <c r="V378" s="1275"/>
      <c r="W378" s="1275"/>
    </row>
    <row r="379" spans="1:23" x14ac:dyDescent="0.25">
      <c r="G379" s="639"/>
    </row>
    <row r="380" spans="1:23" x14ac:dyDescent="0.25">
      <c r="A380" s="1271"/>
      <c r="B380" s="1272"/>
      <c r="C380" s="1172"/>
      <c r="D380" s="1172"/>
      <c r="E380" s="1172"/>
      <c r="G380" s="639"/>
      <c r="L380" s="1275"/>
      <c r="M380" s="1275"/>
      <c r="N380" s="1275"/>
      <c r="O380" s="1275"/>
      <c r="P380" s="1275"/>
      <c r="Q380" s="1275"/>
      <c r="R380" s="1275"/>
      <c r="S380" s="1275"/>
      <c r="T380" s="1275"/>
      <c r="U380" s="1275"/>
      <c r="V380" s="1275"/>
      <c r="W380" s="1275"/>
    </row>
    <row r="381" spans="1:23" x14ac:dyDescent="0.25">
      <c r="G381" s="639"/>
    </row>
    <row r="382" spans="1:23" x14ac:dyDescent="0.25">
      <c r="A382" s="1271"/>
      <c r="G382" s="639"/>
      <c r="L382" s="1275"/>
      <c r="M382" s="1275"/>
      <c r="N382" s="1275"/>
      <c r="O382" s="1275"/>
      <c r="P382" s="1275"/>
      <c r="Q382" s="1275"/>
      <c r="R382" s="1275"/>
      <c r="S382" s="1275"/>
      <c r="T382" s="1275"/>
      <c r="U382" s="1275"/>
      <c r="V382" s="1275"/>
      <c r="W382" s="1275"/>
    </row>
    <row r="383" spans="1:23" x14ac:dyDescent="0.25">
      <c r="G383" s="639"/>
    </row>
    <row r="384" spans="1:23" x14ac:dyDescent="0.25">
      <c r="A384" s="1271"/>
      <c r="G384" s="639"/>
      <c r="L384" s="1275"/>
      <c r="M384" s="1275"/>
      <c r="N384" s="1275"/>
      <c r="O384" s="1275"/>
      <c r="P384" s="1275"/>
      <c r="Q384" s="1275"/>
      <c r="R384" s="1275"/>
      <c r="S384" s="1275"/>
      <c r="T384" s="1275"/>
      <c r="U384" s="1275"/>
      <c r="V384" s="1275"/>
      <c r="W384" s="1275"/>
    </row>
    <row r="385" spans="1:23" x14ac:dyDescent="0.25">
      <c r="G385" s="639"/>
    </row>
    <row r="386" spans="1:23" x14ac:dyDescent="0.25">
      <c r="A386" s="1271"/>
      <c r="G386" s="639"/>
      <c r="L386" s="1275"/>
      <c r="M386" s="1275"/>
      <c r="N386" s="1275"/>
      <c r="O386" s="1275"/>
      <c r="P386" s="1275"/>
      <c r="Q386" s="1275"/>
      <c r="R386" s="1275"/>
      <c r="S386" s="1275"/>
      <c r="T386" s="1275"/>
      <c r="U386" s="1275"/>
      <c r="V386" s="1275"/>
      <c r="W386" s="1275"/>
    </row>
    <row r="387" spans="1:23" x14ac:dyDescent="0.25">
      <c r="A387" s="1271"/>
      <c r="B387" s="1272"/>
      <c r="C387" s="1172"/>
      <c r="D387" s="1172"/>
      <c r="E387" s="1172"/>
      <c r="G387" s="639"/>
      <c r="L387" s="1275"/>
      <c r="M387" s="1275"/>
      <c r="N387" s="1275"/>
      <c r="O387" s="1275"/>
      <c r="P387" s="1275"/>
      <c r="Q387" s="1275"/>
      <c r="R387" s="1275"/>
      <c r="S387" s="1275"/>
      <c r="T387" s="1275"/>
      <c r="U387" s="1275"/>
      <c r="V387" s="1275"/>
      <c r="W387" s="1275"/>
    </row>
    <row r="388" spans="1:23" x14ac:dyDescent="0.25">
      <c r="G388" s="639"/>
    </row>
    <row r="389" spans="1:23" x14ac:dyDescent="0.25">
      <c r="A389" s="1271"/>
      <c r="G389" s="639"/>
      <c r="L389" s="1275"/>
      <c r="M389" s="1275"/>
      <c r="N389" s="1275"/>
      <c r="O389" s="1275"/>
      <c r="P389" s="1275"/>
      <c r="Q389" s="1275"/>
      <c r="R389" s="1275"/>
      <c r="S389" s="1275"/>
      <c r="T389" s="1275"/>
      <c r="U389" s="1275"/>
      <c r="V389" s="1275"/>
      <c r="W389" s="1275"/>
    </row>
    <row r="390" spans="1:23" x14ac:dyDescent="0.25">
      <c r="B390" s="1272"/>
      <c r="C390" s="1172"/>
      <c r="D390" s="1172"/>
      <c r="E390" s="1172"/>
      <c r="G390" s="639"/>
    </row>
    <row r="391" spans="1:23" x14ac:dyDescent="0.25">
      <c r="G391" s="639"/>
    </row>
    <row r="392" spans="1:23" x14ac:dyDescent="0.25">
      <c r="G392" s="639"/>
    </row>
    <row r="393" spans="1:23" x14ac:dyDescent="0.25">
      <c r="G393" s="639"/>
    </row>
    <row r="394" spans="1:23" x14ac:dyDescent="0.25">
      <c r="G394" s="639"/>
    </row>
    <row r="395" spans="1:23" x14ac:dyDescent="0.25">
      <c r="G395" s="639"/>
    </row>
    <row r="396" spans="1:23" x14ac:dyDescent="0.25">
      <c r="G396" s="639"/>
    </row>
    <row r="397" spans="1:23" x14ac:dyDescent="0.25">
      <c r="G397" s="639"/>
    </row>
    <row r="398" spans="1:23" x14ac:dyDescent="0.25">
      <c r="G398" s="639"/>
    </row>
    <row r="399" spans="1:23" x14ac:dyDescent="0.25">
      <c r="G399" s="639"/>
    </row>
    <row r="400" spans="1:23" x14ac:dyDescent="0.25">
      <c r="G400" s="639"/>
    </row>
    <row r="401" spans="1:7" x14ac:dyDescent="0.25">
      <c r="A401" s="1172"/>
      <c r="B401" s="1272"/>
      <c r="C401" s="1172"/>
      <c r="D401" s="1172"/>
      <c r="E401" s="1172"/>
      <c r="G401" s="639"/>
    </row>
    <row r="402" spans="1:7" x14ac:dyDescent="0.25">
      <c r="G402" s="639"/>
    </row>
    <row r="403" spans="1:7" x14ac:dyDescent="0.25">
      <c r="G403" s="639"/>
    </row>
    <row r="404" spans="1:7" x14ac:dyDescent="0.25">
      <c r="G404" s="639"/>
    </row>
    <row r="405" spans="1:7" x14ac:dyDescent="0.25">
      <c r="G405" s="639"/>
    </row>
    <row r="406" spans="1:7" x14ac:dyDescent="0.25">
      <c r="G406" s="639"/>
    </row>
    <row r="407" spans="1:7" x14ac:dyDescent="0.25">
      <c r="G407" s="639"/>
    </row>
    <row r="408" spans="1:7" x14ac:dyDescent="0.25">
      <c r="A408" s="1172"/>
      <c r="B408" s="1272"/>
      <c r="C408" s="1172"/>
      <c r="D408" s="1172"/>
      <c r="E408" s="1172"/>
      <c r="G408" s="639"/>
    </row>
    <row r="409" spans="1:7" x14ac:dyDescent="0.25">
      <c r="G409" s="639"/>
    </row>
    <row r="410" spans="1:7" x14ac:dyDescent="0.25">
      <c r="G410" s="639"/>
    </row>
    <row r="411" spans="1:7" x14ac:dyDescent="0.25">
      <c r="A411" s="1172"/>
      <c r="B411" s="1272"/>
      <c r="C411" s="1172"/>
      <c r="D411" s="1172"/>
      <c r="E411" s="1172"/>
      <c r="G411" s="639"/>
    </row>
    <row r="412" spans="1:7" x14ac:dyDescent="0.25">
      <c r="A412" s="1172"/>
      <c r="B412" s="1272"/>
      <c r="C412" s="1172"/>
      <c r="D412" s="1172"/>
      <c r="E412" s="1172"/>
      <c r="G412" s="639"/>
    </row>
    <row r="413" spans="1:7" x14ac:dyDescent="0.25">
      <c r="G413" s="639"/>
    </row>
    <row r="414" spans="1:7" x14ac:dyDescent="0.25">
      <c r="G414" s="639"/>
    </row>
    <row r="415" spans="1:7" x14ac:dyDescent="0.25">
      <c r="G415" s="639"/>
    </row>
    <row r="416" spans="1:7" x14ac:dyDescent="0.25">
      <c r="G416" s="639"/>
    </row>
    <row r="417" spans="1:7" x14ac:dyDescent="0.25">
      <c r="G417" s="639"/>
    </row>
    <row r="418" spans="1:7" x14ac:dyDescent="0.25">
      <c r="G418" s="639"/>
    </row>
    <row r="419" spans="1:7" x14ac:dyDescent="0.25">
      <c r="G419" s="639"/>
    </row>
    <row r="420" spans="1:7" x14ac:dyDescent="0.25">
      <c r="G420" s="639"/>
    </row>
    <row r="421" spans="1:7" x14ac:dyDescent="0.25">
      <c r="G421" s="639"/>
    </row>
    <row r="422" spans="1:7" x14ac:dyDescent="0.25">
      <c r="G422" s="639"/>
    </row>
    <row r="423" spans="1:7" x14ac:dyDescent="0.25">
      <c r="A423" s="1172"/>
      <c r="B423" s="1272"/>
      <c r="C423" s="1172"/>
      <c r="D423" s="1172"/>
      <c r="E423" s="1172"/>
      <c r="G423" s="639"/>
    </row>
    <row r="424" spans="1:7" x14ac:dyDescent="0.25">
      <c r="A424" s="1172"/>
      <c r="B424" s="1272"/>
      <c r="C424" s="1172"/>
      <c r="D424" s="1172"/>
      <c r="E424" s="1172"/>
      <c r="G424" s="639"/>
    </row>
    <row r="425" spans="1:7" x14ac:dyDescent="0.25">
      <c r="G425" s="639"/>
    </row>
    <row r="426" spans="1:7" x14ac:dyDescent="0.25">
      <c r="G426" s="639"/>
    </row>
    <row r="427" spans="1:7" x14ac:dyDescent="0.25">
      <c r="G427" s="639"/>
    </row>
    <row r="428" spans="1:7" x14ac:dyDescent="0.25">
      <c r="G428" s="639"/>
    </row>
    <row r="429" spans="1:7" x14ac:dyDescent="0.25">
      <c r="G429" s="639"/>
    </row>
    <row r="430" spans="1:7" x14ac:dyDescent="0.25">
      <c r="G430" s="639"/>
    </row>
    <row r="431" spans="1:7" x14ac:dyDescent="0.25">
      <c r="A431" s="1172"/>
      <c r="B431" s="1272"/>
      <c r="C431" s="1172"/>
      <c r="D431" s="1172"/>
      <c r="E431" s="1172"/>
      <c r="G431" s="639"/>
    </row>
    <row r="432" spans="1:7" x14ac:dyDescent="0.25">
      <c r="A432" s="1172"/>
      <c r="B432" s="1272"/>
      <c r="C432" s="1172"/>
      <c r="D432" s="1172"/>
      <c r="E432" s="1172"/>
      <c r="G432" s="639"/>
    </row>
    <row r="433" spans="1:7" x14ac:dyDescent="0.25">
      <c r="G433" s="639"/>
    </row>
    <row r="434" spans="1:7" x14ac:dyDescent="0.25">
      <c r="G434" s="639"/>
    </row>
    <row r="435" spans="1:7" x14ac:dyDescent="0.25">
      <c r="A435" s="1172"/>
      <c r="B435" s="1272"/>
      <c r="C435" s="1172"/>
      <c r="D435" s="1172"/>
      <c r="E435" s="1172"/>
      <c r="G435" s="639"/>
    </row>
    <row r="436" spans="1:7" x14ac:dyDescent="0.25">
      <c r="A436" s="1172"/>
      <c r="B436" s="1272"/>
      <c r="C436" s="1172"/>
      <c r="D436" s="1172"/>
      <c r="E436" s="1172"/>
      <c r="G436" s="639"/>
    </row>
    <row r="437" spans="1:7" x14ac:dyDescent="0.25">
      <c r="G437" s="639"/>
    </row>
    <row r="438" spans="1:7" x14ac:dyDescent="0.25">
      <c r="G438" s="639"/>
    </row>
    <row r="439" spans="1:7" x14ac:dyDescent="0.25">
      <c r="G439" s="639"/>
    </row>
    <row r="440" spans="1:7" x14ac:dyDescent="0.25">
      <c r="G440" s="639"/>
    </row>
    <row r="441" spans="1:7" x14ac:dyDescent="0.25">
      <c r="G441" s="639"/>
    </row>
    <row r="442" spans="1:7" x14ac:dyDescent="0.25">
      <c r="G442" s="639"/>
    </row>
    <row r="443" spans="1:7" x14ac:dyDescent="0.25">
      <c r="G443" s="639"/>
    </row>
    <row r="444" spans="1:7" x14ac:dyDescent="0.25">
      <c r="G444" s="639"/>
    </row>
    <row r="445" spans="1:7" x14ac:dyDescent="0.25">
      <c r="G445" s="639"/>
    </row>
    <row r="446" spans="1:7" x14ac:dyDescent="0.25">
      <c r="G446" s="639"/>
    </row>
    <row r="447" spans="1:7" x14ac:dyDescent="0.25">
      <c r="A447" s="1172"/>
      <c r="B447" s="1272"/>
      <c r="C447" s="1172"/>
      <c r="D447" s="1172"/>
      <c r="E447" s="1172"/>
      <c r="G447" s="639"/>
    </row>
    <row r="448" spans="1:7" x14ac:dyDescent="0.25">
      <c r="A448" s="1172"/>
      <c r="B448" s="1272"/>
      <c r="C448" s="1172"/>
      <c r="D448" s="1172"/>
      <c r="E448" s="1172"/>
      <c r="G448" s="639"/>
    </row>
    <row r="449" spans="1:7" x14ac:dyDescent="0.25">
      <c r="G449" s="639"/>
    </row>
    <row r="450" spans="1:7" x14ac:dyDescent="0.25">
      <c r="G450" s="639"/>
    </row>
    <row r="451" spans="1:7" x14ac:dyDescent="0.25">
      <c r="G451" s="639"/>
    </row>
    <row r="452" spans="1:7" x14ac:dyDescent="0.25">
      <c r="G452" s="639"/>
    </row>
    <row r="453" spans="1:7" x14ac:dyDescent="0.25">
      <c r="G453" s="639"/>
    </row>
    <row r="454" spans="1:7" x14ac:dyDescent="0.25">
      <c r="G454" s="639"/>
    </row>
    <row r="455" spans="1:7" x14ac:dyDescent="0.25">
      <c r="A455" s="1172"/>
      <c r="B455" s="1272"/>
      <c r="C455" s="1172"/>
      <c r="D455" s="1172"/>
      <c r="E455" s="1172"/>
      <c r="G455" s="639"/>
    </row>
    <row r="456" spans="1:7" x14ac:dyDescent="0.25">
      <c r="A456" s="1172"/>
      <c r="B456" s="1272"/>
      <c r="C456" s="1172"/>
      <c r="D456" s="1172"/>
      <c r="E456" s="1172"/>
      <c r="G456" s="639"/>
    </row>
    <row r="457" spans="1:7" x14ac:dyDescent="0.25">
      <c r="G457" s="639"/>
    </row>
    <row r="458" spans="1:7" x14ac:dyDescent="0.25">
      <c r="G458" s="639"/>
    </row>
  </sheetData>
  <mergeCells count="1">
    <mergeCell ref="A2:F4"/>
  </mergeCells>
  <conditionalFormatting sqref="A8:H8">
    <cfRule type="expression" dxfId="53" priority="15">
      <formula>IF(INDEX(VAD_nMeasModYieldNutrientUptake,COLUMN(A8),5)&gt;0,TRUE(),FALSE())</formula>
    </cfRule>
  </conditionalFormatting>
  <conditionalFormatting sqref="K8:L8">
    <cfRule type="expression" dxfId="52" priority="13">
      <formula>IF(INDEX(Vad_MeasHarvestFraction,COLUMN(K8),5)&gt;0,TRUE(),FALSE())</formula>
    </cfRule>
  </conditionalFormatting>
  <conditionalFormatting sqref="AN8">
    <cfRule type="expression" dxfId="51" priority="1">
      <formula>IF(INDEX(Vad_MeasHarvestFraction,COLUMN(AN8),5)&gt;0,TRUE(),FALSE())</formula>
    </cfRule>
  </conditionalFormatting>
  <conditionalFormatting sqref="M8:Q8">
    <cfRule type="expression" dxfId="50" priority="11">
      <formula>IF(INDEX(VAD_nMeasModYieldNutrientUptake,COLUMN(M8),5)&gt;0,TRUE(),FALSE())</formula>
    </cfRule>
  </conditionalFormatting>
  <conditionalFormatting sqref="R8:W8">
    <cfRule type="expression" dxfId="49" priority="10">
      <formula>IF(INDEX(VAD_nMeasModYieldNutrientUptake,COLUMN(R8),5)&gt;0,TRUE(),FALSE())</formula>
    </cfRule>
  </conditionalFormatting>
  <conditionalFormatting sqref="I8">
    <cfRule type="expression" dxfId="48" priority="9">
      <formula>IF(INDEX(Vad_MeasHarvestFraction,COLUMN(I8),5)&gt;0,TRUE(),FALSE())</formula>
    </cfRule>
  </conditionalFormatting>
  <conditionalFormatting sqref="J8">
    <cfRule type="expression" dxfId="47" priority="8">
      <formula>IF(INDEX(Vad_MeasHarvestFraction,COLUMN(J8),5)&gt;0,TRUE(),FALSE())</formula>
    </cfRule>
  </conditionalFormatting>
  <conditionalFormatting sqref="AA8:AB8">
    <cfRule type="expression" dxfId="46" priority="7">
      <formula>IF(INDEX(Vad_MeasHarvestFraction,COLUMN(AA8),5)&gt;0,TRUE(),FALSE())</formula>
    </cfRule>
  </conditionalFormatting>
  <conditionalFormatting sqref="AC8:AG8">
    <cfRule type="expression" dxfId="45" priority="6">
      <formula>IF(INDEX(VAD_nMeasModYieldNutrientUptake,COLUMN(AC8),5)&gt;0,TRUE(),FALSE())</formula>
    </cfRule>
  </conditionalFormatting>
  <conditionalFormatting sqref="AH8:AM8">
    <cfRule type="expression" dxfId="44" priority="5">
      <formula>IF(INDEX(VAD_nMeasModYieldNutrientUptake,COLUMN(AH8),5)&gt;0,TRUE(),FALSE())</formula>
    </cfRule>
  </conditionalFormatting>
  <conditionalFormatting sqref="Y8">
    <cfRule type="expression" dxfId="43" priority="4">
      <formula>IF(INDEX(Vad_MeasHarvestFraction,COLUMN(Y8),5)&gt;0,TRUE(),FALSE())</formula>
    </cfRule>
  </conditionalFormatting>
  <conditionalFormatting sqref="Z8">
    <cfRule type="expression" dxfId="42" priority="3">
      <formula>IF(INDEX(Vad_MeasHarvestFraction,COLUMN(Z8),5)&gt;0,TRUE(),FALSE())</formula>
    </cfRule>
  </conditionalFormatting>
  <conditionalFormatting sqref="X8">
    <cfRule type="expression" dxfId="41" priority="2">
      <formula>IF(INDEX(Vad_MeasHarvestFraction,COLUMN(X8),5)&gt;0,TRUE(),FALSE())</formula>
    </cfRule>
  </conditionalFormatting>
  <dataValidations count="18">
    <dataValidation type="list" allowBlank="1" showInputMessage="1" showErrorMessage="1" sqref="H122:H696 G459:G696">
      <formula1>Harvested_Fraction</formula1>
    </dataValidation>
    <dataValidation type="list" allowBlank="1" showInputMessage="1" showErrorMessage="1" sqref="D457:D982 D370:D379 D381:D386 D388:D389 D391:D400 D402:D407 D409:D410 D433:D434 D413:D422 D425:D430 D437:D446 D449:D454 D9:D368">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measured from the drop down menu. Click on cell to view additional information on specific plant components where applicable." sqref="F8"/>
    <dataValidation type="list" allowBlank="1" showInputMessage="1" showErrorMessage="1" sqref="D369 D380 D387 D390 D401 D408 D411:D412 D435:D436 D423:D424 D431:D432 D447:D448 D455:D456">
      <formula1>#REF!</formula1>
    </dataValidation>
    <dataValidation type="list" allowBlank="1" showInputMessage="1" showErrorMessage="1" sqref="E9:E982">
      <formula1>Crop</formula1>
    </dataValidation>
    <dataValidation type="list" allowBlank="1" showInputMessage="1" showErrorMessage="1" sqref="C9:C982">
      <formula1>TreatmentID</formula1>
    </dataValidation>
    <dataValidation type="list" allowBlank="1" showInputMessage="1" showErrorMessage="1" sqref="A9:A982">
      <formula1>Exp_UnitID</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carbon content of plant fraction, in units specified above." sqref="K8 AA8"/>
    <dataValidation allowBlank="1" showInputMessage="1" showErrorMessage="1" prompt="Enter nitrogen content of plant fraction, in units specified above." sqref="L8:W8 AB8:AM8"/>
    <dataValidation allowBlank="1" showInputMessage="1" showErrorMessage="1" prompt="Enter the dry biomass of the Plant Fraction specified in column F, in units specified above." sqref="I8 Y8"/>
    <dataValidation allowBlank="1" showInputMessage="1" showErrorMessage="1" prompt="Enter percent moisture of plant fraction, in units specified above. " sqref="J8 Z8"/>
    <dataValidation allowBlank="1" showInputMessage="1" showErrorMessage="1" prompt="Enter the grain (kernel) weight, in units specified above." sqref="X8 AN8"/>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458"/>
  <sheetViews>
    <sheetView zoomScale="90" zoomScaleNormal="90" workbookViewId="0">
      <pane xSplit="6" ySplit="8" topLeftCell="AJ9" activePane="bottomRight" state="frozen"/>
      <selection pane="topRight" activeCell="G1" sqref="G1"/>
      <selection pane="bottomLeft" activeCell="A9" sqref="A9"/>
      <selection pane="bottomRight" activeCell="AK18" sqref="AK18"/>
    </sheetView>
  </sheetViews>
  <sheetFormatPr defaultColWidth="9.109375" defaultRowHeight="13.2" x14ac:dyDescent="0.25"/>
  <cols>
    <col min="1" max="1" width="11.44140625" style="316" customWidth="1"/>
    <col min="2" max="2" width="11.44140625" style="313" customWidth="1"/>
    <col min="3" max="3" width="17.88671875" style="316" customWidth="1"/>
    <col min="4" max="4" width="16" style="316" customWidth="1"/>
    <col min="5" max="5" width="13.6640625" style="316" bestFit="1" customWidth="1"/>
    <col min="6" max="6" width="24.33203125" style="316" bestFit="1" customWidth="1"/>
    <col min="7" max="7" width="16.6640625" style="316" customWidth="1"/>
    <col min="8" max="8" width="19.44140625" style="316" customWidth="1"/>
    <col min="9" max="9" width="21.88671875" style="314" customWidth="1"/>
    <col min="10" max="24" width="20.33203125" style="314" customWidth="1"/>
    <col min="25" max="25" width="22.88671875" style="314" customWidth="1"/>
    <col min="26" max="26" width="22.6640625" style="314" customWidth="1"/>
    <col min="27" max="27" width="24" style="314" customWidth="1"/>
    <col min="28" max="28" width="23.5546875" style="314" customWidth="1"/>
    <col min="29" max="30" width="23.44140625" style="314" customWidth="1"/>
    <col min="31" max="31" width="22.44140625" style="314" customWidth="1"/>
    <col min="32" max="32" width="24.33203125" style="314" customWidth="1"/>
    <col min="33" max="33" width="22.6640625" style="314" customWidth="1"/>
    <col min="34" max="34" width="22.5546875" style="314" customWidth="1"/>
    <col min="35" max="35" width="22.44140625" style="314" customWidth="1"/>
    <col min="36" max="36" width="24.33203125" style="314" customWidth="1"/>
    <col min="37" max="37" width="22.88671875" style="314" customWidth="1"/>
    <col min="38" max="39" width="24" style="314" customWidth="1"/>
    <col min="40" max="40" width="23.5546875" style="314" customWidth="1"/>
    <col min="41" max="16384" width="9.109375" style="314"/>
  </cols>
  <sheetData>
    <row r="1" spans="1:40" s="48" customFormat="1" ht="18" x14ac:dyDescent="0.35">
      <c r="A1" s="1276" t="s">
        <v>556</v>
      </c>
      <c r="B1" s="278"/>
      <c r="C1" s="737"/>
      <c r="D1" s="737"/>
      <c r="E1" s="1277"/>
      <c r="F1" s="738"/>
      <c r="G1" s="1229"/>
      <c r="H1" s="1229"/>
      <c r="I1" s="101"/>
      <c r="J1" s="101"/>
      <c r="K1" s="101"/>
      <c r="L1" s="101"/>
      <c r="M1" s="101"/>
      <c r="N1" s="101"/>
      <c r="O1" s="101"/>
      <c r="P1" s="101"/>
      <c r="Q1" s="101"/>
      <c r="R1" s="101"/>
      <c r="S1" s="101"/>
      <c r="T1" s="101"/>
      <c r="U1" s="101"/>
      <c r="V1" s="101"/>
      <c r="W1" s="101"/>
      <c r="X1" s="215"/>
      <c r="Y1" s="101"/>
      <c r="Z1" s="101"/>
      <c r="AA1" s="101"/>
      <c r="AB1" s="101"/>
      <c r="AC1" s="101"/>
      <c r="AD1" s="101"/>
      <c r="AE1" s="101"/>
      <c r="AF1" s="101"/>
      <c r="AG1" s="101"/>
      <c r="AH1" s="101"/>
      <c r="AI1" s="101"/>
      <c r="AJ1" s="101"/>
      <c r="AK1" s="101"/>
      <c r="AL1" s="101"/>
      <c r="AM1" s="101"/>
      <c r="AN1" s="190"/>
    </row>
    <row r="2" spans="1:40" s="49" customFormat="1" ht="12.75" customHeight="1" x14ac:dyDescent="0.3">
      <c r="A2" s="1574"/>
      <c r="B2" s="1574"/>
      <c r="C2" s="1574"/>
      <c r="D2" s="1278"/>
      <c r="E2" s="1278"/>
      <c r="F2" s="1278"/>
      <c r="G2" s="73"/>
      <c r="H2" s="73"/>
      <c r="I2" s="113" t="s">
        <v>617</v>
      </c>
      <c r="J2" s="535"/>
      <c r="K2" s="535"/>
      <c r="L2" s="535"/>
      <c r="M2" s="535"/>
      <c r="N2" s="535"/>
      <c r="O2" s="535"/>
      <c r="P2" s="535"/>
      <c r="Q2" s="535"/>
      <c r="R2" s="535"/>
      <c r="S2" s="535"/>
      <c r="T2" s="535"/>
      <c r="U2" s="535"/>
      <c r="V2" s="535"/>
      <c r="W2" s="1279"/>
      <c r="X2" s="536"/>
      <c r="Y2" s="1280" t="s">
        <v>538</v>
      </c>
      <c r="Z2" s="1280" t="s">
        <v>538</v>
      </c>
      <c r="AA2" s="1280" t="s">
        <v>538</v>
      </c>
      <c r="AB2" s="1280" t="s">
        <v>538</v>
      </c>
      <c r="AC2" s="1280" t="s">
        <v>538</v>
      </c>
      <c r="AD2" s="1280" t="s">
        <v>538</v>
      </c>
      <c r="AE2" s="1280" t="s">
        <v>538</v>
      </c>
      <c r="AF2" s="1280" t="s">
        <v>538</v>
      </c>
      <c r="AG2" s="1280" t="s">
        <v>538</v>
      </c>
      <c r="AH2" s="1280" t="s">
        <v>538</v>
      </c>
      <c r="AI2" s="1280" t="s">
        <v>538</v>
      </c>
      <c r="AJ2" s="1280" t="s">
        <v>538</v>
      </c>
      <c r="AK2" s="1280" t="s">
        <v>538</v>
      </c>
      <c r="AL2" s="1280" t="s">
        <v>538</v>
      </c>
      <c r="AM2" s="1281" t="s">
        <v>538</v>
      </c>
      <c r="AN2" s="1282" t="s">
        <v>538</v>
      </c>
    </row>
    <row r="3" spans="1:40" s="50" customFormat="1" ht="12.75" customHeight="1" x14ac:dyDescent="0.3">
      <c r="A3" s="1574"/>
      <c r="B3" s="1574"/>
      <c r="C3" s="1574"/>
      <c r="D3" s="736"/>
      <c r="E3" s="736"/>
      <c r="F3" s="736"/>
      <c r="G3" s="1251"/>
      <c r="H3" s="1251"/>
      <c r="I3" s="524"/>
      <c r="J3" s="524"/>
      <c r="K3" s="524"/>
      <c r="L3" s="524"/>
      <c r="M3" s="524"/>
      <c r="N3" s="524"/>
      <c r="O3" s="524"/>
      <c r="Q3" s="524"/>
      <c r="R3" s="524"/>
      <c r="S3" s="524"/>
      <c r="T3" s="524"/>
      <c r="U3" s="524"/>
      <c r="V3" s="524"/>
      <c r="W3" s="1283"/>
      <c r="X3" s="526"/>
      <c r="Y3" s="524"/>
      <c r="Z3" s="524"/>
      <c r="AA3" s="524"/>
      <c r="AB3" s="524"/>
      <c r="AC3" s="524"/>
      <c r="AD3" s="524"/>
      <c r="AE3" s="524"/>
      <c r="AG3" s="524"/>
      <c r="AH3" s="524"/>
      <c r="AI3" s="524"/>
      <c r="AJ3" s="524"/>
      <c r="AK3" s="524"/>
      <c r="AL3" s="524"/>
      <c r="AM3" s="1192"/>
      <c r="AN3" s="527"/>
    </row>
    <row r="4" spans="1:40" s="50" customFormat="1" ht="22.5" customHeight="1" x14ac:dyDescent="0.3">
      <c r="A4" s="1574"/>
      <c r="B4" s="1574"/>
      <c r="C4" s="1574"/>
      <c r="D4" s="736"/>
      <c r="E4" s="736"/>
      <c r="F4" s="736"/>
      <c r="G4" s="1406"/>
      <c r="H4" s="1407"/>
      <c r="I4" s="524"/>
      <c r="J4" s="524"/>
      <c r="K4" s="524"/>
      <c r="L4" s="524"/>
      <c r="M4" s="524"/>
      <c r="N4" s="524"/>
      <c r="O4" s="524"/>
      <c r="P4" s="524"/>
      <c r="Q4" s="524"/>
      <c r="R4" s="524"/>
      <c r="S4" s="524"/>
      <c r="T4" s="524"/>
      <c r="U4" s="524"/>
      <c r="V4" s="524"/>
      <c r="W4" s="1192"/>
      <c r="X4" s="526"/>
      <c r="Y4" s="524"/>
      <c r="Z4" s="524"/>
      <c r="AA4" s="524"/>
      <c r="AB4" s="524"/>
      <c r="AC4" s="524"/>
      <c r="AD4" s="524"/>
      <c r="AE4" s="524"/>
      <c r="AF4" s="524"/>
      <c r="AG4" s="524"/>
      <c r="AH4" s="524"/>
      <c r="AI4" s="524"/>
      <c r="AJ4" s="524"/>
      <c r="AK4" s="524"/>
      <c r="AL4" s="524"/>
      <c r="AM4" s="1192"/>
      <c r="AN4" s="527"/>
    </row>
    <row r="5" spans="1:40" s="50" customFormat="1" ht="15.6" x14ac:dyDescent="0.3">
      <c r="A5" s="1284" t="s">
        <v>343</v>
      </c>
      <c r="B5" s="1285"/>
      <c r="C5" s="1286"/>
      <c r="D5" s="1286"/>
      <c r="E5" s="1286"/>
      <c r="F5" s="1287"/>
      <c r="G5" s="1332"/>
      <c r="H5" s="1332"/>
      <c r="I5" s="97"/>
      <c r="J5" s="97"/>
      <c r="K5" s="97"/>
      <c r="L5" s="97"/>
      <c r="M5" s="97"/>
      <c r="N5" s="97"/>
      <c r="O5" s="97"/>
      <c r="P5" s="97"/>
      <c r="Q5" s="97"/>
      <c r="R5" s="97"/>
      <c r="S5" s="97"/>
      <c r="T5" s="97"/>
      <c r="U5" s="97"/>
      <c r="V5" s="97"/>
      <c r="W5" s="1288"/>
      <c r="X5" s="216"/>
      <c r="Y5" s="97"/>
      <c r="Z5" s="97"/>
      <c r="AA5" s="97"/>
      <c r="AB5" s="97"/>
      <c r="AC5" s="97"/>
      <c r="AD5" s="97"/>
      <c r="AE5" s="97"/>
      <c r="AF5" s="97"/>
      <c r="AG5" s="97"/>
      <c r="AH5" s="97"/>
      <c r="AI5" s="97"/>
      <c r="AJ5" s="97"/>
      <c r="AK5" s="97"/>
      <c r="AL5" s="97"/>
      <c r="AM5" s="1288"/>
      <c r="AN5" s="192"/>
    </row>
    <row r="6" spans="1:40" s="50" customFormat="1" ht="14.4" x14ac:dyDescent="0.3">
      <c r="A6" s="746"/>
      <c r="B6" s="256" t="s">
        <v>116</v>
      </c>
      <c r="C6" s="746"/>
      <c r="D6" s="746"/>
      <c r="E6" s="746"/>
      <c r="F6" s="747"/>
      <c r="G6" s="1317"/>
      <c r="H6" s="1317"/>
      <c r="I6" s="248" t="s">
        <v>388</v>
      </c>
      <c r="J6" s="248" t="s">
        <v>388</v>
      </c>
      <c r="K6" s="248" t="s">
        <v>388</v>
      </c>
      <c r="L6" s="248" t="s">
        <v>388</v>
      </c>
      <c r="M6" s="248" t="s">
        <v>388</v>
      </c>
      <c r="N6" s="248" t="s">
        <v>388</v>
      </c>
      <c r="O6" s="248" t="s">
        <v>388</v>
      </c>
      <c r="P6" s="248" t="s">
        <v>388</v>
      </c>
      <c r="Q6" s="248" t="s">
        <v>388</v>
      </c>
      <c r="R6" s="248" t="s">
        <v>396</v>
      </c>
      <c r="S6" s="248" t="s">
        <v>396</v>
      </c>
      <c r="T6" s="248" t="s">
        <v>396</v>
      </c>
      <c r="U6" s="248" t="s">
        <v>396</v>
      </c>
      <c r="V6" s="248" t="s">
        <v>396</v>
      </c>
      <c r="W6" s="1192" t="s">
        <v>396</v>
      </c>
      <c r="X6" s="513" t="s">
        <v>396</v>
      </c>
      <c r="Y6" s="248" t="s">
        <v>388</v>
      </c>
      <c r="Z6" s="248" t="s">
        <v>388</v>
      </c>
      <c r="AA6" s="248" t="s">
        <v>388</v>
      </c>
      <c r="AB6" s="248" t="s">
        <v>388</v>
      </c>
      <c r="AC6" s="248" t="s">
        <v>388</v>
      </c>
      <c r="AD6" s="248" t="s">
        <v>388</v>
      </c>
      <c r="AE6" s="248" t="s">
        <v>388</v>
      </c>
      <c r="AF6" s="248" t="s">
        <v>388</v>
      </c>
      <c r="AG6" s="248" t="s">
        <v>388</v>
      </c>
      <c r="AH6" s="248" t="s">
        <v>396</v>
      </c>
      <c r="AI6" s="248" t="s">
        <v>396</v>
      </c>
      <c r="AJ6" s="248" t="s">
        <v>396</v>
      </c>
      <c r="AK6" s="248" t="s">
        <v>396</v>
      </c>
      <c r="AL6" s="248" t="s">
        <v>396</v>
      </c>
      <c r="AM6" s="1192" t="s">
        <v>396</v>
      </c>
      <c r="AN6" s="515" t="s">
        <v>396</v>
      </c>
    </row>
    <row r="7" spans="1:40" s="339" customFormat="1" ht="14.4" x14ac:dyDescent="0.3">
      <c r="A7" s="10"/>
      <c r="B7" s="67"/>
      <c r="C7" s="599"/>
      <c r="D7" s="1289" t="str">
        <f>HYPERLINK("#DropDownLists!O6","Add to this list")</f>
        <v>Add to this list</v>
      </c>
      <c r="E7" s="1290" t="str">
        <f>HYPERLINK("#DropDownLists!K6","Add to this list")</f>
        <v>Add to this list</v>
      </c>
      <c r="F7" s="1290" t="str">
        <f>HYPERLINK("#DropDownLists!T6","Add to this list")</f>
        <v>Add to this list</v>
      </c>
      <c r="G7" s="1404"/>
      <c r="H7" s="1405"/>
      <c r="I7" s="305"/>
      <c r="J7" s="305"/>
      <c r="K7" s="305"/>
      <c r="L7" s="305"/>
      <c r="M7" s="305"/>
      <c r="N7" s="305"/>
      <c r="O7" s="305"/>
      <c r="P7" s="305"/>
      <c r="Q7" s="305"/>
      <c r="R7" s="305"/>
      <c r="S7" s="305"/>
      <c r="T7" s="305"/>
      <c r="U7" s="305"/>
      <c r="V7" s="305"/>
      <c r="W7" s="1291"/>
      <c r="X7" s="537"/>
      <c r="Y7" s="305"/>
      <c r="Z7" s="305"/>
      <c r="AA7" s="305"/>
      <c r="AB7" s="305"/>
      <c r="AC7" s="305"/>
      <c r="AD7" s="305"/>
      <c r="AE7" s="305"/>
      <c r="AF7" s="305"/>
      <c r="AG7" s="305"/>
      <c r="AH7" s="305"/>
      <c r="AI7" s="305"/>
      <c r="AJ7" s="305"/>
      <c r="AK7" s="305"/>
      <c r="AL7" s="305"/>
      <c r="AM7" s="1291"/>
      <c r="AN7" s="538"/>
    </row>
    <row r="8" spans="1:40" s="541" customFormat="1" ht="27.6" thickBot="1" x14ac:dyDescent="0.35">
      <c r="A8" s="1037" t="s">
        <v>3474</v>
      </c>
      <c r="B8" s="812" t="s">
        <v>35</v>
      </c>
      <c r="C8" s="625" t="s">
        <v>152</v>
      </c>
      <c r="D8" s="625" t="s">
        <v>1659</v>
      </c>
      <c r="E8" s="556" t="s">
        <v>77</v>
      </c>
      <c r="F8" s="1168" t="s">
        <v>1789</v>
      </c>
      <c r="G8" s="1200" t="s">
        <v>2918</v>
      </c>
      <c r="H8" s="1200" t="s">
        <v>3430</v>
      </c>
      <c r="I8" s="1292" t="s">
        <v>3731</v>
      </c>
      <c r="J8" s="953" t="s">
        <v>3732</v>
      </c>
      <c r="K8" s="953" t="s">
        <v>3733</v>
      </c>
      <c r="L8" s="953" t="s">
        <v>3734</v>
      </c>
      <c r="M8" s="953" t="s">
        <v>3735</v>
      </c>
      <c r="N8" s="953" t="s">
        <v>3736</v>
      </c>
      <c r="O8" s="953" t="s">
        <v>3737</v>
      </c>
      <c r="P8" s="953" t="s">
        <v>3738</v>
      </c>
      <c r="Q8" s="953" t="s">
        <v>3739</v>
      </c>
      <c r="R8" s="953" t="s">
        <v>3740</v>
      </c>
      <c r="S8" s="953" t="s">
        <v>3741</v>
      </c>
      <c r="T8" s="953" t="s">
        <v>3742</v>
      </c>
      <c r="U8" s="953" t="s">
        <v>3743</v>
      </c>
      <c r="V8" s="953" t="s">
        <v>3744</v>
      </c>
      <c r="W8" s="1293" t="s">
        <v>3761</v>
      </c>
      <c r="X8" s="540" t="s">
        <v>3745</v>
      </c>
      <c r="Y8" s="1292" t="s">
        <v>3746</v>
      </c>
      <c r="Z8" s="953" t="s">
        <v>3747</v>
      </c>
      <c r="AA8" s="953" t="s">
        <v>3748</v>
      </c>
      <c r="AB8" s="953" t="s">
        <v>3749</v>
      </c>
      <c r="AC8" s="953" t="s">
        <v>3750</v>
      </c>
      <c r="AD8" s="953" t="s">
        <v>3751</v>
      </c>
      <c r="AE8" s="953" t="s">
        <v>3752</v>
      </c>
      <c r="AF8" s="953" t="s">
        <v>3753</v>
      </c>
      <c r="AG8" s="953" t="s">
        <v>3754</v>
      </c>
      <c r="AH8" s="953" t="s">
        <v>3755</v>
      </c>
      <c r="AI8" s="953" t="s">
        <v>3756</v>
      </c>
      <c r="AJ8" s="953" t="s">
        <v>3757</v>
      </c>
      <c r="AK8" s="953" t="s">
        <v>3758</v>
      </c>
      <c r="AL8" s="953" t="s">
        <v>3759</v>
      </c>
      <c r="AM8" s="1293" t="s">
        <v>3762</v>
      </c>
      <c r="AN8" s="953" t="s">
        <v>3760</v>
      </c>
    </row>
    <row r="9" spans="1:40" x14ac:dyDescent="0.25">
      <c r="A9" s="316" t="s">
        <v>2842</v>
      </c>
      <c r="B9" s="313">
        <v>36648</v>
      </c>
      <c r="C9" s="316" t="s">
        <v>2843</v>
      </c>
      <c r="D9" s="316" t="s">
        <v>102</v>
      </c>
      <c r="E9" s="316" t="s">
        <v>1372</v>
      </c>
      <c r="F9" s="316" t="s">
        <v>1230</v>
      </c>
      <c r="G9" s="639" t="s">
        <v>2920</v>
      </c>
      <c r="H9" s="1269"/>
    </row>
    <row r="10" spans="1:40" ht="14.4" x14ac:dyDescent="0.3">
      <c r="A10" s="316" t="s">
        <v>2846</v>
      </c>
      <c r="B10" s="313">
        <v>36775</v>
      </c>
      <c r="C10" s="316" t="s">
        <v>2847</v>
      </c>
      <c r="D10" s="316" t="s">
        <v>102</v>
      </c>
      <c r="E10" s="316" t="s">
        <v>1372</v>
      </c>
      <c r="F10" s="316" t="s">
        <v>1230</v>
      </c>
      <c r="G10" s="639" t="s">
        <v>2920</v>
      </c>
      <c r="H10" s="1208"/>
    </row>
    <row r="11" spans="1:40" ht="14.4" x14ac:dyDescent="0.3">
      <c r="A11" s="316" t="s">
        <v>2850</v>
      </c>
      <c r="B11" s="313">
        <v>36775</v>
      </c>
      <c r="C11" s="316" t="s">
        <v>2851</v>
      </c>
      <c r="D11" s="316" t="s">
        <v>102</v>
      </c>
      <c r="E11" s="316" t="s">
        <v>1372</v>
      </c>
      <c r="F11" s="316" t="s">
        <v>1230</v>
      </c>
      <c r="G11" s="639" t="s">
        <v>2920</v>
      </c>
      <c r="H11" s="1208"/>
    </row>
    <row r="12" spans="1:40" ht="14.4" x14ac:dyDescent="0.3">
      <c r="A12" s="316" t="s">
        <v>2854</v>
      </c>
      <c r="B12" s="313">
        <v>36775</v>
      </c>
      <c r="C12" s="316" t="s">
        <v>2855</v>
      </c>
      <c r="D12" s="316" t="s">
        <v>102</v>
      </c>
      <c r="E12" s="316" t="s">
        <v>1372</v>
      </c>
      <c r="F12" s="316" t="s">
        <v>1230</v>
      </c>
      <c r="G12" s="639" t="s">
        <v>2920</v>
      </c>
      <c r="H12" s="1208"/>
    </row>
    <row r="13" spans="1:40" ht="14.4" x14ac:dyDescent="0.3">
      <c r="A13" s="316" t="s">
        <v>2858</v>
      </c>
      <c r="B13" s="313">
        <v>36775</v>
      </c>
      <c r="C13" s="316" t="s">
        <v>2859</v>
      </c>
      <c r="D13" s="316" t="s">
        <v>102</v>
      </c>
      <c r="E13" s="316" t="s">
        <v>1372</v>
      </c>
      <c r="F13" s="316" t="s">
        <v>1230</v>
      </c>
      <c r="G13" s="639" t="s">
        <v>2920</v>
      </c>
      <c r="H13" s="1208"/>
    </row>
    <row r="14" spans="1:40" ht="14.4" x14ac:dyDescent="0.3">
      <c r="A14" s="316" t="s">
        <v>2888</v>
      </c>
      <c r="B14" s="313">
        <v>36775</v>
      </c>
      <c r="C14" s="316" t="s">
        <v>2889</v>
      </c>
      <c r="D14" s="316" t="s">
        <v>102</v>
      </c>
      <c r="E14" s="316" t="s">
        <v>1372</v>
      </c>
      <c r="F14" s="316" t="s">
        <v>1230</v>
      </c>
      <c r="G14" s="639" t="s">
        <v>2920</v>
      </c>
      <c r="H14" s="1208"/>
    </row>
    <row r="15" spans="1:40" ht="14.4" x14ac:dyDescent="0.3">
      <c r="A15" s="316" t="s">
        <v>2890</v>
      </c>
      <c r="B15" s="313">
        <v>36775</v>
      </c>
      <c r="C15" s="316" t="s">
        <v>2889</v>
      </c>
      <c r="D15" s="316" t="s">
        <v>102</v>
      </c>
      <c r="E15" s="316" t="s">
        <v>1372</v>
      </c>
      <c r="F15" s="316" t="s">
        <v>1230</v>
      </c>
      <c r="G15" s="639" t="s">
        <v>2920</v>
      </c>
      <c r="H15" s="1208"/>
    </row>
    <row r="16" spans="1:40" ht="14.4" x14ac:dyDescent="0.3">
      <c r="A16" s="316" t="s">
        <v>2860</v>
      </c>
      <c r="B16" s="313">
        <v>36775</v>
      </c>
      <c r="C16" s="316" t="s">
        <v>2859</v>
      </c>
      <c r="D16" s="316" t="s">
        <v>102</v>
      </c>
      <c r="E16" s="316" t="s">
        <v>1372</v>
      </c>
      <c r="F16" s="316" t="s">
        <v>1230</v>
      </c>
      <c r="G16" s="639" t="s">
        <v>2920</v>
      </c>
      <c r="H16" s="1208"/>
    </row>
    <row r="17" spans="1:8" ht="14.4" x14ac:dyDescent="0.3">
      <c r="A17" s="316" t="s">
        <v>2852</v>
      </c>
      <c r="B17" s="313">
        <v>36775</v>
      </c>
      <c r="C17" s="316" t="s">
        <v>2851</v>
      </c>
      <c r="D17" s="316" t="s">
        <v>102</v>
      </c>
      <c r="E17" s="316" t="s">
        <v>1372</v>
      </c>
      <c r="F17" s="316" t="s">
        <v>1230</v>
      </c>
      <c r="G17" s="639" t="s">
        <v>2920</v>
      </c>
      <c r="H17" s="1208"/>
    </row>
    <row r="18" spans="1:8" ht="14.4" x14ac:dyDescent="0.3">
      <c r="A18" s="316" t="s">
        <v>2856</v>
      </c>
      <c r="B18" s="313">
        <v>36775</v>
      </c>
      <c r="C18" s="316" t="s">
        <v>2855</v>
      </c>
      <c r="D18" s="316" t="s">
        <v>102</v>
      </c>
      <c r="E18" s="316" t="s">
        <v>1372</v>
      </c>
      <c r="F18" s="316" t="s">
        <v>1230</v>
      </c>
      <c r="G18" s="639" t="s">
        <v>2920</v>
      </c>
      <c r="H18" s="1208"/>
    </row>
    <row r="19" spans="1:8" ht="14.4" x14ac:dyDescent="0.3">
      <c r="A19" s="316" t="s">
        <v>2848</v>
      </c>
      <c r="B19" s="313">
        <v>36775</v>
      </c>
      <c r="C19" s="316" t="s">
        <v>2847</v>
      </c>
      <c r="D19" s="316" t="s">
        <v>102</v>
      </c>
      <c r="E19" s="316" t="s">
        <v>1372</v>
      </c>
      <c r="F19" s="316" t="s">
        <v>1230</v>
      </c>
      <c r="G19" s="639" t="s">
        <v>2920</v>
      </c>
      <c r="H19" s="1208"/>
    </row>
    <row r="20" spans="1:8" ht="14.4" x14ac:dyDescent="0.3">
      <c r="A20" s="316" t="s">
        <v>2844</v>
      </c>
      <c r="B20" s="313">
        <v>36775</v>
      </c>
      <c r="C20" s="316" t="s">
        <v>2843</v>
      </c>
      <c r="D20" s="316" t="s">
        <v>102</v>
      </c>
      <c r="E20" s="316" t="s">
        <v>1372</v>
      </c>
      <c r="F20" s="316" t="s">
        <v>1230</v>
      </c>
      <c r="G20" s="639" t="s">
        <v>2920</v>
      </c>
      <c r="H20" s="1208"/>
    </row>
    <row r="21" spans="1:8" ht="14.4" x14ac:dyDescent="0.3">
      <c r="A21" s="316" t="s">
        <v>2892</v>
      </c>
      <c r="B21" s="313">
        <v>36775</v>
      </c>
      <c r="C21" s="316" t="s">
        <v>2889</v>
      </c>
      <c r="D21" s="316" t="s">
        <v>102</v>
      </c>
      <c r="E21" s="316" t="s">
        <v>1372</v>
      </c>
      <c r="F21" s="316" t="s">
        <v>1230</v>
      </c>
      <c r="G21" s="639" t="s">
        <v>2920</v>
      </c>
      <c r="H21" s="1208"/>
    </row>
    <row r="22" spans="1:8" ht="14.4" x14ac:dyDescent="0.3">
      <c r="A22" s="316" t="s">
        <v>2861</v>
      </c>
      <c r="B22" s="313">
        <v>36775</v>
      </c>
      <c r="C22" s="316" t="s">
        <v>2859</v>
      </c>
      <c r="D22" s="316" t="s">
        <v>102</v>
      </c>
      <c r="E22" s="316" t="s">
        <v>1372</v>
      </c>
      <c r="F22" s="316" t="s">
        <v>1230</v>
      </c>
      <c r="G22" s="639" t="s">
        <v>2920</v>
      </c>
      <c r="H22" s="1208"/>
    </row>
    <row r="23" spans="1:8" ht="14.4" x14ac:dyDescent="0.3">
      <c r="A23" s="316" t="s">
        <v>2857</v>
      </c>
      <c r="B23" s="313">
        <v>36775</v>
      </c>
      <c r="C23" s="316" t="s">
        <v>2855</v>
      </c>
      <c r="D23" s="316" t="s">
        <v>102</v>
      </c>
      <c r="E23" s="316" t="s">
        <v>1372</v>
      </c>
      <c r="F23" s="316" t="s">
        <v>1230</v>
      </c>
      <c r="G23" s="639" t="s">
        <v>2920</v>
      </c>
      <c r="H23" s="1208"/>
    </row>
    <row r="24" spans="1:8" ht="14.4" x14ac:dyDescent="0.3">
      <c r="A24" s="316" t="s">
        <v>2853</v>
      </c>
      <c r="B24" s="313">
        <v>36775</v>
      </c>
      <c r="C24" s="316" t="s">
        <v>2851</v>
      </c>
      <c r="D24" s="316" t="s">
        <v>102</v>
      </c>
      <c r="E24" s="316" t="s">
        <v>1372</v>
      </c>
      <c r="F24" s="316" t="s">
        <v>1230</v>
      </c>
      <c r="G24" s="639" t="s">
        <v>2920</v>
      </c>
      <c r="H24" s="1208"/>
    </row>
    <row r="25" spans="1:8" ht="14.4" x14ac:dyDescent="0.3">
      <c r="A25" s="316" t="s">
        <v>2849</v>
      </c>
      <c r="B25" s="313">
        <v>36775</v>
      </c>
      <c r="C25" s="316" t="s">
        <v>2847</v>
      </c>
      <c r="D25" s="316" t="s">
        <v>102</v>
      </c>
      <c r="E25" s="316" t="s">
        <v>1372</v>
      </c>
      <c r="F25" s="316" t="s">
        <v>1230</v>
      </c>
      <c r="G25" s="639" t="s">
        <v>2920</v>
      </c>
      <c r="H25" s="1208"/>
    </row>
    <row r="26" spans="1:8" ht="14.4" x14ac:dyDescent="0.3">
      <c r="A26" s="316" t="s">
        <v>2845</v>
      </c>
      <c r="B26" s="313">
        <v>36775</v>
      </c>
      <c r="C26" s="316" t="s">
        <v>2843</v>
      </c>
      <c r="D26" s="316" t="s">
        <v>102</v>
      </c>
      <c r="E26" s="316" t="s">
        <v>1372</v>
      </c>
      <c r="F26" s="316" t="s">
        <v>1230</v>
      </c>
      <c r="G26" s="639" t="s">
        <v>2920</v>
      </c>
      <c r="H26" s="1208"/>
    </row>
    <row r="27" spans="1:8" x14ac:dyDescent="0.25">
      <c r="A27" s="316" t="s">
        <v>2842</v>
      </c>
      <c r="B27" s="313">
        <v>36775</v>
      </c>
      <c r="C27" s="316" t="s">
        <v>2843</v>
      </c>
      <c r="D27" s="316" t="s">
        <v>102</v>
      </c>
      <c r="E27" s="316" t="s">
        <v>1372</v>
      </c>
      <c r="F27" s="316" t="s">
        <v>495</v>
      </c>
      <c r="G27" s="639" t="s">
        <v>2920</v>
      </c>
    </row>
    <row r="28" spans="1:8" x14ac:dyDescent="0.25">
      <c r="A28" s="316" t="s">
        <v>2846</v>
      </c>
      <c r="B28" s="313">
        <v>36775</v>
      </c>
      <c r="C28" s="316" t="s">
        <v>2847</v>
      </c>
      <c r="D28" s="316" t="s">
        <v>102</v>
      </c>
      <c r="E28" s="316" t="s">
        <v>1372</v>
      </c>
      <c r="F28" s="316" t="s">
        <v>495</v>
      </c>
      <c r="G28" s="639" t="s">
        <v>2920</v>
      </c>
    </row>
    <row r="29" spans="1:8" x14ac:dyDescent="0.25">
      <c r="A29" s="316" t="s">
        <v>2850</v>
      </c>
      <c r="B29" s="313">
        <v>36775</v>
      </c>
      <c r="C29" s="316" t="s">
        <v>2851</v>
      </c>
      <c r="D29" s="316" t="s">
        <v>102</v>
      </c>
      <c r="E29" s="316" t="s">
        <v>1372</v>
      </c>
      <c r="F29" s="316" t="s">
        <v>495</v>
      </c>
      <c r="G29" s="639" t="s">
        <v>2920</v>
      </c>
    </row>
    <row r="30" spans="1:8" x14ac:dyDescent="0.25">
      <c r="A30" s="316" t="s">
        <v>2854</v>
      </c>
      <c r="B30" s="313">
        <v>36775</v>
      </c>
      <c r="C30" s="316" t="s">
        <v>2855</v>
      </c>
      <c r="D30" s="316" t="s">
        <v>102</v>
      </c>
      <c r="E30" s="316" t="s">
        <v>1372</v>
      </c>
      <c r="F30" s="316" t="s">
        <v>495</v>
      </c>
      <c r="G30" s="639" t="s">
        <v>2920</v>
      </c>
    </row>
    <row r="31" spans="1:8" x14ac:dyDescent="0.25">
      <c r="A31" s="316" t="s">
        <v>2858</v>
      </c>
      <c r="B31" s="313">
        <v>36775</v>
      </c>
      <c r="C31" s="316" t="s">
        <v>2859</v>
      </c>
      <c r="D31" s="316" t="s">
        <v>102</v>
      </c>
      <c r="E31" s="316" t="s">
        <v>1372</v>
      </c>
      <c r="F31" s="316" t="s">
        <v>495</v>
      </c>
      <c r="G31" s="639"/>
    </row>
    <row r="32" spans="1:8" x14ac:dyDescent="0.25">
      <c r="A32" s="316" t="s">
        <v>2888</v>
      </c>
      <c r="B32" s="313">
        <v>36775</v>
      </c>
      <c r="C32" s="316" t="s">
        <v>2889</v>
      </c>
      <c r="D32" s="316" t="s">
        <v>102</v>
      </c>
      <c r="E32" s="316" t="s">
        <v>1372</v>
      </c>
      <c r="F32" s="316" t="s">
        <v>495</v>
      </c>
      <c r="G32" s="639"/>
    </row>
    <row r="33" spans="1:7" x14ac:dyDescent="0.25">
      <c r="A33" s="316" t="s">
        <v>2890</v>
      </c>
      <c r="B33" s="313">
        <v>36775</v>
      </c>
      <c r="C33" s="316" t="s">
        <v>2889</v>
      </c>
      <c r="D33" s="316" t="s">
        <v>102</v>
      </c>
      <c r="E33" s="316" t="s">
        <v>1372</v>
      </c>
      <c r="F33" s="316" t="s">
        <v>495</v>
      </c>
      <c r="G33" s="639"/>
    </row>
    <row r="34" spans="1:7" x14ac:dyDescent="0.25">
      <c r="A34" s="316" t="s">
        <v>2860</v>
      </c>
      <c r="B34" s="313">
        <v>36775</v>
      </c>
      <c r="C34" s="316" t="s">
        <v>2859</v>
      </c>
      <c r="D34" s="316" t="s">
        <v>102</v>
      </c>
      <c r="E34" s="316" t="s">
        <v>1372</v>
      </c>
      <c r="F34" s="316" t="s">
        <v>495</v>
      </c>
      <c r="G34" s="639"/>
    </row>
    <row r="35" spans="1:7" x14ac:dyDescent="0.25">
      <c r="A35" s="316" t="s">
        <v>2852</v>
      </c>
      <c r="B35" s="313">
        <v>36775</v>
      </c>
      <c r="C35" s="316" t="s">
        <v>2851</v>
      </c>
      <c r="D35" s="316" t="s">
        <v>102</v>
      </c>
      <c r="E35" s="316" t="s">
        <v>1372</v>
      </c>
      <c r="F35" s="316" t="s">
        <v>495</v>
      </c>
      <c r="G35" s="639"/>
    </row>
    <row r="36" spans="1:7" x14ac:dyDescent="0.25">
      <c r="A36" s="316" t="s">
        <v>2856</v>
      </c>
      <c r="B36" s="313">
        <v>36775</v>
      </c>
      <c r="C36" s="316" t="s">
        <v>2855</v>
      </c>
      <c r="D36" s="316" t="s">
        <v>102</v>
      </c>
      <c r="E36" s="316" t="s">
        <v>1372</v>
      </c>
      <c r="F36" s="316" t="s">
        <v>495</v>
      </c>
      <c r="G36" s="639"/>
    </row>
    <row r="37" spans="1:7" x14ac:dyDescent="0.25">
      <c r="A37" s="316" t="s">
        <v>2848</v>
      </c>
      <c r="B37" s="313">
        <v>36775</v>
      </c>
      <c r="C37" s="316" t="s">
        <v>2847</v>
      </c>
      <c r="D37" s="316" t="s">
        <v>102</v>
      </c>
      <c r="E37" s="316" t="s">
        <v>1372</v>
      </c>
      <c r="F37" s="316" t="s">
        <v>495</v>
      </c>
      <c r="G37" s="639"/>
    </row>
    <row r="38" spans="1:7" x14ac:dyDescent="0.25">
      <c r="A38" s="316" t="s">
        <v>2844</v>
      </c>
      <c r="B38" s="313">
        <v>36775</v>
      </c>
      <c r="C38" s="316" t="s">
        <v>2843</v>
      </c>
      <c r="D38" s="316" t="s">
        <v>102</v>
      </c>
      <c r="E38" s="316" t="s">
        <v>1372</v>
      </c>
      <c r="F38" s="316" t="s">
        <v>495</v>
      </c>
      <c r="G38" s="639"/>
    </row>
    <row r="39" spans="1:7" x14ac:dyDescent="0.25">
      <c r="A39" s="316" t="s">
        <v>2892</v>
      </c>
      <c r="B39" s="313">
        <v>36775</v>
      </c>
      <c r="C39" s="316" t="s">
        <v>2889</v>
      </c>
      <c r="D39" s="316" t="s">
        <v>102</v>
      </c>
      <c r="E39" s="316" t="s">
        <v>1372</v>
      </c>
      <c r="F39" s="316" t="s">
        <v>495</v>
      </c>
      <c r="G39" s="639"/>
    </row>
    <row r="40" spans="1:7" x14ac:dyDescent="0.25">
      <c r="A40" s="316" t="s">
        <v>2861</v>
      </c>
      <c r="B40" s="313">
        <v>36775</v>
      </c>
      <c r="C40" s="316" t="s">
        <v>2859</v>
      </c>
      <c r="D40" s="316" t="s">
        <v>102</v>
      </c>
      <c r="E40" s="316" t="s">
        <v>1372</v>
      </c>
      <c r="F40" s="316" t="s">
        <v>495</v>
      </c>
      <c r="G40" s="639"/>
    </row>
    <row r="41" spans="1:7" x14ac:dyDescent="0.25">
      <c r="A41" s="316" t="s">
        <v>2857</v>
      </c>
      <c r="B41" s="313">
        <v>36775</v>
      </c>
      <c r="C41" s="316" t="s">
        <v>2855</v>
      </c>
      <c r="D41" s="316" t="s">
        <v>102</v>
      </c>
      <c r="E41" s="316" t="s">
        <v>1372</v>
      </c>
      <c r="F41" s="316" t="s">
        <v>495</v>
      </c>
      <c r="G41" s="639"/>
    </row>
    <row r="42" spans="1:7" x14ac:dyDescent="0.25">
      <c r="A42" s="316" t="s">
        <v>2853</v>
      </c>
      <c r="B42" s="313">
        <v>36775</v>
      </c>
      <c r="C42" s="316" t="s">
        <v>2851</v>
      </c>
      <c r="D42" s="316" t="s">
        <v>102</v>
      </c>
      <c r="E42" s="316" t="s">
        <v>1372</v>
      </c>
      <c r="F42" s="316" t="s">
        <v>495</v>
      </c>
      <c r="G42" s="639"/>
    </row>
    <row r="43" spans="1:7" x14ac:dyDescent="0.25">
      <c r="A43" s="316" t="s">
        <v>2849</v>
      </c>
      <c r="B43" s="313">
        <v>36775</v>
      </c>
      <c r="C43" s="316" t="s">
        <v>2847</v>
      </c>
      <c r="D43" s="316" t="s">
        <v>102</v>
      </c>
      <c r="E43" s="316" t="s">
        <v>1372</v>
      </c>
      <c r="F43" s="316" t="s">
        <v>495</v>
      </c>
      <c r="G43" s="639"/>
    </row>
    <row r="44" spans="1:7" x14ac:dyDescent="0.25">
      <c r="A44" s="316" t="s">
        <v>2845</v>
      </c>
      <c r="B44" s="313">
        <v>36775</v>
      </c>
      <c r="C44" s="316" t="s">
        <v>2843</v>
      </c>
      <c r="D44" s="316" t="s">
        <v>102</v>
      </c>
      <c r="E44" s="316" t="s">
        <v>1372</v>
      </c>
      <c r="F44" s="316" t="s">
        <v>495</v>
      </c>
      <c r="G44" s="639"/>
    </row>
    <row r="45" spans="1:7" x14ac:dyDescent="0.25">
      <c r="A45" s="316" t="s">
        <v>2842</v>
      </c>
      <c r="B45" s="313">
        <v>37146</v>
      </c>
      <c r="C45" s="316" t="s">
        <v>2843</v>
      </c>
      <c r="D45" s="316" t="s">
        <v>102</v>
      </c>
      <c r="E45" s="316" t="s">
        <v>1372</v>
      </c>
      <c r="F45" s="316" t="s">
        <v>1230</v>
      </c>
      <c r="G45" s="639"/>
    </row>
    <row r="46" spans="1:7" x14ac:dyDescent="0.25">
      <c r="A46" s="316" t="s">
        <v>2846</v>
      </c>
      <c r="B46" s="313">
        <v>37146</v>
      </c>
      <c r="C46" s="316" t="s">
        <v>2847</v>
      </c>
      <c r="D46" s="316" t="s">
        <v>102</v>
      </c>
      <c r="E46" s="316" t="s">
        <v>1372</v>
      </c>
      <c r="F46" s="316" t="s">
        <v>1230</v>
      </c>
      <c r="G46" s="639"/>
    </row>
    <row r="47" spans="1:7" x14ac:dyDescent="0.25">
      <c r="A47" s="316" t="s">
        <v>2850</v>
      </c>
      <c r="B47" s="313">
        <v>37146</v>
      </c>
      <c r="C47" s="316" t="s">
        <v>2851</v>
      </c>
      <c r="D47" s="316" t="s">
        <v>102</v>
      </c>
      <c r="E47" s="316" t="s">
        <v>1372</v>
      </c>
      <c r="F47" s="316" t="s">
        <v>1230</v>
      </c>
      <c r="G47" s="639"/>
    </row>
    <row r="48" spans="1:7" x14ac:dyDescent="0.25">
      <c r="A48" s="316" t="s">
        <v>2854</v>
      </c>
      <c r="B48" s="313">
        <v>37146</v>
      </c>
      <c r="C48" s="316" t="s">
        <v>2855</v>
      </c>
      <c r="D48" s="316" t="s">
        <v>102</v>
      </c>
      <c r="E48" s="316" t="s">
        <v>1372</v>
      </c>
      <c r="F48" s="316" t="s">
        <v>1230</v>
      </c>
      <c r="G48" s="639"/>
    </row>
    <row r="49" spans="1:7" x14ac:dyDescent="0.25">
      <c r="A49" s="316" t="s">
        <v>2858</v>
      </c>
      <c r="B49" s="313">
        <v>37146</v>
      </c>
      <c r="C49" s="316" t="s">
        <v>2859</v>
      </c>
      <c r="D49" s="316" t="s">
        <v>102</v>
      </c>
      <c r="E49" s="316" t="s">
        <v>1372</v>
      </c>
      <c r="F49" s="316" t="s">
        <v>1230</v>
      </c>
      <c r="G49" s="639"/>
    </row>
    <row r="50" spans="1:7" x14ac:dyDescent="0.25">
      <c r="A50" s="316" t="s">
        <v>2888</v>
      </c>
      <c r="B50" s="313">
        <v>37146</v>
      </c>
      <c r="C50" s="316" t="s">
        <v>2889</v>
      </c>
      <c r="D50" s="316" t="s">
        <v>102</v>
      </c>
      <c r="E50" s="316" t="s">
        <v>1372</v>
      </c>
      <c r="F50" s="316" t="s">
        <v>1230</v>
      </c>
      <c r="G50" s="639"/>
    </row>
    <row r="51" spans="1:7" x14ac:dyDescent="0.25">
      <c r="A51" s="316" t="s">
        <v>2890</v>
      </c>
      <c r="B51" s="313">
        <v>37146</v>
      </c>
      <c r="C51" s="316" t="s">
        <v>2889</v>
      </c>
      <c r="D51" s="316" t="s">
        <v>102</v>
      </c>
      <c r="E51" s="316" t="s">
        <v>1372</v>
      </c>
      <c r="F51" s="316" t="s">
        <v>1230</v>
      </c>
      <c r="G51" s="639"/>
    </row>
    <row r="52" spans="1:7" x14ac:dyDescent="0.25">
      <c r="A52" s="316" t="s">
        <v>2860</v>
      </c>
      <c r="B52" s="313">
        <v>37146</v>
      </c>
      <c r="C52" s="316" t="s">
        <v>2859</v>
      </c>
      <c r="D52" s="316" t="s">
        <v>102</v>
      </c>
      <c r="E52" s="316" t="s">
        <v>1372</v>
      </c>
      <c r="F52" s="316" t="s">
        <v>1230</v>
      </c>
      <c r="G52" s="639"/>
    </row>
    <row r="53" spans="1:7" x14ac:dyDescent="0.25">
      <c r="A53" s="316" t="s">
        <v>2852</v>
      </c>
      <c r="B53" s="313">
        <v>37146</v>
      </c>
      <c r="C53" s="316" t="s">
        <v>2851</v>
      </c>
      <c r="D53" s="316" t="s">
        <v>102</v>
      </c>
      <c r="E53" s="316" t="s">
        <v>1372</v>
      </c>
      <c r="F53" s="316" t="s">
        <v>1230</v>
      </c>
      <c r="G53" s="639"/>
    </row>
    <row r="54" spans="1:7" x14ac:dyDescent="0.25">
      <c r="A54" s="316" t="s">
        <v>2856</v>
      </c>
      <c r="B54" s="313">
        <v>37146</v>
      </c>
      <c r="C54" s="316" t="s">
        <v>2855</v>
      </c>
      <c r="D54" s="316" t="s">
        <v>102</v>
      </c>
      <c r="E54" s="316" t="s">
        <v>1372</v>
      </c>
      <c r="F54" s="316" t="s">
        <v>1230</v>
      </c>
      <c r="G54" s="639"/>
    </row>
    <row r="55" spans="1:7" x14ac:dyDescent="0.25">
      <c r="A55" s="316" t="s">
        <v>2848</v>
      </c>
      <c r="B55" s="313">
        <v>37146</v>
      </c>
      <c r="C55" s="316" t="s">
        <v>2847</v>
      </c>
      <c r="D55" s="316" t="s">
        <v>102</v>
      </c>
      <c r="E55" s="316" t="s">
        <v>1372</v>
      </c>
      <c r="F55" s="316" t="s">
        <v>1230</v>
      </c>
      <c r="G55" s="639"/>
    </row>
    <row r="56" spans="1:7" x14ac:dyDescent="0.25">
      <c r="A56" s="316" t="s">
        <v>2844</v>
      </c>
      <c r="B56" s="313">
        <v>37146</v>
      </c>
      <c r="C56" s="316" t="s">
        <v>2843</v>
      </c>
      <c r="D56" s="316" t="s">
        <v>102</v>
      </c>
      <c r="E56" s="316" t="s">
        <v>1372</v>
      </c>
      <c r="F56" s="316" t="s">
        <v>1230</v>
      </c>
      <c r="G56" s="639"/>
    </row>
    <row r="57" spans="1:7" x14ac:dyDescent="0.25">
      <c r="A57" s="316" t="s">
        <v>2892</v>
      </c>
      <c r="B57" s="313">
        <v>37146</v>
      </c>
      <c r="C57" s="316" t="s">
        <v>2889</v>
      </c>
      <c r="D57" s="316" t="s">
        <v>102</v>
      </c>
      <c r="E57" s="316" t="s">
        <v>1372</v>
      </c>
      <c r="F57" s="316" t="s">
        <v>1230</v>
      </c>
      <c r="G57" s="639"/>
    </row>
    <row r="58" spans="1:7" x14ac:dyDescent="0.25">
      <c r="A58" s="316" t="s">
        <v>2861</v>
      </c>
      <c r="B58" s="313">
        <v>37146</v>
      </c>
      <c r="C58" s="316" t="s">
        <v>2859</v>
      </c>
      <c r="D58" s="316" t="s">
        <v>102</v>
      </c>
      <c r="E58" s="316" t="s">
        <v>1372</v>
      </c>
      <c r="F58" s="316" t="s">
        <v>1230</v>
      </c>
      <c r="G58" s="639"/>
    </row>
    <row r="59" spans="1:7" x14ac:dyDescent="0.25">
      <c r="A59" s="316" t="s">
        <v>2857</v>
      </c>
      <c r="B59" s="313">
        <v>37146</v>
      </c>
      <c r="C59" s="316" t="s">
        <v>2855</v>
      </c>
      <c r="D59" s="316" t="s">
        <v>102</v>
      </c>
      <c r="E59" s="316" t="s">
        <v>1372</v>
      </c>
      <c r="F59" s="316" t="s">
        <v>1230</v>
      </c>
      <c r="G59" s="639"/>
    </row>
    <row r="60" spans="1:7" x14ac:dyDescent="0.25">
      <c r="A60" s="316" t="s">
        <v>2853</v>
      </c>
      <c r="B60" s="313">
        <v>37146</v>
      </c>
      <c r="C60" s="316" t="s">
        <v>2851</v>
      </c>
      <c r="D60" s="316" t="s">
        <v>102</v>
      </c>
      <c r="E60" s="316" t="s">
        <v>1372</v>
      </c>
      <c r="F60" s="316" t="s">
        <v>1230</v>
      </c>
      <c r="G60" s="639"/>
    </row>
    <row r="61" spans="1:7" x14ac:dyDescent="0.25">
      <c r="A61" s="316" t="s">
        <v>2849</v>
      </c>
      <c r="B61" s="313">
        <v>37146</v>
      </c>
      <c r="C61" s="316" t="s">
        <v>2847</v>
      </c>
      <c r="D61" s="316" t="s">
        <v>102</v>
      </c>
      <c r="E61" s="316" t="s">
        <v>1372</v>
      </c>
      <c r="F61" s="316" t="s">
        <v>1230</v>
      </c>
      <c r="G61" s="639"/>
    </row>
    <row r="62" spans="1:7" x14ac:dyDescent="0.25">
      <c r="A62" s="316" t="s">
        <v>2845</v>
      </c>
      <c r="B62" s="313">
        <v>37146</v>
      </c>
      <c r="C62" s="316" t="s">
        <v>2843</v>
      </c>
      <c r="D62" s="316" t="s">
        <v>102</v>
      </c>
      <c r="E62" s="316" t="s">
        <v>1372</v>
      </c>
      <c r="F62" s="316" t="s">
        <v>1230</v>
      </c>
      <c r="G62" s="639"/>
    </row>
    <row r="63" spans="1:7" x14ac:dyDescent="0.25">
      <c r="A63" s="316" t="s">
        <v>2842</v>
      </c>
      <c r="B63" s="313">
        <v>37146</v>
      </c>
      <c r="C63" s="316" t="s">
        <v>2843</v>
      </c>
      <c r="D63" s="316" t="s">
        <v>102</v>
      </c>
      <c r="E63" s="316" t="s">
        <v>1372</v>
      </c>
      <c r="F63" s="316" t="s">
        <v>495</v>
      </c>
      <c r="G63" s="639"/>
    </row>
    <row r="64" spans="1:7" x14ac:dyDescent="0.25">
      <c r="A64" s="316" t="s">
        <v>2846</v>
      </c>
      <c r="B64" s="313">
        <v>37146</v>
      </c>
      <c r="C64" s="316" t="s">
        <v>2847</v>
      </c>
      <c r="D64" s="316" t="s">
        <v>102</v>
      </c>
      <c r="E64" s="316" t="s">
        <v>1372</v>
      </c>
      <c r="F64" s="316" t="s">
        <v>495</v>
      </c>
      <c r="G64" s="639"/>
    </row>
    <row r="65" spans="1:7" x14ac:dyDescent="0.25">
      <c r="A65" s="316" t="s">
        <v>2850</v>
      </c>
      <c r="B65" s="313">
        <v>37146</v>
      </c>
      <c r="C65" s="316" t="s">
        <v>2851</v>
      </c>
      <c r="D65" s="316" t="s">
        <v>102</v>
      </c>
      <c r="E65" s="316" t="s">
        <v>1372</v>
      </c>
      <c r="F65" s="316" t="s">
        <v>495</v>
      </c>
      <c r="G65" s="639"/>
    </row>
    <row r="66" spans="1:7" x14ac:dyDescent="0.25">
      <c r="A66" s="316" t="s">
        <v>2854</v>
      </c>
      <c r="B66" s="313">
        <v>37146</v>
      </c>
      <c r="C66" s="316" t="s">
        <v>2855</v>
      </c>
      <c r="D66" s="316" t="s">
        <v>102</v>
      </c>
      <c r="E66" s="316" t="s">
        <v>1372</v>
      </c>
      <c r="F66" s="316" t="s">
        <v>495</v>
      </c>
      <c r="G66" s="639"/>
    </row>
    <row r="67" spans="1:7" x14ac:dyDescent="0.25">
      <c r="A67" s="316" t="s">
        <v>2858</v>
      </c>
      <c r="B67" s="313">
        <v>37146</v>
      </c>
      <c r="C67" s="316" t="s">
        <v>2859</v>
      </c>
      <c r="D67" s="316" t="s">
        <v>102</v>
      </c>
      <c r="E67" s="316" t="s">
        <v>1372</v>
      </c>
      <c r="F67" s="316" t="s">
        <v>495</v>
      </c>
      <c r="G67" s="639"/>
    </row>
    <row r="68" spans="1:7" x14ac:dyDescent="0.25">
      <c r="A68" s="316" t="s">
        <v>2888</v>
      </c>
      <c r="B68" s="313">
        <v>37146</v>
      </c>
      <c r="C68" s="316" t="s">
        <v>2889</v>
      </c>
      <c r="D68" s="316" t="s">
        <v>102</v>
      </c>
      <c r="E68" s="316" t="s">
        <v>1372</v>
      </c>
      <c r="F68" s="316" t="s">
        <v>495</v>
      </c>
      <c r="G68" s="639"/>
    </row>
    <row r="69" spans="1:7" x14ac:dyDescent="0.25">
      <c r="A69" s="316" t="s">
        <v>2890</v>
      </c>
      <c r="B69" s="313">
        <v>37146</v>
      </c>
      <c r="C69" s="316" t="s">
        <v>2889</v>
      </c>
      <c r="D69" s="316" t="s">
        <v>102</v>
      </c>
      <c r="E69" s="316" t="s">
        <v>1372</v>
      </c>
      <c r="F69" s="316" t="s">
        <v>495</v>
      </c>
      <c r="G69" s="639"/>
    </row>
    <row r="70" spans="1:7" x14ac:dyDescent="0.25">
      <c r="A70" s="316" t="s">
        <v>2860</v>
      </c>
      <c r="B70" s="313">
        <v>37146</v>
      </c>
      <c r="C70" s="316" t="s">
        <v>2859</v>
      </c>
      <c r="D70" s="316" t="s">
        <v>102</v>
      </c>
      <c r="E70" s="316" t="s">
        <v>1372</v>
      </c>
      <c r="F70" s="316" t="s">
        <v>495</v>
      </c>
      <c r="G70" s="639"/>
    </row>
    <row r="71" spans="1:7" x14ac:dyDescent="0.25">
      <c r="A71" s="316" t="s">
        <v>2852</v>
      </c>
      <c r="B71" s="313">
        <v>37146</v>
      </c>
      <c r="C71" s="316" t="s">
        <v>2851</v>
      </c>
      <c r="D71" s="316" t="s">
        <v>102</v>
      </c>
      <c r="E71" s="316" t="s">
        <v>1372</v>
      </c>
      <c r="F71" s="316" t="s">
        <v>495</v>
      </c>
      <c r="G71" s="639"/>
    </row>
    <row r="72" spans="1:7" x14ac:dyDescent="0.25">
      <c r="A72" s="316" t="s">
        <v>2856</v>
      </c>
      <c r="B72" s="313">
        <v>37146</v>
      </c>
      <c r="C72" s="316" t="s">
        <v>2855</v>
      </c>
      <c r="D72" s="316" t="s">
        <v>102</v>
      </c>
      <c r="E72" s="316" t="s">
        <v>1372</v>
      </c>
      <c r="F72" s="316" t="s">
        <v>495</v>
      </c>
      <c r="G72" s="639"/>
    </row>
    <row r="73" spans="1:7" x14ac:dyDescent="0.25">
      <c r="A73" s="316" t="s">
        <v>2848</v>
      </c>
      <c r="B73" s="313">
        <v>37146</v>
      </c>
      <c r="C73" s="316" t="s">
        <v>2847</v>
      </c>
      <c r="D73" s="316" t="s">
        <v>102</v>
      </c>
      <c r="E73" s="316" t="s">
        <v>1372</v>
      </c>
      <c r="F73" s="316" t="s">
        <v>495</v>
      </c>
      <c r="G73" s="639"/>
    </row>
    <row r="74" spans="1:7" x14ac:dyDescent="0.25">
      <c r="A74" s="316" t="s">
        <v>2844</v>
      </c>
      <c r="B74" s="313">
        <v>37146</v>
      </c>
      <c r="C74" s="316" t="s">
        <v>2843</v>
      </c>
      <c r="D74" s="316" t="s">
        <v>102</v>
      </c>
      <c r="E74" s="316" t="s">
        <v>1372</v>
      </c>
      <c r="F74" s="316" t="s">
        <v>495</v>
      </c>
      <c r="G74" s="639"/>
    </row>
    <row r="75" spans="1:7" x14ac:dyDescent="0.25">
      <c r="A75" s="316" t="s">
        <v>2892</v>
      </c>
      <c r="B75" s="313">
        <v>37146</v>
      </c>
      <c r="C75" s="316" t="s">
        <v>2889</v>
      </c>
      <c r="D75" s="316" t="s">
        <v>102</v>
      </c>
      <c r="E75" s="316" t="s">
        <v>1372</v>
      </c>
      <c r="F75" s="316" t="s">
        <v>495</v>
      </c>
      <c r="G75" s="639"/>
    </row>
    <row r="76" spans="1:7" x14ac:dyDescent="0.25">
      <c r="A76" s="316" t="s">
        <v>2861</v>
      </c>
      <c r="B76" s="313">
        <v>37146</v>
      </c>
      <c r="C76" s="316" t="s">
        <v>2859</v>
      </c>
      <c r="D76" s="316" t="s">
        <v>102</v>
      </c>
      <c r="E76" s="316" t="s">
        <v>1372</v>
      </c>
      <c r="F76" s="316" t="s">
        <v>495</v>
      </c>
      <c r="G76" s="639"/>
    </row>
    <row r="77" spans="1:7" x14ac:dyDescent="0.25">
      <c r="A77" s="316" t="s">
        <v>2857</v>
      </c>
      <c r="B77" s="313">
        <v>37146</v>
      </c>
      <c r="C77" s="316" t="s">
        <v>2855</v>
      </c>
      <c r="D77" s="316" t="s">
        <v>102</v>
      </c>
      <c r="E77" s="316" t="s">
        <v>1372</v>
      </c>
      <c r="F77" s="316" t="s">
        <v>495</v>
      </c>
      <c r="G77" s="639"/>
    </row>
    <row r="78" spans="1:7" x14ac:dyDescent="0.25">
      <c r="A78" s="316" t="s">
        <v>2853</v>
      </c>
      <c r="B78" s="313">
        <v>37146</v>
      </c>
      <c r="C78" s="316" t="s">
        <v>2851</v>
      </c>
      <c r="D78" s="316" t="s">
        <v>102</v>
      </c>
      <c r="E78" s="316" t="s">
        <v>1372</v>
      </c>
      <c r="F78" s="316" t="s">
        <v>495</v>
      </c>
      <c r="G78" s="639"/>
    </row>
    <row r="79" spans="1:7" x14ac:dyDescent="0.25">
      <c r="A79" s="316" t="s">
        <v>2849</v>
      </c>
      <c r="B79" s="313">
        <v>37146</v>
      </c>
      <c r="C79" s="316" t="s">
        <v>2847</v>
      </c>
      <c r="D79" s="316" t="s">
        <v>102</v>
      </c>
      <c r="E79" s="316" t="s">
        <v>1372</v>
      </c>
      <c r="F79" s="316" t="s">
        <v>495</v>
      </c>
      <c r="G79" s="639"/>
    </row>
    <row r="80" spans="1:7" x14ac:dyDescent="0.25">
      <c r="A80" s="316" t="s">
        <v>2845</v>
      </c>
      <c r="B80" s="313">
        <v>37146</v>
      </c>
      <c r="C80" s="316" t="s">
        <v>2843</v>
      </c>
      <c r="D80" s="316" t="s">
        <v>102</v>
      </c>
      <c r="E80" s="316" t="s">
        <v>1372</v>
      </c>
      <c r="F80" s="316" t="s">
        <v>495</v>
      </c>
      <c r="G80" s="639"/>
    </row>
    <row r="81" spans="1:7" x14ac:dyDescent="0.25">
      <c r="A81" s="316" t="s">
        <v>2842</v>
      </c>
      <c r="B81" s="313">
        <v>37504</v>
      </c>
      <c r="C81" s="316" t="s">
        <v>2843</v>
      </c>
      <c r="D81" s="316" t="s">
        <v>102</v>
      </c>
      <c r="E81" s="316" t="s">
        <v>1372</v>
      </c>
      <c r="F81" s="316" t="s">
        <v>1230</v>
      </c>
      <c r="G81" s="639"/>
    </row>
    <row r="82" spans="1:7" x14ac:dyDescent="0.25">
      <c r="A82" s="316" t="s">
        <v>2846</v>
      </c>
      <c r="B82" s="313">
        <v>37504</v>
      </c>
      <c r="C82" s="316" t="s">
        <v>2847</v>
      </c>
      <c r="D82" s="316" t="s">
        <v>102</v>
      </c>
      <c r="E82" s="316" t="s">
        <v>1372</v>
      </c>
      <c r="F82" s="316" t="s">
        <v>1230</v>
      </c>
      <c r="G82" s="639"/>
    </row>
    <row r="83" spans="1:7" x14ac:dyDescent="0.25">
      <c r="A83" s="316" t="s">
        <v>2850</v>
      </c>
      <c r="B83" s="313">
        <v>37504</v>
      </c>
      <c r="C83" s="316" t="s">
        <v>2851</v>
      </c>
      <c r="D83" s="316" t="s">
        <v>102</v>
      </c>
      <c r="E83" s="316" t="s">
        <v>1372</v>
      </c>
      <c r="F83" s="316" t="s">
        <v>1230</v>
      </c>
      <c r="G83" s="639"/>
    </row>
    <row r="84" spans="1:7" x14ac:dyDescent="0.25">
      <c r="A84" s="316" t="s">
        <v>2854</v>
      </c>
      <c r="B84" s="313">
        <v>37504</v>
      </c>
      <c r="C84" s="316" t="s">
        <v>2855</v>
      </c>
      <c r="D84" s="316" t="s">
        <v>102</v>
      </c>
      <c r="E84" s="316" t="s">
        <v>1372</v>
      </c>
      <c r="F84" s="316" t="s">
        <v>1230</v>
      </c>
      <c r="G84" s="639"/>
    </row>
    <row r="85" spans="1:7" x14ac:dyDescent="0.25">
      <c r="A85" s="316" t="s">
        <v>2858</v>
      </c>
      <c r="B85" s="313">
        <v>37504</v>
      </c>
      <c r="C85" s="316" t="s">
        <v>2859</v>
      </c>
      <c r="D85" s="316" t="s">
        <v>102</v>
      </c>
      <c r="E85" s="316" t="s">
        <v>1372</v>
      </c>
      <c r="F85" s="316" t="s">
        <v>1230</v>
      </c>
      <c r="G85" s="639"/>
    </row>
    <row r="86" spans="1:7" x14ac:dyDescent="0.25">
      <c r="A86" s="316" t="s">
        <v>2888</v>
      </c>
      <c r="B86" s="313">
        <v>37504</v>
      </c>
      <c r="C86" s="316" t="s">
        <v>2889</v>
      </c>
      <c r="D86" s="316" t="s">
        <v>102</v>
      </c>
      <c r="E86" s="316" t="s">
        <v>1372</v>
      </c>
      <c r="F86" s="316" t="s">
        <v>1230</v>
      </c>
      <c r="G86" s="639"/>
    </row>
    <row r="87" spans="1:7" x14ac:dyDescent="0.25">
      <c r="A87" s="316" t="s">
        <v>2890</v>
      </c>
      <c r="B87" s="313">
        <v>37504</v>
      </c>
      <c r="C87" s="316" t="s">
        <v>2889</v>
      </c>
      <c r="D87" s="316" t="s">
        <v>102</v>
      </c>
      <c r="E87" s="316" t="s">
        <v>1372</v>
      </c>
      <c r="F87" s="316" t="s">
        <v>1230</v>
      </c>
      <c r="G87" s="639"/>
    </row>
    <row r="88" spans="1:7" x14ac:dyDescent="0.25">
      <c r="A88" s="316" t="s">
        <v>2860</v>
      </c>
      <c r="B88" s="313">
        <v>37504</v>
      </c>
      <c r="C88" s="316" t="s">
        <v>2859</v>
      </c>
      <c r="D88" s="316" t="s">
        <v>102</v>
      </c>
      <c r="E88" s="316" t="s">
        <v>1372</v>
      </c>
      <c r="F88" s="316" t="s">
        <v>1230</v>
      </c>
      <c r="G88" s="639"/>
    </row>
    <row r="89" spans="1:7" x14ac:dyDescent="0.25">
      <c r="A89" s="316" t="s">
        <v>2852</v>
      </c>
      <c r="B89" s="313">
        <v>37504</v>
      </c>
      <c r="C89" s="316" t="s">
        <v>2851</v>
      </c>
      <c r="D89" s="316" t="s">
        <v>102</v>
      </c>
      <c r="E89" s="316" t="s">
        <v>1372</v>
      </c>
      <c r="F89" s="316" t="s">
        <v>1230</v>
      </c>
      <c r="G89" s="639"/>
    </row>
    <row r="90" spans="1:7" x14ac:dyDescent="0.25">
      <c r="A90" s="316" t="s">
        <v>2856</v>
      </c>
      <c r="B90" s="313">
        <v>37504</v>
      </c>
      <c r="C90" s="316" t="s">
        <v>2855</v>
      </c>
      <c r="D90" s="316" t="s">
        <v>102</v>
      </c>
      <c r="E90" s="316" t="s">
        <v>1372</v>
      </c>
      <c r="F90" s="316" t="s">
        <v>1230</v>
      </c>
      <c r="G90" s="639"/>
    </row>
    <row r="91" spans="1:7" x14ac:dyDescent="0.25">
      <c r="A91" s="316" t="s">
        <v>2848</v>
      </c>
      <c r="B91" s="313">
        <v>37504</v>
      </c>
      <c r="C91" s="316" t="s">
        <v>2847</v>
      </c>
      <c r="D91" s="316" t="s">
        <v>102</v>
      </c>
      <c r="E91" s="316" t="s">
        <v>1372</v>
      </c>
      <c r="F91" s="316" t="s">
        <v>1230</v>
      </c>
      <c r="G91" s="639"/>
    </row>
    <row r="92" spans="1:7" x14ac:dyDescent="0.25">
      <c r="A92" s="316" t="s">
        <v>2844</v>
      </c>
      <c r="B92" s="313">
        <v>37504</v>
      </c>
      <c r="C92" s="316" t="s">
        <v>2843</v>
      </c>
      <c r="D92" s="316" t="s">
        <v>102</v>
      </c>
      <c r="E92" s="316" t="s">
        <v>1372</v>
      </c>
      <c r="F92" s="316" t="s">
        <v>1230</v>
      </c>
      <c r="G92" s="639"/>
    </row>
    <row r="93" spans="1:7" x14ac:dyDescent="0.25">
      <c r="A93" s="316" t="s">
        <v>2892</v>
      </c>
      <c r="B93" s="313">
        <v>37504</v>
      </c>
      <c r="C93" s="316" t="s">
        <v>2889</v>
      </c>
      <c r="D93" s="316" t="s">
        <v>102</v>
      </c>
      <c r="E93" s="316" t="s">
        <v>1372</v>
      </c>
      <c r="F93" s="316" t="s">
        <v>1230</v>
      </c>
      <c r="G93" s="639"/>
    </row>
    <row r="94" spans="1:7" x14ac:dyDescent="0.25">
      <c r="A94" s="316" t="s">
        <v>2861</v>
      </c>
      <c r="B94" s="313">
        <v>37504</v>
      </c>
      <c r="C94" s="316" t="s">
        <v>2859</v>
      </c>
      <c r="D94" s="316" t="s">
        <v>102</v>
      </c>
      <c r="E94" s="316" t="s">
        <v>1372</v>
      </c>
      <c r="F94" s="316" t="s">
        <v>1230</v>
      </c>
      <c r="G94" s="639"/>
    </row>
    <row r="95" spans="1:7" x14ac:dyDescent="0.25">
      <c r="A95" s="316" t="s">
        <v>2857</v>
      </c>
      <c r="B95" s="313">
        <v>37504</v>
      </c>
      <c r="C95" s="316" t="s">
        <v>2855</v>
      </c>
      <c r="D95" s="316" t="s">
        <v>102</v>
      </c>
      <c r="E95" s="316" t="s">
        <v>1372</v>
      </c>
      <c r="F95" s="316" t="s">
        <v>1230</v>
      </c>
      <c r="G95" s="639"/>
    </row>
    <row r="96" spans="1:7" x14ac:dyDescent="0.25">
      <c r="A96" s="316" t="s">
        <v>2853</v>
      </c>
      <c r="B96" s="313">
        <v>37504</v>
      </c>
      <c r="C96" s="316" t="s">
        <v>2851</v>
      </c>
      <c r="D96" s="316" t="s">
        <v>102</v>
      </c>
      <c r="E96" s="316" t="s">
        <v>1372</v>
      </c>
      <c r="F96" s="316" t="s">
        <v>1230</v>
      </c>
      <c r="G96" s="639"/>
    </row>
    <row r="97" spans="1:7" x14ac:dyDescent="0.25">
      <c r="A97" s="316" t="s">
        <v>2849</v>
      </c>
      <c r="B97" s="313">
        <v>37504</v>
      </c>
      <c r="C97" s="316" t="s">
        <v>2847</v>
      </c>
      <c r="D97" s="316" t="s">
        <v>102</v>
      </c>
      <c r="E97" s="316" t="s">
        <v>1372</v>
      </c>
      <c r="F97" s="316" t="s">
        <v>1230</v>
      </c>
      <c r="G97" s="639"/>
    </row>
    <row r="98" spans="1:7" x14ac:dyDescent="0.25">
      <c r="A98" s="316" t="s">
        <v>2845</v>
      </c>
      <c r="B98" s="313">
        <v>37504</v>
      </c>
      <c r="C98" s="316" t="s">
        <v>2843</v>
      </c>
      <c r="D98" s="316" t="s">
        <v>102</v>
      </c>
      <c r="E98" s="316" t="s">
        <v>1372</v>
      </c>
      <c r="F98" s="316" t="s">
        <v>1230</v>
      </c>
      <c r="G98" s="639"/>
    </row>
    <row r="99" spans="1:7" x14ac:dyDescent="0.25">
      <c r="A99" s="316" t="s">
        <v>2842</v>
      </c>
      <c r="B99" s="313">
        <v>37504</v>
      </c>
      <c r="C99" s="316" t="s">
        <v>2843</v>
      </c>
      <c r="D99" s="316" t="s">
        <v>102</v>
      </c>
      <c r="E99" s="316" t="s">
        <v>1372</v>
      </c>
      <c r="F99" s="316" t="s">
        <v>495</v>
      </c>
      <c r="G99" s="639"/>
    </row>
    <row r="100" spans="1:7" x14ac:dyDescent="0.25">
      <c r="A100" s="316" t="s">
        <v>2846</v>
      </c>
      <c r="B100" s="313">
        <v>37504</v>
      </c>
      <c r="C100" s="316" t="s">
        <v>2847</v>
      </c>
      <c r="D100" s="316" t="s">
        <v>102</v>
      </c>
      <c r="E100" s="316" t="s">
        <v>1372</v>
      </c>
      <c r="F100" s="316" t="s">
        <v>495</v>
      </c>
      <c r="G100" s="639"/>
    </row>
    <row r="101" spans="1:7" x14ac:dyDescent="0.25">
      <c r="A101" s="316" t="s">
        <v>2850</v>
      </c>
      <c r="B101" s="313">
        <v>37504</v>
      </c>
      <c r="C101" s="316" t="s">
        <v>2851</v>
      </c>
      <c r="D101" s="316" t="s">
        <v>102</v>
      </c>
      <c r="E101" s="316" t="s">
        <v>1372</v>
      </c>
      <c r="F101" s="316" t="s">
        <v>495</v>
      </c>
      <c r="G101" s="639"/>
    </row>
    <row r="102" spans="1:7" x14ac:dyDescent="0.25">
      <c r="A102" s="316" t="s">
        <v>2854</v>
      </c>
      <c r="B102" s="313">
        <v>37504</v>
      </c>
      <c r="C102" s="316" t="s">
        <v>2855</v>
      </c>
      <c r="D102" s="316" t="s">
        <v>102</v>
      </c>
      <c r="E102" s="316" t="s">
        <v>1372</v>
      </c>
      <c r="F102" s="316" t="s">
        <v>495</v>
      </c>
      <c r="G102" s="639"/>
    </row>
    <row r="103" spans="1:7" x14ac:dyDescent="0.25">
      <c r="A103" s="316" t="s">
        <v>2858</v>
      </c>
      <c r="B103" s="313">
        <v>37504</v>
      </c>
      <c r="C103" s="316" t="s">
        <v>2859</v>
      </c>
      <c r="D103" s="316" t="s">
        <v>102</v>
      </c>
      <c r="E103" s="316" t="s">
        <v>1372</v>
      </c>
      <c r="F103" s="316" t="s">
        <v>495</v>
      </c>
      <c r="G103" s="639"/>
    </row>
    <row r="104" spans="1:7" x14ac:dyDescent="0.25">
      <c r="A104" s="316" t="s">
        <v>2888</v>
      </c>
      <c r="B104" s="313">
        <v>37504</v>
      </c>
      <c r="C104" s="316" t="s">
        <v>2889</v>
      </c>
      <c r="D104" s="316" t="s">
        <v>102</v>
      </c>
      <c r="E104" s="316" t="s">
        <v>1372</v>
      </c>
      <c r="F104" s="316" t="s">
        <v>495</v>
      </c>
      <c r="G104" s="639"/>
    </row>
    <row r="105" spans="1:7" x14ac:dyDescent="0.25">
      <c r="A105" s="316" t="s">
        <v>2890</v>
      </c>
      <c r="B105" s="313">
        <v>37504</v>
      </c>
      <c r="C105" s="316" t="s">
        <v>2889</v>
      </c>
      <c r="D105" s="316" t="s">
        <v>102</v>
      </c>
      <c r="E105" s="316" t="s">
        <v>1372</v>
      </c>
      <c r="F105" s="316" t="s">
        <v>495</v>
      </c>
      <c r="G105" s="639"/>
    </row>
    <row r="106" spans="1:7" x14ac:dyDescent="0.25">
      <c r="A106" s="316" t="s">
        <v>2860</v>
      </c>
      <c r="B106" s="313">
        <v>37504</v>
      </c>
      <c r="C106" s="316" t="s">
        <v>2859</v>
      </c>
      <c r="D106" s="316" t="s">
        <v>102</v>
      </c>
      <c r="E106" s="316" t="s">
        <v>1372</v>
      </c>
      <c r="F106" s="316" t="s">
        <v>495</v>
      </c>
      <c r="G106" s="639"/>
    </row>
    <row r="107" spans="1:7" x14ac:dyDescent="0.25">
      <c r="A107" s="316" t="s">
        <v>2852</v>
      </c>
      <c r="B107" s="313">
        <v>37504</v>
      </c>
      <c r="C107" s="316" t="s">
        <v>2851</v>
      </c>
      <c r="D107" s="316" t="s">
        <v>102</v>
      </c>
      <c r="E107" s="316" t="s">
        <v>1372</v>
      </c>
      <c r="F107" s="316" t="s">
        <v>495</v>
      </c>
      <c r="G107" s="639"/>
    </row>
    <row r="108" spans="1:7" x14ac:dyDescent="0.25">
      <c r="A108" s="316" t="s">
        <v>2856</v>
      </c>
      <c r="B108" s="313">
        <v>37504</v>
      </c>
      <c r="C108" s="316" t="s">
        <v>2855</v>
      </c>
      <c r="D108" s="316" t="s">
        <v>102</v>
      </c>
      <c r="E108" s="316" t="s">
        <v>1372</v>
      </c>
      <c r="F108" s="316" t="s">
        <v>495</v>
      </c>
      <c r="G108" s="639"/>
    </row>
    <row r="109" spans="1:7" x14ac:dyDescent="0.25">
      <c r="A109" s="316" t="s">
        <v>2848</v>
      </c>
      <c r="B109" s="313">
        <v>37504</v>
      </c>
      <c r="C109" s="316" t="s">
        <v>2847</v>
      </c>
      <c r="D109" s="316" t="s">
        <v>102</v>
      </c>
      <c r="E109" s="316" t="s">
        <v>1372</v>
      </c>
      <c r="F109" s="316" t="s">
        <v>495</v>
      </c>
      <c r="G109" s="639"/>
    </row>
    <row r="110" spans="1:7" x14ac:dyDescent="0.25">
      <c r="A110" s="316" t="s">
        <v>2844</v>
      </c>
      <c r="B110" s="313">
        <v>37504</v>
      </c>
      <c r="C110" s="316" t="s">
        <v>2843</v>
      </c>
      <c r="D110" s="316" t="s">
        <v>102</v>
      </c>
      <c r="E110" s="316" t="s">
        <v>1372</v>
      </c>
      <c r="F110" s="316" t="s">
        <v>495</v>
      </c>
      <c r="G110" s="639"/>
    </row>
    <row r="111" spans="1:7" x14ac:dyDescent="0.25">
      <c r="A111" s="316" t="s">
        <v>2892</v>
      </c>
      <c r="B111" s="313">
        <v>37504</v>
      </c>
      <c r="C111" s="316" t="s">
        <v>2889</v>
      </c>
      <c r="D111" s="316" t="s">
        <v>102</v>
      </c>
      <c r="E111" s="316" t="s">
        <v>1372</v>
      </c>
      <c r="F111" s="316" t="s">
        <v>495</v>
      </c>
      <c r="G111" s="639"/>
    </row>
    <row r="112" spans="1:7" x14ac:dyDescent="0.25">
      <c r="A112" s="316" t="s">
        <v>2861</v>
      </c>
      <c r="B112" s="313">
        <v>37504</v>
      </c>
      <c r="C112" s="316" t="s">
        <v>2859</v>
      </c>
      <c r="D112" s="316" t="s">
        <v>102</v>
      </c>
      <c r="E112" s="316" t="s">
        <v>1372</v>
      </c>
      <c r="F112" s="316" t="s">
        <v>495</v>
      </c>
      <c r="G112" s="639"/>
    </row>
    <row r="113" spans="1:7" x14ac:dyDescent="0.25">
      <c r="A113" s="316" t="s">
        <v>2857</v>
      </c>
      <c r="B113" s="313">
        <v>37504</v>
      </c>
      <c r="C113" s="316" t="s">
        <v>2855</v>
      </c>
      <c r="D113" s="316" t="s">
        <v>102</v>
      </c>
      <c r="E113" s="316" t="s">
        <v>1372</v>
      </c>
      <c r="F113" s="316" t="s">
        <v>495</v>
      </c>
      <c r="G113" s="639"/>
    </row>
    <row r="114" spans="1:7" x14ac:dyDescent="0.25">
      <c r="A114" s="316" t="s">
        <v>2853</v>
      </c>
      <c r="B114" s="313">
        <v>37504</v>
      </c>
      <c r="C114" s="316" t="s">
        <v>2851</v>
      </c>
      <c r="D114" s="316" t="s">
        <v>102</v>
      </c>
      <c r="E114" s="316" t="s">
        <v>1372</v>
      </c>
      <c r="F114" s="316" t="s">
        <v>495</v>
      </c>
      <c r="G114" s="639"/>
    </row>
    <row r="115" spans="1:7" x14ac:dyDescent="0.25">
      <c r="A115" s="316" t="s">
        <v>2849</v>
      </c>
      <c r="B115" s="313">
        <v>37504</v>
      </c>
      <c r="C115" s="316" t="s">
        <v>2847</v>
      </c>
      <c r="D115" s="316" t="s">
        <v>102</v>
      </c>
      <c r="E115" s="316" t="s">
        <v>1372</v>
      </c>
      <c r="F115" s="316" t="s">
        <v>495</v>
      </c>
      <c r="G115" s="639"/>
    </row>
    <row r="116" spans="1:7" x14ac:dyDescent="0.25">
      <c r="A116" s="316" t="s">
        <v>2845</v>
      </c>
      <c r="B116" s="313">
        <v>37880</v>
      </c>
      <c r="C116" s="316" t="s">
        <v>2843</v>
      </c>
      <c r="D116" s="316" t="s">
        <v>102</v>
      </c>
      <c r="E116" s="316" t="s">
        <v>1372</v>
      </c>
      <c r="F116" s="316" t="s">
        <v>495</v>
      </c>
      <c r="G116" s="639"/>
    </row>
    <row r="117" spans="1:7" x14ac:dyDescent="0.25">
      <c r="A117" s="316" t="s">
        <v>2842</v>
      </c>
      <c r="B117" s="313">
        <v>37880</v>
      </c>
      <c r="C117" s="316" t="s">
        <v>2843</v>
      </c>
      <c r="D117" s="316" t="s">
        <v>102</v>
      </c>
      <c r="E117" s="316" t="s">
        <v>1372</v>
      </c>
      <c r="F117" s="316" t="s">
        <v>1230</v>
      </c>
      <c r="G117" s="639"/>
    </row>
    <row r="118" spans="1:7" x14ac:dyDescent="0.25">
      <c r="A118" s="316" t="s">
        <v>2846</v>
      </c>
      <c r="B118" s="313">
        <v>37880</v>
      </c>
      <c r="C118" s="316" t="s">
        <v>2847</v>
      </c>
      <c r="D118" s="316" t="s">
        <v>102</v>
      </c>
      <c r="E118" s="316" t="s">
        <v>1372</v>
      </c>
      <c r="F118" s="316" t="s">
        <v>1230</v>
      </c>
      <c r="G118" s="639"/>
    </row>
    <row r="119" spans="1:7" x14ac:dyDescent="0.25">
      <c r="A119" s="316" t="s">
        <v>2850</v>
      </c>
      <c r="B119" s="313">
        <v>37880</v>
      </c>
      <c r="C119" s="316" t="s">
        <v>2851</v>
      </c>
      <c r="D119" s="316" t="s">
        <v>102</v>
      </c>
      <c r="E119" s="316" t="s">
        <v>1372</v>
      </c>
      <c r="F119" s="316" t="s">
        <v>1230</v>
      </c>
      <c r="G119" s="639"/>
    </row>
    <row r="120" spans="1:7" x14ac:dyDescent="0.25">
      <c r="A120" s="316" t="s">
        <v>2854</v>
      </c>
      <c r="B120" s="313">
        <v>37880</v>
      </c>
      <c r="C120" s="316" t="s">
        <v>2855</v>
      </c>
      <c r="D120" s="316" t="s">
        <v>102</v>
      </c>
      <c r="E120" s="316" t="s">
        <v>1372</v>
      </c>
      <c r="F120" s="316" t="s">
        <v>1230</v>
      </c>
      <c r="G120" s="639"/>
    </row>
    <row r="121" spans="1:7" x14ac:dyDescent="0.25">
      <c r="A121" s="316" t="s">
        <v>2858</v>
      </c>
      <c r="B121" s="313">
        <v>37880</v>
      </c>
      <c r="C121" s="316" t="s">
        <v>2859</v>
      </c>
      <c r="D121" s="316" t="s">
        <v>102</v>
      </c>
      <c r="E121" s="316" t="s">
        <v>1372</v>
      </c>
      <c r="F121" s="316" t="s">
        <v>1230</v>
      </c>
      <c r="G121" s="639"/>
    </row>
    <row r="122" spans="1:7" x14ac:dyDescent="0.25">
      <c r="A122" s="316" t="s">
        <v>2888</v>
      </c>
      <c r="B122" s="313">
        <v>37880</v>
      </c>
      <c r="C122" s="316" t="s">
        <v>2889</v>
      </c>
      <c r="D122" s="316" t="s">
        <v>102</v>
      </c>
      <c r="E122" s="316" t="s">
        <v>1372</v>
      </c>
      <c r="F122" s="316" t="s">
        <v>1230</v>
      </c>
      <c r="G122" s="639"/>
    </row>
    <row r="123" spans="1:7" x14ac:dyDescent="0.25">
      <c r="A123" s="316" t="s">
        <v>2890</v>
      </c>
      <c r="B123" s="313">
        <v>37880</v>
      </c>
      <c r="C123" s="316" t="s">
        <v>2889</v>
      </c>
      <c r="D123" s="316" t="s">
        <v>102</v>
      </c>
      <c r="E123" s="316" t="s">
        <v>1372</v>
      </c>
      <c r="F123" s="316" t="s">
        <v>1230</v>
      </c>
      <c r="G123" s="639"/>
    </row>
    <row r="124" spans="1:7" x14ac:dyDescent="0.25">
      <c r="A124" s="316" t="s">
        <v>2860</v>
      </c>
      <c r="B124" s="313">
        <v>37880</v>
      </c>
      <c r="C124" s="316" t="s">
        <v>2859</v>
      </c>
      <c r="D124" s="316" t="s">
        <v>102</v>
      </c>
      <c r="E124" s="316" t="s">
        <v>1372</v>
      </c>
      <c r="F124" s="316" t="s">
        <v>1230</v>
      </c>
      <c r="G124" s="639"/>
    </row>
    <row r="125" spans="1:7" x14ac:dyDescent="0.25">
      <c r="A125" s="316" t="s">
        <v>2852</v>
      </c>
      <c r="B125" s="313">
        <v>37880</v>
      </c>
      <c r="C125" s="316" t="s">
        <v>2851</v>
      </c>
      <c r="D125" s="316" t="s">
        <v>102</v>
      </c>
      <c r="E125" s="316" t="s">
        <v>1372</v>
      </c>
      <c r="F125" s="316" t="s">
        <v>1230</v>
      </c>
      <c r="G125" s="639"/>
    </row>
    <row r="126" spans="1:7" x14ac:dyDescent="0.25">
      <c r="A126" s="316" t="s">
        <v>2856</v>
      </c>
      <c r="B126" s="313">
        <v>37880</v>
      </c>
      <c r="C126" s="316" t="s">
        <v>2855</v>
      </c>
      <c r="D126" s="316" t="s">
        <v>102</v>
      </c>
      <c r="E126" s="316" t="s">
        <v>1372</v>
      </c>
      <c r="F126" s="316" t="s">
        <v>1230</v>
      </c>
      <c r="G126" s="639"/>
    </row>
    <row r="127" spans="1:7" x14ac:dyDescent="0.25">
      <c r="A127" s="316" t="s">
        <v>2848</v>
      </c>
      <c r="B127" s="313">
        <v>37880</v>
      </c>
      <c r="C127" s="316" t="s">
        <v>2847</v>
      </c>
      <c r="D127" s="316" t="s">
        <v>102</v>
      </c>
      <c r="E127" s="316" t="s">
        <v>1372</v>
      </c>
      <c r="F127" s="316" t="s">
        <v>1230</v>
      </c>
      <c r="G127" s="639"/>
    </row>
    <row r="128" spans="1:7" x14ac:dyDescent="0.25">
      <c r="A128" s="316" t="s">
        <v>2844</v>
      </c>
      <c r="B128" s="313">
        <v>37880</v>
      </c>
      <c r="C128" s="316" t="s">
        <v>2843</v>
      </c>
      <c r="D128" s="316" t="s">
        <v>102</v>
      </c>
      <c r="E128" s="316" t="s">
        <v>1372</v>
      </c>
      <c r="F128" s="316" t="s">
        <v>1230</v>
      </c>
      <c r="G128" s="639"/>
    </row>
    <row r="129" spans="1:7" x14ac:dyDescent="0.25">
      <c r="A129" s="316" t="s">
        <v>2892</v>
      </c>
      <c r="B129" s="313">
        <v>37880</v>
      </c>
      <c r="C129" s="316" t="s">
        <v>2889</v>
      </c>
      <c r="D129" s="316" t="s">
        <v>102</v>
      </c>
      <c r="E129" s="316" t="s">
        <v>1372</v>
      </c>
      <c r="F129" s="316" t="s">
        <v>1230</v>
      </c>
      <c r="G129" s="639"/>
    </row>
    <row r="130" spans="1:7" x14ac:dyDescent="0.25">
      <c r="A130" s="316" t="s">
        <v>2861</v>
      </c>
      <c r="B130" s="313">
        <v>37880</v>
      </c>
      <c r="C130" s="316" t="s">
        <v>2859</v>
      </c>
      <c r="D130" s="316" t="s">
        <v>102</v>
      </c>
      <c r="E130" s="316" t="s">
        <v>1372</v>
      </c>
      <c r="F130" s="316" t="s">
        <v>1230</v>
      </c>
      <c r="G130" s="639"/>
    </row>
    <row r="131" spans="1:7" x14ac:dyDescent="0.25">
      <c r="A131" s="316" t="s">
        <v>2857</v>
      </c>
      <c r="B131" s="313">
        <v>37880</v>
      </c>
      <c r="C131" s="316" t="s">
        <v>2855</v>
      </c>
      <c r="D131" s="316" t="s">
        <v>102</v>
      </c>
      <c r="E131" s="316" t="s">
        <v>1372</v>
      </c>
      <c r="F131" s="316" t="s">
        <v>1230</v>
      </c>
      <c r="G131" s="639"/>
    </row>
    <row r="132" spans="1:7" x14ac:dyDescent="0.25">
      <c r="A132" s="316" t="s">
        <v>2853</v>
      </c>
      <c r="B132" s="313">
        <v>37880</v>
      </c>
      <c r="C132" s="316" t="s">
        <v>2851</v>
      </c>
      <c r="D132" s="316" t="s">
        <v>102</v>
      </c>
      <c r="E132" s="316" t="s">
        <v>1372</v>
      </c>
      <c r="F132" s="316" t="s">
        <v>1230</v>
      </c>
      <c r="G132" s="639"/>
    </row>
    <row r="133" spans="1:7" x14ac:dyDescent="0.25">
      <c r="A133" s="316" t="s">
        <v>2849</v>
      </c>
      <c r="B133" s="313">
        <v>37880</v>
      </c>
      <c r="C133" s="316" t="s">
        <v>2847</v>
      </c>
      <c r="D133" s="316" t="s">
        <v>102</v>
      </c>
      <c r="E133" s="316" t="s">
        <v>1372</v>
      </c>
      <c r="F133" s="316" t="s">
        <v>1230</v>
      </c>
      <c r="G133" s="639"/>
    </row>
    <row r="134" spans="1:7" x14ac:dyDescent="0.25">
      <c r="A134" s="316" t="s">
        <v>2845</v>
      </c>
      <c r="B134" s="313">
        <v>37880</v>
      </c>
      <c r="C134" s="316" t="s">
        <v>2843</v>
      </c>
      <c r="D134" s="316" t="s">
        <v>102</v>
      </c>
      <c r="E134" s="316" t="s">
        <v>1372</v>
      </c>
      <c r="F134" s="316" t="s">
        <v>1230</v>
      </c>
      <c r="G134" s="639"/>
    </row>
    <row r="135" spans="1:7" x14ac:dyDescent="0.25">
      <c r="A135" s="316" t="s">
        <v>2842</v>
      </c>
      <c r="B135" s="313">
        <v>37880</v>
      </c>
      <c r="C135" s="316" t="s">
        <v>2843</v>
      </c>
      <c r="D135" s="316" t="s">
        <v>102</v>
      </c>
      <c r="E135" s="316" t="s">
        <v>1372</v>
      </c>
      <c r="F135" s="316" t="s">
        <v>495</v>
      </c>
      <c r="G135" s="639"/>
    </row>
    <row r="136" spans="1:7" x14ac:dyDescent="0.25">
      <c r="A136" s="316" t="s">
        <v>2846</v>
      </c>
      <c r="B136" s="313">
        <v>37880</v>
      </c>
      <c r="C136" s="316" t="s">
        <v>2847</v>
      </c>
      <c r="D136" s="316" t="s">
        <v>102</v>
      </c>
      <c r="E136" s="316" t="s">
        <v>1372</v>
      </c>
      <c r="F136" s="316" t="s">
        <v>495</v>
      </c>
      <c r="G136" s="639"/>
    </row>
    <row r="137" spans="1:7" x14ac:dyDescent="0.25">
      <c r="A137" s="316" t="s">
        <v>2850</v>
      </c>
      <c r="B137" s="313">
        <v>37880</v>
      </c>
      <c r="C137" s="316" t="s">
        <v>2851</v>
      </c>
      <c r="D137" s="316" t="s">
        <v>102</v>
      </c>
      <c r="E137" s="316" t="s">
        <v>1372</v>
      </c>
      <c r="F137" s="316" t="s">
        <v>495</v>
      </c>
      <c r="G137" s="639"/>
    </row>
    <row r="138" spans="1:7" x14ac:dyDescent="0.25">
      <c r="A138" s="316" t="s">
        <v>2854</v>
      </c>
      <c r="B138" s="313">
        <v>37880</v>
      </c>
      <c r="C138" s="316" t="s">
        <v>2855</v>
      </c>
      <c r="D138" s="316" t="s">
        <v>102</v>
      </c>
      <c r="E138" s="316" t="s">
        <v>1372</v>
      </c>
      <c r="F138" s="316" t="s">
        <v>495</v>
      </c>
      <c r="G138" s="639"/>
    </row>
    <row r="139" spans="1:7" x14ac:dyDescent="0.25">
      <c r="A139" s="316" t="s">
        <v>2858</v>
      </c>
      <c r="B139" s="313">
        <v>37880</v>
      </c>
      <c r="C139" s="316" t="s">
        <v>2859</v>
      </c>
      <c r="D139" s="316" t="s">
        <v>102</v>
      </c>
      <c r="E139" s="316" t="s">
        <v>1372</v>
      </c>
      <c r="F139" s="316" t="s">
        <v>495</v>
      </c>
      <c r="G139" s="639"/>
    </row>
    <row r="140" spans="1:7" x14ac:dyDescent="0.25">
      <c r="A140" s="316" t="s">
        <v>2888</v>
      </c>
      <c r="B140" s="313">
        <v>37880</v>
      </c>
      <c r="C140" s="316" t="s">
        <v>2889</v>
      </c>
      <c r="D140" s="316" t="s">
        <v>102</v>
      </c>
      <c r="E140" s="316" t="s">
        <v>1372</v>
      </c>
      <c r="F140" s="316" t="s">
        <v>495</v>
      </c>
      <c r="G140" s="639"/>
    </row>
    <row r="141" spans="1:7" x14ac:dyDescent="0.25">
      <c r="A141" s="316" t="s">
        <v>2890</v>
      </c>
      <c r="B141" s="313">
        <v>37880</v>
      </c>
      <c r="C141" s="316" t="s">
        <v>2889</v>
      </c>
      <c r="D141" s="316" t="s">
        <v>102</v>
      </c>
      <c r="E141" s="316" t="s">
        <v>1372</v>
      </c>
      <c r="F141" s="316" t="s">
        <v>495</v>
      </c>
      <c r="G141" s="639"/>
    </row>
    <row r="142" spans="1:7" x14ac:dyDescent="0.25">
      <c r="A142" s="316" t="s">
        <v>2860</v>
      </c>
      <c r="B142" s="313">
        <v>37880</v>
      </c>
      <c r="C142" s="316" t="s">
        <v>2859</v>
      </c>
      <c r="D142" s="316" t="s">
        <v>102</v>
      </c>
      <c r="E142" s="316" t="s">
        <v>1372</v>
      </c>
      <c r="F142" s="316" t="s">
        <v>495</v>
      </c>
      <c r="G142" s="639"/>
    </row>
    <row r="143" spans="1:7" x14ac:dyDescent="0.25">
      <c r="A143" s="316" t="s">
        <v>2852</v>
      </c>
      <c r="B143" s="313">
        <v>37880</v>
      </c>
      <c r="C143" s="316" t="s">
        <v>2851</v>
      </c>
      <c r="D143" s="316" t="s">
        <v>102</v>
      </c>
      <c r="E143" s="316" t="s">
        <v>1372</v>
      </c>
      <c r="F143" s="316" t="s">
        <v>495</v>
      </c>
      <c r="G143" s="639"/>
    </row>
    <row r="144" spans="1:7" x14ac:dyDescent="0.25">
      <c r="A144" s="316" t="s">
        <v>2856</v>
      </c>
      <c r="B144" s="313">
        <v>37880</v>
      </c>
      <c r="C144" s="316" t="s">
        <v>2855</v>
      </c>
      <c r="D144" s="316" t="s">
        <v>102</v>
      </c>
      <c r="E144" s="316" t="s">
        <v>1372</v>
      </c>
      <c r="F144" s="316" t="s">
        <v>495</v>
      </c>
      <c r="G144" s="639"/>
    </row>
    <row r="145" spans="1:7" x14ac:dyDescent="0.25">
      <c r="A145" s="316" t="s">
        <v>2848</v>
      </c>
      <c r="B145" s="313">
        <v>37880</v>
      </c>
      <c r="C145" s="316" t="s">
        <v>2847</v>
      </c>
      <c r="D145" s="316" t="s">
        <v>102</v>
      </c>
      <c r="E145" s="316" t="s">
        <v>1372</v>
      </c>
      <c r="F145" s="316" t="s">
        <v>495</v>
      </c>
      <c r="G145" s="639"/>
    </row>
    <row r="146" spans="1:7" x14ac:dyDescent="0.25">
      <c r="A146" s="316" t="s">
        <v>2844</v>
      </c>
      <c r="B146" s="313">
        <v>37880</v>
      </c>
      <c r="C146" s="316" t="s">
        <v>2843</v>
      </c>
      <c r="D146" s="316" t="s">
        <v>102</v>
      </c>
      <c r="E146" s="316" t="s">
        <v>1372</v>
      </c>
      <c r="F146" s="316" t="s">
        <v>495</v>
      </c>
      <c r="G146" s="639"/>
    </row>
    <row r="147" spans="1:7" x14ac:dyDescent="0.25">
      <c r="A147" s="316" t="s">
        <v>2892</v>
      </c>
      <c r="B147" s="313">
        <v>37880</v>
      </c>
      <c r="C147" s="316" t="s">
        <v>2889</v>
      </c>
      <c r="D147" s="316" t="s">
        <v>102</v>
      </c>
      <c r="E147" s="316" t="s">
        <v>1372</v>
      </c>
      <c r="F147" s="316" t="s">
        <v>495</v>
      </c>
      <c r="G147" s="639"/>
    </row>
    <row r="148" spans="1:7" x14ac:dyDescent="0.25">
      <c r="A148" s="316" t="s">
        <v>2861</v>
      </c>
      <c r="B148" s="313">
        <v>37880</v>
      </c>
      <c r="C148" s="316" t="s">
        <v>2859</v>
      </c>
      <c r="D148" s="316" t="s">
        <v>102</v>
      </c>
      <c r="E148" s="316" t="s">
        <v>1372</v>
      </c>
      <c r="F148" s="316" t="s">
        <v>495</v>
      </c>
      <c r="G148" s="639"/>
    </row>
    <row r="149" spans="1:7" x14ac:dyDescent="0.25">
      <c r="A149" s="316" t="s">
        <v>2857</v>
      </c>
      <c r="B149" s="313">
        <v>37880</v>
      </c>
      <c r="C149" s="316" t="s">
        <v>2855</v>
      </c>
      <c r="D149" s="316" t="s">
        <v>102</v>
      </c>
      <c r="E149" s="316" t="s">
        <v>1372</v>
      </c>
      <c r="F149" s="316" t="s">
        <v>495</v>
      </c>
      <c r="G149" s="639"/>
    </row>
    <row r="150" spans="1:7" x14ac:dyDescent="0.25">
      <c r="A150" s="316" t="s">
        <v>2853</v>
      </c>
      <c r="B150" s="313">
        <v>37880</v>
      </c>
      <c r="C150" s="316" t="s">
        <v>2851</v>
      </c>
      <c r="D150" s="316" t="s">
        <v>102</v>
      </c>
      <c r="E150" s="316" t="s">
        <v>1372</v>
      </c>
      <c r="F150" s="316" t="s">
        <v>495</v>
      </c>
      <c r="G150" s="639"/>
    </row>
    <row r="151" spans="1:7" x14ac:dyDescent="0.25">
      <c r="A151" s="316" t="s">
        <v>2849</v>
      </c>
      <c r="B151" s="313">
        <v>37880</v>
      </c>
      <c r="C151" s="316" t="s">
        <v>2847</v>
      </c>
      <c r="D151" s="316" t="s">
        <v>102</v>
      </c>
      <c r="E151" s="316" t="s">
        <v>1372</v>
      </c>
      <c r="F151" s="316" t="s">
        <v>495</v>
      </c>
      <c r="G151" s="639"/>
    </row>
    <row r="152" spans="1:7" x14ac:dyDescent="0.25">
      <c r="A152" s="316" t="s">
        <v>2845</v>
      </c>
      <c r="B152" s="313">
        <v>37880</v>
      </c>
      <c r="C152" s="316" t="s">
        <v>2843</v>
      </c>
      <c r="D152" s="316" t="s">
        <v>102</v>
      </c>
      <c r="E152" s="316" t="s">
        <v>1372</v>
      </c>
      <c r="F152" s="316" t="s">
        <v>495</v>
      </c>
      <c r="G152" s="639"/>
    </row>
    <row r="153" spans="1:7" x14ac:dyDescent="0.25">
      <c r="A153" s="316" t="s">
        <v>2842</v>
      </c>
      <c r="B153" s="313">
        <v>38251</v>
      </c>
      <c r="C153" s="316" t="s">
        <v>2843</v>
      </c>
      <c r="D153" s="316" t="s">
        <v>102</v>
      </c>
      <c r="E153" s="316" t="s">
        <v>1372</v>
      </c>
      <c r="F153" s="316" t="s">
        <v>1230</v>
      </c>
      <c r="G153" s="639"/>
    </row>
    <row r="154" spans="1:7" x14ac:dyDescent="0.25">
      <c r="A154" s="316" t="s">
        <v>2846</v>
      </c>
      <c r="B154" s="313">
        <v>38251</v>
      </c>
      <c r="C154" s="316" t="s">
        <v>2847</v>
      </c>
      <c r="D154" s="316" t="s">
        <v>102</v>
      </c>
      <c r="E154" s="316" t="s">
        <v>1372</v>
      </c>
      <c r="F154" s="316" t="s">
        <v>1230</v>
      </c>
      <c r="G154" s="639"/>
    </row>
    <row r="155" spans="1:7" x14ac:dyDescent="0.25">
      <c r="A155" s="316" t="s">
        <v>2850</v>
      </c>
      <c r="B155" s="313">
        <v>38251</v>
      </c>
      <c r="C155" s="316" t="s">
        <v>2851</v>
      </c>
      <c r="D155" s="316" t="s">
        <v>102</v>
      </c>
      <c r="E155" s="316" t="s">
        <v>1372</v>
      </c>
      <c r="F155" s="316" t="s">
        <v>1230</v>
      </c>
      <c r="G155" s="639"/>
    </row>
    <row r="156" spans="1:7" x14ac:dyDescent="0.25">
      <c r="A156" s="316" t="s">
        <v>2854</v>
      </c>
      <c r="B156" s="313">
        <v>38251</v>
      </c>
      <c r="C156" s="316" t="s">
        <v>2855</v>
      </c>
      <c r="D156" s="316" t="s">
        <v>102</v>
      </c>
      <c r="E156" s="316" t="s">
        <v>1372</v>
      </c>
      <c r="F156" s="316" t="s">
        <v>1230</v>
      </c>
      <c r="G156" s="639"/>
    </row>
    <row r="157" spans="1:7" x14ac:dyDescent="0.25">
      <c r="A157" s="316" t="s">
        <v>2858</v>
      </c>
      <c r="B157" s="313">
        <v>38251</v>
      </c>
      <c r="C157" s="316" t="s">
        <v>2859</v>
      </c>
      <c r="D157" s="316" t="s">
        <v>102</v>
      </c>
      <c r="E157" s="316" t="s">
        <v>1372</v>
      </c>
      <c r="F157" s="316" t="s">
        <v>1230</v>
      </c>
      <c r="G157" s="639"/>
    </row>
    <row r="158" spans="1:7" x14ac:dyDescent="0.25">
      <c r="A158" s="316" t="s">
        <v>2888</v>
      </c>
      <c r="B158" s="313">
        <v>38251</v>
      </c>
      <c r="C158" s="316" t="s">
        <v>2889</v>
      </c>
      <c r="D158" s="316" t="s">
        <v>102</v>
      </c>
      <c r="E158" s="316" t="s">
        <v>1372</v>
      </c>
      <c r="F158" s="316" t="s">
        <v>1230</v>
      </c>
      <c r="G158" s="639"/>
    </row>
    <row r="159" spans="1:7" x14ac:dyDescent="0.25">
      <c r="A159" s="316" t="s">
        <v>2890</v>
      </c>
      <c r="B159" s="313">
        <v>38251</v>
      </c>
      <c r="C159" s="316" t="s">
        <v>2889</v>
      </c>
      <c r="D159" s="316" t="s">
        <v>102</v>
      </c>
      <c r="E159" s="316" t="s">
        <v>1372</v>
      </c>
      <c r="F159" s="316" t="s">
        <v>1230</v>
      </c>
      <c r="G159" s="639"/>
    </row>
    <row r="160" spans="1:7" x14ac:dyDescent="0.25">
      <c r="A160" s="316" t="s">
        <v>2860</v>
      </c>
      <c r="B160" s="313">
        <v>38251</v>
      </c>
      <c r="C160" s="316" t="s">
        <v>2859</v>
      </c>
      <c r="D160" s="316" t="s">
        <v>102</v>
      </c>
      <c r="E160" s="316" t="s">
        <v>1372</v>
      </c>
      <c r="F160" s="316" t="s">
        <v>1230</v>
      </c>
      <c r="G160" s="639"/>
    </row>
    <row r="161" spans="1:7" x14ac:dyDescent="0.25">
      <c r="A161" s="316" t="s">
        <v>2852</v>
      </c>
      <c r="B161" s="313">
        <v>38251</v>
      </c>
      <c r="C161" s="316" t="s">
        <v>2851</v>
      </c>
      <c r="D161" s="316" t="s">
        <v>102</v>
      </c>
      <c r="E161" s="316" t="s">
        <v>1372</v>
      </c>
      <c r="F161" s="316" t="s">
        <v>1230</v>
      </c>
      <c r="G161" s="639"/>
    </row>
    <row r="162" spans="1:7" x14ac:dyDescent="0.25">
      <c r="A162" s="316" t="s">
        <v>2856</v>
      </c>
      <c r="B162" s="313">
        <v>38251</v>
      </c>
      <c r="C162" s="316" t="s">
        <v>2855</v>
      </c>
      <c r="D162" s="316" t="s">
        <v>102</v>
      </c>
      <c r="E162" s="316" t="s">
        <v>1372</v>
      </c>
      <c r="F162" s="316" t="s">
        <v>1230</v>
      </c>
      <c r="G162" s="639"/>
    </row>
    <row r="163" spans="1:7" x14ac:dyDescent="0.25">
      <c r="A163" s="316" t="s">
        <v>2848</v>
      </c>
      <c r="B163" s="313">
        <v>38251</v>
      </c>
      <c r="C163" s="316" t="s">
        <v>2847</v>
      </c>
      <c r="D163" s="316" t="s">
        <v>102</v>
      </c>
      <c r="E163" s="316" t="s">
        <v>1372</v>
      </c>
      <c r="F163" s="316" t="s">
        <v>1230</v>
      </c>
      <c r="G163" s="639"/>
    </row>
    <row r="164" spans="1:7" x14ac:dyDescent="0.25">
      <c r="A164" s="316" t="s">
        <v>2844</v>
      </c>
      <c r="B164" s="313">
        <v>38251</v>
      </c>
      <c r="C164" s="316" t="s">
        <v>2843</v>
      </c>
      <c r="D164" s="316" t="s">
        <v>102</v>
      </c>
      <c r="E164" s="316" t="s">
        <v>1372</v>
      </c>
      <c r="F164" s="316" t="s">
        <v>1230</v>
      </c>
      <c r="G164" s="639"/>
    </row>
    <row r="165" spans="1:7" x14ac:dyDescent="0.25">
      <c r="A165" s="316" t="s">
        <v>2892</v>
      </c>
      <c r="B165" s="313">
        <v>38251</v>
      </c>
      <c r="C165" s="316" t="s">
        <v>2889</v>
      </c>
      <c r="D165" s="316" t="s">
        <v>102</v>
      </c>
      <c r="E165" s="316" t="s">
        <v>1372</v>
      </c>
      <c r="F165" s="316" t="s">
        <v>1230</v>
      </c>
      <c r="G165" s="639"/>
    </row>
    <row r="166" spans="1:7" x14ac:dyDescent="0.25">
      <c r="A166" s="316" t="s">
        <v>2861</v>
      </c>
      <c r="B166" s="313">
        <v>38251</v>
      </c>
      <c r="C166" s="316" t="s">
        <v>2859</v>
      </c>
      <c r="D166" s="316" t="s">
        <v>102</v>
      </c>
      <c r="E166" s="316" t="s">
        <v>1372</v>
      </c>
      <c r="F166" s="316" t="s">
        <v>1230</v>
      </c>
      <c r="G166" s="639"/>
    </row>
    <row r="167" spans="1:7" x14ac:dyDescent="0.25">
      <c r="A167" s="316" t="s">
        <v>2857</v>
      </c>
      <c r="B167" s="313">
        <v>38251</v>
      </c>
      <c r="C167" s="316" t="s">
        <v>2855</v>
      </c>
      <c r="D167" s="316" t="s">
        <v>102</v>
      </c>
      <c r="E167" s="316" t="s">
        <v>1372</v>
      </c>
      <c r="F167" s="316" t="s">
        <v>1230</v>
      </c>
      <c r="G167" s="639"/>
    </row>
    <row r="168" spans="1:7" x14ac:dyDescent="0.25">
      <c r="A168" s="316" t="s">
        <v>2853</v>
      </c>
      <c r="B168" s="313">
        <v>38251</v>
      </c>
      <c r="C168" s="316" t="s">
        <v>2851</v>
      </c>
      <c r="D168" s="316" t="s">
        <v>102</v>
      </c>
      <c r="E168" s="316" t="s">
        <v>1372</v>
      </c>
      <c r="F168" s="316" t="s">
        <v>1230</v>
      </c>
      <c r="G168" s="639"/>
    </row>
    <row r="169" spans="1:7" x14ac:dyDescent="0.25">
      <c r="A169" s="316" t="s">
        <v>2849</v>
      </c>
      <c r="B169" s="313">
        <v>38251</v>
      </c>
      <c r="C169" s="316" t="s">
        <v>2847</v>
      </c>
      <c r="D169" s="316" t="s">
        <v>102</v>
      </c>
      <c r="E169" s="316" t="s">
        <v>1372</v>
      </c>
      <c r="F169" s="316" t="s">
        <v>1230</v>
      </c>
      <c r="G169" s="639"/>
    </row>
    <row r="170" spans="1:7" x14ac:dyDescent="0.25">
      <c r="A170" s="316" t="s">
        <v>2845</v>
      </c>
      <c r="B170" s="313">
        <v>38251</v>
      </c>
      <c r="C170" s="316" t="s">
        <v>2843</v>
      </c>
      <c r="D170" s="316" t="s">
        <v>102</v>
      </c>
      <c r="E170" s="316" t="s">
        <v>1372</v>
      </c>
      <c r="F170" s="316" t="s">
        <v>1230</v>
      </c>
      <c r="G170" s="639"/>
    </row>
    <row r="171" spans="1:7" x14ac:dyDescent="0.25">
      <c r="A171" s="316" t="s">
        <v>2842</v>
      </c>
      <c r="B171" s="313">
        <v>38251</v>
      </c>
      <c r="C171" s="316" t="s">
        <v>2843</v>
      </c>
      <c r="D171" s="316" t="s">
        <v>102</v>
      </c>
      <c r="E171" s="316" t="s">
        <v>1372</v>
      </c>
      <c r="F171" s="316" t="s">
        <v>495</v>
      </c>
      <c r="G171" s="639"/>
    </row>
    <row r="172" spans="1:7" x14ac:dyDescent="0.25">
      <c r="A172" s="316" t="s">
        <v>2846</v>
      </c>
      <c r="B172" s="313">
        <v>38251</v>
      </c>
      <c r="C172" s="316" t="s">
        <v>2847</v>
      </c>
      <c r="D172" s="316" t="s">
        <v>102</v>
      </c>
      <c r="E172" s="316" t="s">
        <v>1372</v>
      </c>
      <c r="F172" s="316" t="s">
        <v>495</v>
      </c>
      <c r="G172" s="639"/>
    </row>
    <row r="173" spans="1:7" x14ac:dyDescent="0.25">
      <c r="A173" s="316" t="s">
        <v>2850</v>
      </c>
      <c r="B173" s="313">
        <v>38251</v>
      </c>
      <c r="C173" s="316" t="s">
        <v>2851</v>
      </c>
      <c r="D173" s="316" t="s">
        <v>102</v>
      </c>
      <c r="E173" s="316" t="s">
        <v>1372</v>
      </c>
      <c r="F173" s="316" t="s">
        <v>495</v>
      </c>
      <c r="G173" s="639"/>
    </row>
    <row r="174" spans="1:7" x14ac:dyDescent="0.25">
      <c r="A174" s="316" t="s">
        <v>2854</v>
      </c>
      <c r="B174" s="313">
        <v>38251</v>
      </c>
      <c r="C174" s="316" t="s">
        <v>2855</v>
      </c>
      <c r="D174" s="316" t="s">
        <v>102</v>
      </c>
      <c r="E174" s="316" t="s">
        <v>1372</v>
      </c>
      <c r="F174" s="316" t="s">
        <v>495</v>
      </c>
      <c r="G174" s="639"/>
    </row>
    <row r="175" spans="1:7" x14ac:dyDescent="0.25">
      <c r="A175" s="316" t="s">
        <v>2858</v>
      </c>
      <c r="B175" s="313">
        <v>38251</v>
      </c>
      <c r="C175" s="316" t="s">
        <v>2859</v>
      </c>
      <c r="D175" s="316" t="s">
        <v>102</v>
      </c>
      <c r="E175" s="316" t="s">
        <v>1372</v>
      </c>
      <c r="F175" s="316" t="s">
        <v>495</v>
      </c>
      <c r="G175" s="639"/>
    </row>
    <row r="176" spans="1:7" x14ac:dyDescent="0.25">
      <c r="A176" s="316" t="s">
        <v>2888</v>
      </c>
      <c r="B176" s="313">
        <v>38251</v>
      </c>
      <c r="C176" s="316" t="s">
        <v>2889</v>
      </c>
      <c r="D176" s="316" t="s">
        <v>102</v>
      </c>
      <c r="E176" s="316" t="s">
        <v>1372</v>
      </c>
      <c r="F176" s="316" t="s">
        <v>495</v>
      </c>
      <c r="G176" s="639"/>
    </row>
    <row r="177" spans="1:7" x14ac:dyDescent="0.25">
      <c r="A177" s="316" t="s">
        <v>2890</v>
      </c>
      <c r="B177" s="313">
        <v>38251</v>
      </c>
      <c r="C177" s="316" t="s">
        <v>2889</v>
      </c>
      <c r="D177" s="316" t="s">
        <v>102</v>
      </c>
      <c r="E177" s="316" t="s">
        <v>1372</v>
      </c>
      <c r="F177" s="316" t="s">
        <v>495</v>
      </c>
      <c r="G177" s="639"/>
    </row>
    <row r="178" spans="1:7" x14ac:dyDescent="0.25">
      <c r="A178" s="316" t="s">
        <v>2860</v>
      </c>
      <c r="B178" s="313">
        <v>38251</v>
      </c>
      <c r="C178" s="316" t="s">
        <v>2859</v>
      </c>
      <c r="D178" s="316" t="s">
        <v>102</v>
      </c>
      <c r="E178" s="316" t="s">
        <v>1372</v>
      </c>
      <c r="F178" s="316" t="s">
        <v>495</v>
      </c>
      <c r="G178" s="639"/>
    </row>
    <row r="179" spans="1:7" x14ac:dyDescent="0.25">
      <c r="A179" s="316" t="s">
        <v>2852</v>
      </c>
      <c r="B179" s="313">
        <v>38251</v>
      </c>
      <c r="C179" s="316" t="s">
        <v>2851</v>
      </c>
      <c r="D179" s="316" t="s">
        <v>102</v>
      </c>
      <c r="E179" s="316" t="s">
        <v>1372</v>
      </c>
      <c r="F179" s="316" t="s">
        <v>495</v>
      </c>
      <c r="G179" s="639"/>
    </row>
    <row r="180" spans="1:7" x14ac:dyDescent="0.25">
      <c r="A180" s="316" t="s">
        <v>2856</v>
      </c>
      <c r="B180" s="313">
        <v>38251</v>
      </c>
      <c r="C180" s="316" t="s">
        <v>2855</v>
      </c>
      <c r="D180" s="316" t="s">
        <v>102</v>
      </c>
      <c r="E180" s="316" t="s">
        <v>1372</v>
      </c>
      <c r="F180" s="316" t="s">
        <v>495</v>
      </c>
      <c r="G180" s="639"/>
    </row>
    <row r="181" spans="1:7" x14ac:dyDescent="0.25">
      <c r="A181" s="316" t="s">
        <v>2848</v>
      </c>
      <c r="B181" s="313">
        <v>38251</v>
      </c>
      <c r="C181" s="316" t="s">
        <v>2847</v>
      </c>
      <c r="D181" s="316" t="s">
        <v>102</v>
      </c>
      <c r="E181" s="316" t="s">
        <v>1372</v>
      </c>
      <c r="F181" s="316" t="s">
        <v>495</v>
      </c>
      <c r="G181" s="639"/>
    </row>
    <row r="182" spans="1:7" x14ac:dyDescent="0.25">
      <c r="A182" s="316" t="s">
        <v>2844</v>
      </c>
      <c r="B182" s="313">
        <v>38251</v>
      </c>
      <c r="C182" s="316" t="s">
        <v>2843</v>
      </c>
      <c r="D182" s="316" t="s">
        <v>102</v>
      </c>
      <c r="E182" s="316" t="s">
        <v>1372</v>
      </c>
      <c r="F182" s="316" t="s">
        <v>495</v>
      </c>
      <c r="G182" s="639"/>
    </row>
    <row r="183" spans="1:7" x14ac:dyDescent="0.25">
      <c r="A183" s="316" t="s">
        <v>2892</v>
      </c>
      <c r="B183" s="313">
        <v>38251</v>
      </c>
      <c r="C183" s="316" t="s">
        <v>2889</v>
      </c>
      <c r="D183" s="316" t="s">
        <v>102</v>
      </c>
      <c r="E183" s="316" t="s">
        <v>1372</v>
      </c>
      <c r="F183" s="316" t="s">
        <v>495</v>
      </c>
      <c r="G183" s="639"/>
    </row>
    <row r="184" spans="1:7" x14ac:dyDescent="0.25">
      <c r="A184" s="316" t="s">
        <v>2861</v>
      </c>
      <c r="B184" s="313">
        <v>38251</v>
      </c>
      <c r="C184" s="316" t="s">
        <v>2859</v>
      </c>
      <c r="D184" s="316" t="s">
        <v>102</v>
      </c>
      <c r="E184" s="316" t="s">
        <v>1372</v>
      </c>
      <c r="F184" s="316" t="s">
        <v>495</v>
      </c>
      <c r="G184" s="639"/>
    </row>
    <row r="185" spans="1:7" x14ac:dyDescent="0.25">
      <c r="A185" s="316" t="s">
        <v>2857</v>
      </c>
      <c r="B185" s="313">
        <v>38251</v>
      </c>
      <c r="C185" s="316" t="s">
        <v>2855</v>
      </c>
      <c r="D185" s="316" t="s">
        <v>102</v>
      </c>
      <c r="E185" s="316" t="s">
        <v>1372</v>
      </c>
      <c r="F185" s="316" t="s">
        <v>495</v>
      </c>
      <c r="G185" s="639"/>
    </row>
    <row r="186" spans="1:7" x14ac:dyDescent="0.25">
      <c r="A186" s="316" t="s">
        <v>2853</v>
      </c>
      <c r="B186" s="313">
        <v>38251</v>
      </c>
      <c r="C186" s="316" t="s">
        <v>2851</v>
      </c>
      <c r="D186" s="316" t="s">
        <v>102</v>
      </c>
      <c r="E186" s="316" t="s">
        <v>1372</v>
      </c>
      <c r="F186" s="316" t="s">
        <v>495</v>
      </c>
      <c r="G186" s="639"/>
    </row>
    <row r="187" spans="1:7" x14ac:dyDescent="0.25">
      <c r="A187" s="316" t="s">
        <v>2849</v>
      </c>
      <c r="B187" s="313">
        <v>38251</v>
      </c>
      <c r="C187" s="316" t="s">
        <v>2847</v>
      </c>
      <c r="D187" s="316" t="s">
        <v>102</v>
      </c>
      <c r="E187" s="316" t="s">
        <v>1372</v>
      </c>
      <c r="F187" s="316" t="s">
        <v>495</v>
      </c>
      <c r="G187" s="639"/>
    </row>
    <row r="188" spans="1:7" x14ac:dyDescent="0.25">
      <c r="A188" s="316" t="s">
        <v>2845</v>
      </c>
      <c r="B188" s="313">
        <v>38251</v>
      </c>
      <c r="C188" s="316" t="s">
        <v>2843</v>
      </c>
      <c r="D188" s="316" t="s">
        <v>102</v>
      </c>
      <c r="E188" s="316" t="s">
        <v>1372</v>
      </c>
      <c r="F188" s="316" t="s">
        <v>495</v>
      </c>
      <c r="G188" s="639"/>
    </row>
    <row r="189" spans="1:7" x14ac:dyDescent="0.25">
      <c r="A189" s="316" t="s">
        <v>2842</v>
      </c>
      <c r="B189" s="313">
        <v>38609</v>
      </c>
      <c r="C189" s="316" t="s">
        <v>2843</v>
      </c>
      <c r="D189" s="316" t="s">
        <v>102</v>
      </c>
      <c r="E189" s="316" t="s">
        <v>1372</v>
      </c>
      <c r="F189" s="316" t="s">
        <v>1230</v>
      </c>
      <c r="G189" s="639"/>
    </row>
    <row r="190" spans="1:7" x14ac:dyDescent="0.25">
      <c r="A190" s="316" t="s">
        <v>2846</v>
      </c>
      <c r="B190" s="313">
        <v>38609</v>
      </c>
      <c r="C190" s="316" t="s">
        <v>2847</v>
      </c>
      <c r="D190" s="316" t="s">
        <v>102</v>
      </c>
      <c r="E190" s="316" t="s">
        <v>1372</v>
      </c>
      <c r="F190" s="316" t="s">
        <v>1230</v>
      </c>
      <c r="G190" s="639"/>
    </row>
    <row r="191" spans="1:7" x14ac:dyDescent="0.25">
      <c r="A191" s="316" t="s">
        <v>2850</v>
      </c>
      <c r="B191" s="313">
        <v>38609</v>
      </c>
      <c r="C191" s="316" t="s">
        <v>2851</v>
      </c>
      <c r="D191" s="316" t="s">
        <v>102</v>
      </c>
      <c r="E191" s="316" t="s">
        <v>1372</v>
      </c>
      <c r="F191" s="316" t="s">
        <v>1230</v>
      </c>
      <c r="G191" s="639"/>
    </row>
    <row r="192" spans="1:7" x14ac:dyDescent="0.25">
      <c r="A192" s="316" t="s">
        <v>2854</v>
      </c>
      <c r="B192" s="313">
        <v>38609</v>
      </c>
      <c r="C192" s="316" t="s">
        <v>2855</v>
      </c>
      <c r="D192" s="316" t="s">
        <v>102</v>
      </c>
      <c r="E192" s="316" t="s">
        <v>1372</v>
      </c>
      <c r="F192" s="316" t="s">
        <v>1230</v>
      </c>
      <c r="G192" s="639"/>
    </row>
    <row r="193" spans="1:7" x14ac:dyDescent="0.25">
      <c r="A193" s="316" t="s">
        <v>2858</v>
      </c>
      <c r="B193" s="313">
        <v>38609</v>
      </c>
      <c r="C193" s="316" t="s">
        <v>2859</v>
      </c>
      <c r="D193" s="316" t="s">
        <v>102</v>
      </c>
      <c r="E193" s="316" t="s">
        <v>1372</v>
      </c>
      <c r="F193" s="316" t="s">
        <v>1230</v>
      </c>
      <c r="G193" s="639"/>
    </row>
    <row r="194" spans="1:7" x14ac:dyDescent="0.25">
      <c r="A194" s="316" t="s">
        <v>2888</v>
      </c>
      <c r="B194" s="313">
        <v>38609</v>
      </c>
      <c r="C194" s="316" t="s">
        <v>2889</v>
      </c>
      <c r="D194" s="316" t="s">
        <v>102</v>
      </c>
      <c r="E194" s="316" t="s">
        <v>1372</v>
      </c>
      <c r="F194" s="316" t="s">
        <v>1230</v>
      </c>
      <c r="G194" s="639"/>
    </row>
    <row r="195" spans="1:7" x14ac:dyDescent="0.25">
      <c r="A195" s="316" t="s">
        <v>2890</v>
      </c>
      <c r="B195" s="313">
        <v>38609</v>
      </c>
      <c r="C195" s="316" t="s">
        <v>2889</v>
      </c>
      <c r="D195" s="316" t="s">
        <v>102</v>
      </c>
      <c r="E195" s="316" t="s">
        <v>1372</v>
      </c>
      <c r="F195" s="316" t="s">
        <v>1230</v>
      </c>
      <c r="G195" s="639"/>
    </row>
    <row r="196" spans="1:7" x14ac:dyDescent="0.25">
      <c r="A196" s="316" t="s">
        <v>2860</v>
      </c>
      <c r="B196" s="313">
        <v>38609</v>
      </c>
      <c r="C196" s="316" t="s">
        <v>2859</v>
      </c>
      <c r="D196" s="316" t="s">
        <v>102</v>
      </c>
      <c r="E196" s="316" t="s">
        <v>1372</v>
      </c>
      <c r="F196" s="316" t="s">
        <v>1230</v>
      </c>
      <c r="G196" s="639"/>
    </row>
    <row r="197" spans="1:7" x14ac:dyDescent="0.25">
      <c r="A197" s="316" t="s">
        <v>2852</v>
      </c>
      <c r="B197" s="313">
        <v>38609</v>
      </c>
      <c r="C197" s="316" t="s">
        <v>2851</v>
      </c>
      <c r="D197" s="316" t="s">
        <v>102</v>
      </c>
      <c r="E197" s="316" t="s">
        <v>1372</v>
      </c>
      <c r="F197" s="316" t="s">
        <v>1230</v>
      </c>
      <c r="G197" s="639"/>
    </row>
    <row r="198" spans="1:7" x14ac:dyDescent="0.25">
      <c r="A198" s="316" t="s">
        <v>2856</v>
      </c>
      <c r="B198" s="313">
        <v>38609</v>
      </c>
      <c r="C198" s="316" t="s">
        <v>2855</v>
      </c>
      <c r="D198" s="316" t="s">
        <v>102</v>
      </c>
      <c r="E198" s="316" t="s">
        <v>1372</v>
      </c>
      <c r="F198" s="316" t="s">
        <v>1230</v>
      </c>
      <c r="G198" s="639"/>
    </row>
    <row r="199" spans="1:7" x14ac:dyDescent="0.25">
      <c r="A199" s="316" t="s">
        <v>2848</v>
      </c>
      <c r="B199" s="313">
        <v>38609</v>
      </c>
      <c r="C199" s="316" t="s">
        <v>2847</v>
      </c>
      <c r="D199" s="316" t="s">
        <v>102</v>
      </c>
      <c r="E199" s="316" t="s">
        <v>1372</v>
      </c>
      <c r="F199" s="316" t="s">
        <v>1230</v>
      </c>
      <c r="G199" s="639"/>
    </row>
    <row r="200" spans="1:7" x14ac:dyDescent="0.25">
      <c r="A200" s="316" t="s">
        <v>2844</v>
      </c>
      <c r="B200" s="313">
        <v>38609</v>
      </c>
      <c r="C200" s="316" t="s">
        <v>2843</v>
      </c>
      <c r="D200" s="316" t="s">
        <v>102</v>
      </c>
      <c r="E200" s="316" t="s">
        <v>1372</v>
      </c>
      <c r="F200" s="316" t="s">
        <v>1230</v>
      </c>
      <c r="G200" s="639"/>
    </row>
    <row r="201" spans="1:7" x14ac:dyDescent="0.25">
      <c r="A201" s="316" t="s">
        <v>2892</v>
      </c>
      <c r="B201" s="313">
        <v>38609</v>
      </c>
      <c r="C201" s="316" t="s">
        <v>2889</v>
      </c>
      <c r="D201" s="316" t="s">
        <v>102</v>
      </c>
      <c r="E201" s="316" t="s">
        <v>1372</v>
      </c>
      <c r="F201" s="316" t="s">
        <v>1230</v>
      </c>
      <c r="G201" s="639"/>
    </row>
    <row r="202" spans="1:7" x14ac:dyDescent="0.25">
      <c r="A202" s="316" t="s">
        <v>2861</v>
      </c>
      <c r="B202" s="313">
        <v>38609</v>
      </c>
      <c r="C202" s="316" t="s">
        <v>2859</v>
      </c>
      <c r="D202" s="316" t="s">
        <v>102</v>
      </c>
      <c r="E202" s="316" t="s">
        <v>1372</v>
      </c>
      <c r="F202" s="316" t="s">
        <v>1230</v>
      </c>
      <c r="G202" s="639"/>
    </row>
    <row r="203" spans="1:7" x14ac:dyDescent="0.25">
      <c r="A203" s="316" t="s">
        <v>2857</v>
      </c>
      <c r="B203" s="313">
        <v>38609</v>
      </c>
      <c r="C203" s="316" t="s">
        <v>2855</v>
      </c>
      <c r="D203" s="316" t="s">
        <v>102</v>
      </c>
      <c r="E203" s="316" t="s">
        <v>1372</v>
      </c>
      <c r="F203" s="316" t="s">
        <v>1230</v>
      </c>
      <c r="G203" s="639"/>
    </row>
    <row r="204" spans="1:7" x14ac:dyDescent="0.25">
      <c r="A204" s="316" t="s">
        <v>2853</v>
      </c>
      <c r="B204" s="313">
        <v>38609</v>
      </c>
      <c r="C204" s="316" t="s">
        <v>2851</v>
      </c>
      <c r="D204" s="316" t="s">
        <v>102</v>
      </c>
      <c r="E204" s="316" t="s">
        <v>1372</v>
      </c>
      <c r="F204" s="316" t="s">
        <v>1230</v>
      </c>
      <c r="G204" s="639"/>
    </row>
    <row r="205" spans="1:7" x14ac:dyDescent="0.25">
      <c r="A205" s="316" t="s">
        <v>2849</v>
      </c>
      <c r="B205" s="313">
        <v>38609</v>
      </c>
      <c r="C205" s="316" t="s">
        <v>2847</v>
      </c>
      <c r="D205" s="316" t="s">
        <v>102</v>
      </c>
      <c r="E205" s="316" t="s">
        <v>1372</v>
      </c>
      <c r="F205" s="316" t="s">
        <v>1230</v>
      </c>
      <c r="G205" s="639"/>
    </row>
    <row r="206" spans="1:7" x14ac:dyDescent="0.25">
      <c r="A206" s="316" t="s">
        <v>2845</v>
      </c>
      <c r="B206" s="313">
        <v>38609</v>
      </c>
      <c r="C206" s="316" t="s">
        <v>2843</v>
      </c>
      <c r="D206" s="316" t="s">
        <v>102</v>
      </c>
      <c r="E206" s="316" t="s">
        <v>1372</v>
      </c>
      <c r="F206" s="316" t="s">
        <v>1230</v>
      </c>
      <c r="G206" s="639"/>
    </row>
    <row r="207" spans="1:7" x14ac:dyDescent="0.25">
      <c r="A207" s="316" t="s">
        <v>2842</v>
      </c>
      <c r="B207" s="313">
        <v>38609</v>
      </c>
      <c r="C207" s="316" t="s">
        <v>2843</v>
      </c>
      <c r="D207" s="316" t="s">
        <v>102</v>
      </c>
      <c r="E207" s="316" t="s">
        <v>1372</v>
      </c>
      <c r="F207" s="316" t="s">
        <v>495</v>
      </c>
      <c r="G207" s="639"/>
    </row>
    <row r="208" spans="1:7" x14ac:dyDescent="0.25">
      <c r="A208" s="316" t="s">
        <v>2846</v>
      </c>
      <c r="B208" s="313">
        <v>38609</v>
      </c>
      <c r="C208" s="316" t="s">
        <v>2847</v>
      </c>
      <c r="D208" s="316" t="s">
        <v>102</v>
      </c>
      <c r="E208" s="316" t="s">
        <v>1372</v>
      </c>
      <c r="F208" s="316" t="s">
        <v>495</v>
      </c>
      <c r="G208" s="639"/>
    </row>
    <row r="209" spans="1:7" x14ac:dyDescent="0.25">
      <c r="A209" s="316" t="s">
        <v>2850</v>
      </c>
      <c r="B209" s="313">
        <v>38609</v>
      </c>
      <c r="C209" s="316" t="s">
        <v>2851</v>
      </c>
      <c r="D209" s="316" t="s">
        <v>102</v>
      </c>
      <c r="E209" s="316" t="s">
        <v>1372</v>
      </c>
      <c r="F209" s="316" t="s">
        <v>495</v>
      </c>
      <c r="G209" s="639"/>
    </row>
    <row r="210" spans="1:7" x14ac:dyDescent="0.25">
      <c r="A210" s="316" t="s">
        <v>2854</v>
      </c>
      <c r="B210" s="313">
        <v>38609</v>
      </c>
      <c r="C210" s="316" t="s">
        <v>2855</v>
      </c>
      <c r="D210" s="316" t="s">
        <v>102</v>
      </c>
      <c r="E210" s="316" t="s">
        <v>1372</v>
      </c>
      <c r="F210" s="316" t="s">
        <v>495</v>
      </c>
      <c r="G210" s="639"/>
    </row>
    <row r="211" spans="1:7" x14ac:dyDescent="0.25">
      <c r="A211" s="316" t="s">
        <v>2858</v>
      </c>
      <c r="B211" s="313">
        <v>38609</v>
      </c>
      <c r="C211" s="316" t="s">
        <v>2859</v>
      </c>
      <c r="D211" s="316" t="s">
        <v>102</v>
      </c>
      <c r="E211" s="316" t="s">
        <v>1372</v>
      </c>
      <c r="F211" s="316" t="s">
        <v>495</v>
      </c>
      <c r="G211" s="639"/>
    </row>
    <row r="212" spans="1:7" x14ac:dyDescent="0.25">
      <c r="A212" s="316" t="s">
        <v>2888</v>
      </c>
      <c r="B212" s="313">
        <v>38609</v>
      </c>
      <c r="C212" s="316" t="s">
        <v>2889</v>
      </c>
      <c r="D212" s="316" t="s">
        <v>102</v>
      </c>
      <c r="E212" s="316" t="s">
        <v>1372</v>
      </c>
      <c r="F212" s="316" t="s">
        <v>495</v>
      </c>
      <c r="G212" s="639"/>
    </row>
    <row r="213" spans="1:7" x14ac:dyDescent="0.25">
      <c r="A213" s="316" t="s">
        <v>2890</v>
      </c>
      <c r="B213" s="313">
        <v>38609</v>
      </c>
      <c r="C213" s="316" t="s">
        <v>2889</v>
      </c>
      <c r="D213" s="316" t="s">
        <v>102</v>
      </c>
      <c r="E213" s="316" t="s">
        <v>1372</v>
      </c>
      <c r="F213" s="316" t="s">
        <v>495</v>
      </c>
      <c r="G213" s="639"/>
    </row>
    <row r="214" spans="1:7" x14ac:dyDescent="0.25">
      <c r="A214" s="316" t="s">
        <v>2860</v>
      </c>
      <c r="B214" s="313">
        <v>38609</v>
      </c>
      <c r="C214" s="316" t="s">
        <v>2859</v>
      </c>
      <c r="D214" s="316" t="s">
        <v>102</v>
      </c>
      <c r="E214" s="316" t="s">
        <v>1372</v>
      </c>
      <c r="F214" s="316" t="s">
        <v>495</v>
      </c>
      <c r="G214" s="639"/>
    </row>
    <row r="215" spans="1:7" x14ac:dyDescent="0.25">
      <c r="A215" s="316" t="s">
        <v>2852</v>
      </c>
      <c r="B215" s="313">
        <v>38609</v>
      </c>
      <c r="C215" s="316" t="s">
        <v>2851</v>
      </c>
      <c r="D215" s="316" t="s">
        <v>102</v>
      </c>
      <c r="E215" s="316" t="s">
        <v>1372</v>
      </c>
      <c r="F215" s="316" t="s">
        <v>495</v>
      </c>
      <c r="G215" s="639"/>
    </row>
    <row r="216" spans="1:7" x14ac:dyDescent="0.25">
      <c r="A216" s="316" t="s">
        <v>2856</v>
      </c>
      <c r="B216" s="313">
        <v>38609</v>
      </c>
      <c r="C216" s="316" t="s">
        <v>2855</v>
      </c>
      <c r="D216" s="316" t="s">
        <v>102</v>
      </c>
      <c r="E216" s="316" t="s">
        <v>1372</v>
      </c>
      <c r="F216" s="316" t="s">
        <v>495</v>
      </c>
      <c r="G216" s="639"/>
    </row>
    <row r="217" spans="1:7" x14ac:dyDescent="0.25">
      <c r="A217" s="316" t="s">
        <v>2848</v>
      </c>
      <c r="B217" s="313">
        <v>38609</v>
      </c>
      <c r="C217" s="316" t="s">
        <v>2847</v>
      </c>
      <c r="D217" s="316" t="s">
        <v>102</v>
      </c>
      <c r="E217" s="316" t="s">
        <v>1372</v>
      </c>
      <c r="F217" s="316" t="s">
        <v>495</v>
      </c>
      <c r="G217" s="639"/>
    </row>
    <row r="218" spans="1:7" x14ac:dyDescent="0.25">
      <c r="A218" s="316" t="s">
        <v>2844</v>
      </c>
      <c r="B218" s="313">
        <v>38609</v>
      </c>
      <c r="C218" s="316" t="s">
        <v>2843</v>
      </c>
      <c r="D218" s="316" t="s">
        <v>102</v>
      </c>
      <c r="E218" s="316" t="s">
        <v>1372</v>
      </c>
      <c r="F218" s="316" t="s">
        <v>495</v>
      </c>
      <c r="G218" s="639"/>
    </row>
    <row r="219" spans="1:7" x14ac:dyDescent="0.25">
      <c r="A219" s="316" t="s">
        <v>2892</v>
      </c>
      <c r="B219" s="313">
        <v>38609</v>
      </c>
      <c r="C219" s="316" t="s">
        <v>2889</v>
      </c>
      <c r="D219" s="316" t="s">
        <v>102</v>
      </c>
      <c r="E219" s="316" t="s">
        <v>1372</v>
      </c>
      <c r="F219" s="316" t="s">
        <v>495</v>
      </c>
      <c r="G219" s="639"/>
    </row>
    <row r="220" spans="1:7" x14ac:dyDescent="0.25">
      <c r="A220" s="316" t="s">
        <v>2861</v>
      </c>
      <c r="B220" s="313">
        <v>38609</v>
      </c>
      <c r="C220" s="316" t="s">
        <v>2859</v>
      </c>
      <c r="D220" s="316" t="s">
        <v>102</v>
      </c>
      <c r="E220" s="316" t="s">
        <v>1372</v>
      </c>
      <c r="F220" s="316" t="s">
        <v>495</v>
      </c>
      <c r="G220" s="639"/>
    </row>
    <row r="221" spans="1:7" x14ac:dyDescent="0.25">
      <c r="A221" s="316" t="s">
        <v>2857</v>
      </c>
      <c r="B221" s="313">
        <v>38609</v>
      </c>
      <c r="C221" s="316" t="s">
        <v>2855</v>
      </c>
      <c r="D221" s="316" t="s">
        <v>102</v>
      </c>
      <c r="E221" s="316" t="s">
        <v>1372</v>
      </c>
      <c r="F221" s="316" t="s">
        <v>495</v>
      </c>
      <c r="G221" s="639"/>
    </row>
    <row r="222" spans="1:7" x14ac:dyDescent="0.25">
      <c r="A222" s="316" t="s">
        <v>2853</v>
      </c>
      <c r="B222" s="313">
        <v>38609</v>
      </c>
      <c r="C222" s="316" t="s">
        <v>2851</v>
      </c>
      <c r="D222" s="316" t="s">
        <v>102</v>
      </c>
      <c r="E222" s="316" t="s">
        <v>1372</v>
      </c>
      <c r="F222" s="316" t="s">
        <v>495</v>
      </c>
      <c r="G222" s="639"/>
    </row>
    <row r="223" spans="1:7" x14ac:dyDescent="0.25">
      <c r="A223" s="316" t="s">
        <v>2849</v>
      </c>
      <c r="B223" s="313">
        <v>38609</v>
      </c>
      <c r="C223" s="316" t="s">
        <v>2847</v>
      </c>
      <c r="D223" s="316" t="s">
        <v>102</v>
      </c>
      <c r="E223" s="316" t="s">
        <v>1372</v>
      </c>
      <c r="F223" s="316" t="s">
        <v>495</v>
      </c>
      <c r="G223" s="639"/>
    </row>
    <row r="224" spans="1:7" x14ac:dyDescent="0.25">
      <c r="A224" s="316" t="s">
        <v>2845</v>
      </c>
      <c r="B224" s="313">
        <v>38979</v>
      </c>
      <c r="C224" s="316" t="s">
        <v>2843</v>
      </c>
      <c r="D224" s="316" t="s">
        <v>102</v>
      </c>
      <c r="E224" s="316" t="s">
        <v>1372</v>
      </c>
      <c r="F224" s="316" t="s">
        <v>495</v>
      </c>
      <c r="G224" s="639"/>
    </row>
    <row r="225" spans="1:7" x14ac:dyDescent="0.25">
      <c r="A225" s="316" t="s">
        <v>2842</v>
      </c>
      <c r="B225" s="313">
        <v>38979</v>
      </c>
      <c r="C225" s="316" t="s">
        <v>2843</v>
      </c>
      <c r="D225" s="316" t="s">
        <v>102</v>
      </c>
      <c r="E225" s="316" t="s">
        <v>1372</v>
      </c>
      <c r="F225" s="316" t="s">
        <v>1230</v>
      </c>
      <c r="G225" s="639"/>
    </row>
    <row r="226" spans="1:7" x14ac:dyDescent="0.25">
      <c r="A226" s="316" t="s">
        <v>2846</v>
      </c>
      <c r="B226" s="313">
        <v>38979</v>
      </c>
      <c r="C226" s="316" t="s">
        <v>2847</v>
      </c>
      <c r="D226" s="316" t="s">
        <v>102</v>
      </c>
      <c r="E226" s="316" t="s">
        <v>1372</v>
      </c>
      <c r="F226" s="316" t="s">
        <v>1230</v>
      </c>
      <c r="G226" s="639"/>
    </row>
    <row r="227" spans="1:7" x14ac:dyDescent="0.25">
      <c r="A227" s="316" t="s">
        <v>2850</v>
      </c>
      <c r="B227" s="313">
        <v>38979</v>
      </c>
      <c r="C227" s="316" t="s">
        <v>2851</v>
      </c>
      <c r="D227" s="316" t="s">
        <v>102</v>
      </c>
      <c r="E227" s="316" t="s">
        <v>1372</v>
      </c>
      <c r="F227" s="316" t="s">
        <v>1230</v>
      </c>
      <c r="G227" s="639"/>
    </row>
    <row r="228" spans="1:7" x14ac:dyDescent="0.25">
      <c r="A228" s="316" t="s">
        <v>2854</v>
      </c>
      <c r="B228" s="313">
        <v>38979</v>
      </c>
      <c r="C228" s="316" t="s">
        <v>2855</v>
      </c>
      <c r="D228" s="316" t="s">
        <v>102</v>
      </c>
      <c r="E228" s="316" t="s">
        <v>1372</v>
      </c>
      <c r="F228" s="316" t="s">
        <v>1230</v>
      </c>
      <c r="G228" s="639"/>
    </row>
    <row r="229" spans="1:7" x14ac:dyDescent="0.25">
      <c r="A229" s="316" t="s">
        <v>2858</v>
      </c>
      <c r="B229" s="313">
        <v>38979</v>
      </c>
      <c r="C229" s="316" t="s">
        <v>2859</v>
      </c>
      <c r="D229" s="316" t="s">
        <v>102</v>
      </c>
      <c r="E229" s="316" t="s">
        <v>1372</v>
      </c>
      <c r="F229" s="316" t="s">
        <v>1230</v>
      </c>
      <c r="G229" s="639"/>
    </row>
    <row r="230" spans="1:7" x14ac:dyDescent="0.25">
      <c r="A230" s="316" t="s">
        <v>2888</v>
      </c>
      <c r="B230" s="313">
        <v>38979</v>
      </c>
      <c r="C230" s="316" t="s">
        <v>2889</v>
      </c>
      <c r="D230" s="316" t="s">
        <v>102</v>
      </c>
      <c r="E230" s="316" t="s">
        <v>1372</v>
      </c>
      <c r="F230" s="316" t="s">
        <v>1230</v>
      </c>
      <c r="G230" s="639"/>
    </row>
    <row r="231" spans="1:7" x14ac:dyDescent="0.25">
      <c r="A231" s="316" t="s">
        <v>2890</v>
      </c>
      <c r="B231" s="313">
        <v>38979</v>
      </c>
      <c r="C231" s="316" t="s">
        <v>2889</v>
      </c>
      <c r="D231" s="316" t="s">
        <v>102</v>
      </c>
      <c r="E231" s="316" t="s">
        <v>1372</v>
      </c>
      <c r="F231" s="316" t="s">
        <v>1230</v>
      </c>
      <c r="G231" s="639"/>
    </row>
    <row r="232" spans="1:7" x14ac:dyDescent="0.25">
      <c r="A232" s="316" t="s">
        <v>2860</v>
      </c>
      <c r="B232" s="313">
        <v>38979</v>
      </c>
      <c r="C232" s="316" t="s">
        <v>2859</v>
      </c>
      <c r="D232" s="316" t="s">
        <v>102</v>
      </c>
      <c r="E232" s="316" t="s">
        <v>1372</v>
      </c>
      <c r="F232" s="316" t="s">
        <v>1230</v>
      </c>
      <c r="G232" s="639"/>
    </row>
    <row r="233" spans="1:7" x14ac:dyDescent="0.25">
      <c r="A233" s="316" t="s">
        <v>2852</v>
      </c>
      <c r="B233" s="313">
        <v>38979</v>
      </c>
      <c r="C233" s="316" t="s">
        <v>2851</v>
      </c>
      <c r="D233" s="316" t="s">
        <v>102</v>
      </c>
      <c r="E233" s="316" t="s">
        <v>1372</v>
      </c>
      <c r="F233" s="316" t="s">
        <v>1230</v>
      </c>
      <c r="G233" s="639"/>
    </row>
    <row r="234" spans="1:7" x14ac:dyDescent="0.25">
      <c r="A234" s="316" t="s">
        <v>2856</v>
      </c>
      <c r="B234" s="313">
        <v>38979</v>
      </c>
      <c r="C234" s="316" t="s">
        <v>2855</v>
      </c>
      <c r="D234" s="316" t="s">
        <v>102</v>
      </c>
      <c r="E234" s="316" t="s">
        <v>1372</v>
      </c>
      <c r="F234" s="316" t="s">
        <v>1230</v>
      </c>
      <c r="G234" s="639"/>
    </row>
    <row r="235" spans="1:7" x14ac:dyDescent="0.25">
      <c r="A235" s="316" t="s">
        <v>2848</v>
      </c>
      <c r="B235" s="313">
        <v>38979</v>
      </c>
      <c r="C235" s="316" t="s">
        <v>2847</v>
      </c>
      <c r="D235" s="316" t="s">
        <v>102</v>
      </c>
      <c r="E235" s="316" t="s">
        <v>1372</v>
      </c>
      <c r="F235" s="316" t="s">
        <v>1230</v>
      </c>
      <c r="G235" s="639"/>
    </row>
    <row r="236" spans="1:7" x14ac:dyDescent="0.25">
      <c r="A236" s="316" t="s">
        <v>2844</v>
      </c>
      <c r="B236" s="313">
        <v>38979</v>
      </c>
      <c r="C236" s="316" t="s">
        <v>2843</v>
      </c>
      <c r="D236" s="316" t="s">
        <v>102</v>
      </c>
      <c r="E236" s="316" t="s">
        <v>1372</v>
      </c>
      <c r="F236" s="316" t="s">
        <v>1230</v>
      </c>
      <c r="G236" s="639"/>
    </row>
    <row r="237" spans="1:7" x14ac:dyDescent="0.25">
      <c r="A237" s="316" t="s">
        <v>2892</v>
      </c>
      <c r="B237" s="313">
        <v>38979</v>
      </c>
      <c r="C237" s="316" t="s">
        <v>2889</v>
      </c>
      <c r="D237" s="316" t="s">
        <v>102</v>
      </c>
      <c r="E237" s="316" t="s">
        <v>1372</v>
      </c>
      <c r="F237" s="316" t="s">
        <v>1230</v>
      </c>
      <c r="G237" s="639"/>
    </row>
    <row r="238" spans="1:7" x14ac:dyDescent="0.25">
      <c r="A238" s="316" t="s">
        <v>2861</v>
      </c>
      <c r="B238" s="313">
        <v>38979</v>
      </c>
      <c r="C238" s="316" t="s">
        <v>2859</v>
      </c>
      <c r="D238" s="316" t="s">
        <v>102</v>
      </c>
      <c r="E238" s="316" t="s">
        <v>1372</v>
      </c>
      <c r="F238" s="316" t="s">
        <v>1230</v>
      </c>
      <c r="G238" s="639"/>
    </row>
    <row r="239" spans="1:7" x14ac:dyDescent="0.25">
      <c r="A239" s="316" t="s">
        <v>2857</v>
      </c>
      <c r="B239" s="313">
        <v>38979</v>
      </c>
      <c r="C239" s="316" t="s">
        <v>2855</v>
      </c>
      <c r="D239" s="316" t="s">
        <v>102</v>
      </c>
      <c r="E239" s="316" t="s">
        <v>1372</v>
      </c>
      <c r="F239" s="316" t="s">
        <v>1230</v>
      </c>
      <c r="G239" s="639"/>
    </row>
    <row r="240" spans="1:7" x14ac:dyDescent="0.25">
      <c r="A240" s="316" t="s">
        <v>2853</v>
      </c>
      <c r="B240" s="313">
        <v>38979</v>
      </c>
      <c r="C240" s="316" t="s">
        <v>2851</v>
      </c>
      <c r="D240" s="316" t="s">
        <v>102</v>
      </c>
      <c r="E240" s="316" t="s">
        <v>1372</v>
      </c>
      <c r="F240" s="316" t="s">
        <v>1230</v>
      </c>
      <c r="G240" s="639"/>
    </row>
    <row r="241" spans="1:7" x14ac:dyDescent="0.25">
      <c r="A241" s="316" t="s">
        <v>2849</v>
      </c>
      <c r="B241" s="313">
        <v>38979</v>
      </c>
      <c r="C241" s="316" t="s">
        <v>2847</v>
      </c>
      <c r="D241" s="316" t="s">
        <v>102</v>
      </c>
      <c r="E241" s="316" t="s">
        <v>1372</v>
      </c>
      <c r="F241" s="316" t="s">
        <v>1230</v>
      </c>
      <c r="G241" s="639"/>
    </row>
    <row r="242" spans="1:7" x14ac:dyDescent="0.25">
      <c r="A242" s="316" t="s">
        <v>2845</v>
      </c>
      <c r="B242" s="313">
        <v>38979</v>
      </c>
      <c r="C242" s="316" t="s">
        <v>2843</v>
      </c>
      <c r="D242" s="316" t="s">
        <v>102</v>
      </c>
      <c r="E242" s="316" t="s">
        <v>1372</v>
      </c>
      <c r="F242" s="316" t="s">
        <v>1230</v>
      </c>
      <c r="G242" s="639"/>
    </row>
    <row r="243" spans="1:7" x14ac:dyDescent="0.25">
      <c r="A243" s="316" t="s">
        <v>2842</v>
      </c>
      <c r="B243" s="313">
        <v>38979</v>
      </c>
      <c r="C243" s="316" t="s">
        <v>2843</v>
      </c>
      <c r="D243" s="316" t="s">
        <v>102</v>
      </c>
      <c r="E243" s="316" t="s">
        <v>1372</v>
      </c>
      <c r="F243" s="316" t="s">
        <v>495</v>
      </c>
      <c r="G243" s="639"/>
    </row>
    <row r="244" spans="1:7" x14ac:dyDescent="0.25">
      <c r="A244" s="316" t="s">
        <v>2846</v>
      </c>
      <c r="B244" s="313">
        <v>38979</v>
      </c>
      <c r="C244" s="316" t="s">
        <v>2847</v>
      </c>
      <c r="D244" s="316" t="s">
        <v>102</v>
      </c>
      <c r="E244" s="316" t="s">
        <v>1372</v>
      </c>
      <c r="F244" s="316" t="s">
        <v>495</v>
      </c>
      <c r="G244" s="639"/>
    </row>
    <row r="245" spans="1:7" x14ac:dyDescent="0.25">
      <c r="A245" s="316" t="s">
        <v>2850</v>
      </c>
      <c r="B245" s="313">
        <v>38979</v>
      </c>
      <c r="C245" s="316" t="s">
        <v>2851</v>
      </c>
      <c r="D245" s="316" t="s">
        <v>102</v>
      </c>
      <c r="E245" s="316" t="s">
        <v>1372</v>
      </c>
      <c r="F245" s="316" t="s">
        <v>495</v>
      </c>
      <c r="G245" s="639"/>
    </row>
    <row r="246" spans="1:7" x14ac:dyDescent="0.25">
      <c r="A246" s="316" t="s">
        <v>2854</v>
      </c>
      <c r="B246" s="313">
        <v>38979</v>
      </c>
      <c r="C246" s="316" t="s">
        <v>2855</v>
      </c>
      <c r="D246" s="316" t="s">
        <v>102</v>
      </c>
      <c r="E246" s="316" t="s">
        <v>1372</v>
      </c>
      <c r="F246" s="316" t="s">
        <v>495</v>
      </c>
      <c r="G246" s="639"/>
    </row>
    <row r="247" spans="1:7" x14ac:dyDescent="0.25">
      <c r="A247" s="316" t="s">
        <v>2858</v>
      </c>
      <c r="B247" s="313">
        <v>38979</v>
      </c>
      <c r="C247" s="316" t="s">
        <v>2859</v>
      </c>
      <c r="D247" s="316" t="s">
        <v>102</v>
      </c>
      <c r="E247" s="316" t="s">
        <v>1372</v>
      </c>
      <c r="F247" s="316" t="s">
        <v>495</v>
      </c>
      <c r="G247" s="639"/>
    </row>
    <row r="248" spans="1:7" x14ac:dyDescent="0.25">
      <c r="A248" s="316" t="s">
        <v>2888</v>
      </c>
      <c r="B248" s="313">
        <v>38979</v>
      </c>
      <c r="C248" s="316" t="s">
        <v>2889</v>
      </c>
      <c r="D248" s="316" t="s">
        <v>102</v>
      </c>
      <c r="E248" s="316" t="s">
        <v>1372</v>
      </c>
      <c r="F248" s="316" t="s">
        <v>495</v>
      </c>
      <c r="G248" s="639"/>
    </row>
    <row r="249" spans="1:7" x14ac:dyDescent="0.25">
      <c r="A249" s="316" t="s">
        <v>2890</v>
      </c>
      <c r="B249" s="313">
        <v>38979</v>
      </c>
      <c r="C249" s="316" t="s">
        <v>2889</v>
      </c>
      <c r="D249" s="316" t="s">
        <v>102</v>
      </c>
      <c r="E249" s="316" t="s">
        <v>1372</v>
      </c>
      <c r="F249" s="316" t="s">
        <v>495</v>
      </c>
      <c r="G249" s="639"/>
    </row>
    <row r="250" spans="1:7" x14ac:dyDescent="0.25">
      <c r="A250" s="316" t="s">
        <v>2860</v>
      </c>
      <c r="B250" s="313">
        <v>38979</v>
      </c>
      <c r="C250" s="316" t="s">
        <v>2859</v>
      </c>
      <c r="D250" s="316" t="s">
        <v>102</v>
      </c>
      <c r="E250" s="316" t="s">
        <v>1372</v>
      </c>
      <c r="F250" s="316" t="s">
        <v>495</v>
      </c>
      <c r="G250" s="639"/>
    </row>
    <row r="251" spans="1:7" x14ac:dyDescent="0.25">
      <c r="A251" s="316" t="s">
        <v>2852</v>
      </c>
      <c r="B251" s="313">
        <v>38979</v>
      </c>
      <c r="C251" s="316" t="s">
        <v>2851</v>
      </c>
      <c r="D251" s="316" t="s">
        <v>102</v>
      </c>
      <c r="E251" s="316" t="s">
        <v>1372</v>
      </c>
      <c r="F251" s="316" t="s">
        <v>495</v>
      </c>
      <c r="G251" s="639"/>
    </row>
    <row r="252" spans="1:7" x14ac:dyDescent="0.25">
      <c r="A252" s="316" t="s">
        <v>2856</v>
      </c>
      <c r="B252" s="313">
        <v>38979</v>
      </c>
      <c r="C252" s="316" t="s">
        <v>2855</v>
      </c>
      <c r="D252" s="316" t="s">
        <v>102</v>
      </c>
      <c r="E252" s="316" t="s">
        <v>1372</v>
      </c>
      <c r="F252" s="316" t="s">
        <v>495</v>
      </c>
      <c r="G252" s="639"/>
    </row>
    <row r="253" spans="1:7" x14ac:dyDescent="0.25">
      <c r="A253" s="316" t="s">
        <v>2848</v>
      </c>
      <c r="B253" s="313">
        <v>38979</v>
      </c>
      <c r="C253" s="316" t="s">
        <v>2847</v>
      </c>
      <c r="D253" s="316" t="s">
        <v>102</v>
      </c>
      <c r="E253" s="316" t="s">
        <v>1372</v>
      </c>
      <c r="F253" s="316" t="s">
        <v>495</v>
      </c>
      <c r="G253" s="639"/>
    </row>
    <row r="254" spans="1:7" x14ac:dyDescent="0.25">
      <c r="A254" s="316" t="s">
        <v>2844</v>
      </c>
      <c r="B254" s="313">
        <v>38979</v>
      </c>
      <c r="C254" s="316" t="s">
        <v>2843</v>
      </c>
      <c r="D254" s="316" t="s">
        <v>102</v>
      </c>
      <c r="E254" s="316" t="s">
        <v>1372</v>
      </c>
      <c r="F254" s="316" t="s">
        <v>495</v>
      </c>
      <c r="G254" s="639"/>
    </row>
    <row r="255" spans="1:7" x14ac:dyDescent="0.25">
      <c r="A255" s="316" t="s">
        <v>2892</v>
      </c>
      <c r="B255" s="313">
        <v>38979</v>
      </c>
      <c r="C255" s="316" t="s">
        <v>2889</v>
      </c>
      <c r="D255" s="316" t="s">
        <v>102</v>
      </c>
      <c r="E255" s="316" t="s">
        <v>1372</v>
      </c>
      <c r="F255" s="316" t="s">
        <v>495</v>
      </c>
      <c r="G255" s="639"/>
    </row>
    <row r="256" spans="1:7" x14ac:dyDescent="0.25">
      <c r="A256" s="316" t="s">
        <v>2861</v>
      </c>
      <c r="B256" s="313">
        <v>38979</v>
      </c>
      <c r="C256" s="316" t="s">
        <v>2859</v>
      </c>
      <c r="D256" s="316" t="s">
        <v>102</v>
      </c>
      <c r="E256" s="316" t="s">
        <v>1372</v>
      </c>
      <c r="F256" s="316" t="s">
        <v>495</v>
      </c>
      <c r="G256" s="639"/>
    </row>
    <row r="257" spans="1:7" x14ac:dyDescent="0.25">
      <c r="A257" s="316" t="s">
        <v>2857</v>
      </c>
      <c r="B257" s="313">
        <v>38979</v>
      </c>
      <c r="C257" s="316" t="s">
        <v>2855</v>
      </c>
      <c r="D257" s="316" t="s">
        <v>102</v>
      </c>
      <c r="E257" s="316" t="s">
        <v>1372</v>
      </c>
      <c r="F257" s="316" t="s">
        <v>495</v>
      </c>
      <c r="G257" s="639"/>
    </row>
    <row r="258" spans="1:7" x14ac:dyDescent="0.25">
      <c r="A258" s="316" t="s">
        <v>2853</v>
      </c>
      <c r="B258" s="313">
        <v>38979</v>
      </c>
      <c r="C258" s="316" t="s">
        <v>2851</v>
      </c>
      <c r="D258" s="316" t="s">
        <v>102</v>
      </c>
      <c r="E258" s="316" t="s">
        <v>1372</v>
      </c>
      <c r="F258" s="316" t="s">
        <v>495</v>
      </c>
      <c r="G258" s="639"/>
    </row>
    <row r="259" spans="1:7" x14ac:dyDescent="0.25">
      <c r="A259" s="316" t="s">
        <v>2849</v>
      </c>
      <c r="B259" s="313">
        <v>38979</v>
      </c>
      <c r="C259" s="316" t="s">
        <v>2847</v>
      </c>
      <c r="D259" s="316" t="s">
        <v>102</v>
      </c>
      <c r="E259" s="316" t="s">
        <v>1372</v>
      </c>
      <c r="F259" s="316" t="s">
        <v>495</v>
      </c>
      <c r="G259" s="639"/>
    </row>
    <row r="260" spans="1:7" x14ac:dyDescent="0.25">
      <c r="A260" s="316" t="s">
        <v>2845</v>
      </c>
      <c r="B260" s="313">
        <v>38979</v>
      </c>
      <c r="C260" s="316" t="s">
        <v>2843</v>
      </c>
      <c r="D260" s="316" t="s">
        <v>102</v>
      </c>
      <c r="E260" s="316" t="s">
        <v>1372</v>
      </c>
      <c r="F260" s="316" t="s">
        <v>495</v>
      </c>
      <c r="G260" s="639"/>
    </row>
    <row r="261" spans="1:7" x14ac:dyDescent="0.25">
      <c r="A261" s="316" t="s">
        <v>2842</v>
      </c>
      <c r="B261" s="313">
        <v>39346</v>
      </c>
      <c r="C261" s="316" t="s">
        <v>2843</v>
      </c>
      <c r="D261" s="316" t="s">
        <v>102</v>
      </c>
      <c r="E261" s="316" t="s">
        <v>1372</v>
      </c>
      <c r="F261" s="316" t="s">
        <v>1230</v>
      </c>
      <c r="G261" s="639"/>
    </row>
    <row r="262" spans="1:7" x14ac:dyDescent="0.25">
      <c r="A262" s="316" t="s">
        <v>2846</v>
      </c>
      <c r="B262" s="313">
        <v>39346</v>
      </c>
      <c r="C262" s="316" t="s">
        <v>2847</v>
      </c>
      <c r="D262" s="316" t="s">
        <v>102</v>
      </c>
      <c r="E262" s="316" t="s">
        <v>1372</v>
      </c>
      <c r="F262" s="316" t="s">
        <v>1230</v>
      </c>
      <c r="G262" s="639"/>
    </row>
    <row r="263" spans="1:7" x14ac:dyDescent="0.25">
      <c r="A263" s="316" t="s">
        <v>2850</v>
      </c>
      <c r="B263" s="313">
        <v>39346</v>
      </c>
      <c r="C263" s="316" t="s">
        <v>2851</v>
      </c>
      <c r="D263" s="316" t="s">
        <v>102</v>
      </c>
      <c r="E263" s="316" t="s">
        <v>1372</v>
      </c>
      <c r="F263" s="316" t="s">
        <v>1230</v>
      </c>
      <c r="G263" s="639"/>
    </row>
    <row r="264" spans="1:7" x14ac:dyDescent="0.25">
      <c r="A264" s="316" t="s">
        <v>2854</v>
      </c>
      <c r="B264" s="313">
        <v>39346</v>
      </c>
      <c r="C264" s="316" t="s">
        <v>2855</v>
      </c>
      <c r="D264" s="316" t="s">
        <v>102</v>
      </c>
      <c r="E264" s="316" t="s">
        <v>1372</v>
      </c>
      <c r="F264" s="316" t="s">
        <v>1230</v>
      </c>
      <c r="G264" s="639"/>
    </row>
    <row r="265" spans="1:7" x14ac:dyDescent="0.25">
      <c r="A265" s="316" t="s">
        <v>2858</v>
      </c>
      <c r="B265" s="313">
        <v>39346</v>
      </c>
      <c r="C265" s="316" t="s">
        <v>2859</v>
      </c>
      <c r="D265" s="316" t="s">
        <v>102</v>
      </c>
      <c r="E265" s="316" t="s">
        <v>1372</v>
      </c>
      <c r="F265" s="316" t="s">
        <v>1230</v>
      </c>
      <c r="G265" s="639"/>
    </row>
    <row r="266" spans="1:7" x14ac:dyDescent="0.25">
      <c r="A266" s="316" t="s">
        <v>2888</v>
      </c>
      <c r="B266" s="313">
        <v>39346</v>
      </c>
      <c r="C266" s="316" t="s">
        <v>2889</v>
      </c>
      <c r="D266" s="316" t="s">
        <v>102</v>
      </c>
      <c r="E266" s="316" t="s">
        <v>1372</v>
      </c>
      <c r="F266" s="316" t="s">
        <v>1230</v>
      </c>
      <c r="G266" s="639"/>
    </row>
    <row r="267" spans="1:7" x14ac:dyDescent="0.25">
      <c r="A267" s="316" t="s">
        <v>2890</v>
      </c>
      <c r="B267" s="313">
        <v>39346</v>
      </c>
      <c r="C267" s="316" t="s">
        <v>2889</v>
      </c>
      <c r="D267" s="316" t="s">
        <v>102</v>
      </c>
      <c r="E267" s="316" t="s">
        <v>1372</v>
      </c>
      <c r="F267" s="316" t="s">
        <v>1230</v>
      </c>
      <c r="G267" s="639"/>
    </row>
    <row r="268" spans="1:7" x14ac:dyDescent="0.25">
      <c r="A268" s="316" t="s">
        <v>2860</v>
      </c>
      <c r="B268" s="313">
        <v>39346</v>
      </c>
      <c r="C268" s="316" t="s">
        <v>2859</v>
      </c>
      <c r="D268" s="316" t="s">
        <v>102</v>
      </c>
      <c r="E268" s="316" t="s">
        <v>1372</v>
      </c>
      <c r="F268" s="316" t="s">
        <v>1230</v>
      </c>
      <c r="G268" s="639"/>
    </row>
    <row r="269" spans="1:7" x14ac:dyDescent="0.25">
      <c r="A269" s="316" t="s">
        <v>2852</v>
      </c>
      <c r="B269" s="313">
        <v>39346</v>
      </c>
      <c r="C269" s="316" t="s">
        <v>2851</v>
      </c>
      <c r="D269" s="316" t="s">
        <v>102</v>
      </c>
      <c r="E269" s="316" t="s">
        <v>1372</v>
      </c>
      <c r="F269" s="316" t="s">
        <v>1230</v>
      </c>
      <c r="G269" s="639"/>
    </row>
    <row r="270" spans="1:7" x14ac:dyDescent="0.25">
      <c r="A270" s="316" t="s">
        <v>2856</v>
      </c>
      <c r="B270" s="313">
        <v>39346</v>
      </c>
      <c r="C270" s="316" t="s">
        <v>2855</v>
      </c>
      <c r="D270" s="316" t="s">
        <v>102</v>
      </c>
      <c r="E270" s="316" t="s">
        <v>1372</v>
      </c>
      <c r="F270" s="316" t="s">
        <v>1230</v>
      </c>
      <c r="G270" s="639"/>
    </row>
    <row r="271" spans="1:7" x14ac:dyDescent="0.25">
      <c r="A271" s="316" t="s">
        <v>2848</v>
      </c>
      <c r="B271" s="313">
        <v>39346</v>
      </c>
      <c r="C271" s="316" t="s">
        <v>2847</v>
      </c>
      <c r="D271" s="316" t="s">
        <v>102</v>
      </c>
      <c r="E271" s="316" t="s">
        <v>1372</v>
      </c>
      <c r="F271" s="316" t="s">
        <v>1230</v>
      </c>
      <c r="G271" s="639"/>
    </row>
    <row r="272" spans="1:7" x14ac:dyDescent="0.25">
      <c r="A272" s="316" t="s">
        <v>2844</v>
      </c>
      <c r="B272" s="313">
        <v>39346</v>
      </c>
      <c r="C272" s="316" t="s">
        <v>2843</v>
      </c>
      <c r="D272" s="316" t="s">
        <v>102</v>
      </c>
      <c r="E272" s="316" t="s">
        <v>1372</v>
      </c>
      <c r="F272" s="316" t="s">
        <v>1230</v>
      </c>
      <c r="G272" s="639"/>
    </row>
    <row r="273" spans="1:7" x14ac:dyDescent="0.25">
      <c r="A273" s="316" t="s">
        <v>2892</v>
      </c>
      <c r="B273" s="313">
        <v>39346</v>
      </c>
      <c r="C273" s="316" t="s">
        <v>2889</v>
      </c>
      <c r="D273" s="316" t="s">
        <v>102</v>
      </c>
      <c r="E273" s="316" t="s">
        <v>1372</v>
      </c>
      <c r="F273" s="316" t="s">
        <v>1230</v>
      </c>
      <c r="G273" s="639"/>
    </row>
    <row r="274" spans="1:7" x14ac:dyDescent="0.25">
      <c r="A274" s="316" t="s">
        <v>2861</v>
      </c>
      <c r="B274" s="313">
        <v>39346</v>
      </c>
      <c r="C274" s="316" t="s">
        <v>2859</v>
      </c>
      <c r="D274" s="316" t="s">
        <v>102</v>
      </c>
      <c r="E274" s="316" t="s">
        <v>1372</v>
      </c>
      <c r="F274" s="316" t="s">
        <v>1230</v>
      </c>
      <c r="G274" s="639"/>
    </row>
    <row r="275" spans="1:7" x14ac:dyDescent="0.25">
      <c r="A275" s="316" t="s">
        <v>2857</v>
      </c>
      <c r="B275" s="313">
        <v>39346</v>
      </c>
      <c r="C275" s="316" t="s">
        <v>2855</v>
      </c>
      <c r="D275" s="316" t="s">
        <v>102</v>
      </c>
      <c r="E275" s="316" t="s">
        <v>1372</v>
      </c>
      <c r="F275" s="316" t="s">
        <v>1230</v>
      </c>
      <c r="G275" s="639"/>
    </row>
    <row r="276" spans="1:7" x14ac:dyDescent="0.25">
      <c r="A276" s="316" t="s">
        <v>2853</v>
      </c>
      <c r="B276" s="313">
        <v>39346</v>
      </c>
      <c r="C276" s="316" t="s">
        <v>2851</v>
      </c>
      <c r="D276" s="316" t="s">
        <v>102</v>
      </c>
      <c r="E276" s="316" t="s">
        <v>1372</v>
      </c>
      <c r="F276" s="316" t="s">
        <v>1230</v>
      </c>
      <c r="G276" s="639"/>
    </row>
    <row r="277" spans="1:7" x14ac:dyDescent="0.25">
      <c r="A277" s="316" t="s">
        <v>2849</v>
      </c>
      <c r="B277" s="313">
        <v>39346</v>
      </c>
      <c r="C277" s="316" t="s">
        <v>2847</v>
      </c>
      <c r="D277" s="316" t="s">
        <v>102</v>
      </c>
      <c r="E277" s="316" t="s">
        <v>1372</v>
      </c>
      <c r="F277" s="316" t="s">
        <v>1230</v>
      </c>
      <c r="G277" s="639"/>
    </row>
    <row r="278" spans="1:7" x14ac:dyDescent="0.25">
      <c r="A278" s="316" t="s">
        <v>2845</v>
      </c>
      <c r="B278" s="313">
        <v>39346</v>
      </c>
      <c r="C278" s="316" t="s">
        <v>2843</v>
      </c>
      <c r="D278" s="316" t="s">
        <v>102</v>
      </c>
      <c r="E278" s="316" t="s">
        <v>1372</v>
      </c>
      <c r="F278" s="316" t="s">
        <v>1230</v>
      </c>
      <c r="G278" s="639"/>
    </row>
    <row r="279" spans="1:7" x14ac:dyDescent="0.25">
      <c r="A279" s="316" t="s">
        <v>2842</v>
      </c>
      <c r="B279" s="313">
        <v>39346</v>
      </c>
      <c r="C279" s="316" t="s">
        <v>2843</v>
      </c>
      <c r="D279" s="316" t="s">
        <v>102</v>
      </c>
      <c r="E279" s="316" t="s">
        <v>1372</v>
      </c>
      <c r="F279" s="316" t="s">
        <v>495</v>
      </c>
      <c r="G279" s="639"/>
    </row>
    <row r="280" spans="1:7" x14ac:dyDescent="0.25">
      <c r="A280" s="316" t="s">
        <v>2846</v>
      </c>
      <c r="B280" s="313">
        <v>39346</v>
      </c>
      <c r="C280" s="316" t="s">
        <v>2847</v>
      </c>
      <c r="D280" s="316" t="s">
        <v>102</v>
      </c>
      <c r="E280" s="316" t="s">
        <v>1372</v>
      </c>
      <c r="F280" s="316" t="s">
        <v>495</v>
      </c>
      <c r="G280" s="639"/>
    </row>
    <row r="281" spans="1:7" x14ac:dyDescent="0.25">
      <c r="A281" s="316" t="s">
        <v>2850</v>
      </c>
      <c r="B281" s="313">
        <v>39346</v>
      </c>
      <c r="C281" s="316" t="s">
        <v>2851</v>
      </c>
      <c r="D281" s="316" t="s">
        <v>102</v>
      </c>
      <c r="E281" s="316" t="s">
        <v>1372</v>
      </c>
      <c r="F281" s="316" t="s">
        <v>495</v>
      </c>
      <c r="G281" s="639"/>
    </row>
    <row r="282" spans="1:7" x14ac:dyDescent="0.25">
      <c r="A282" s="316" t="s">
        <v>2854</v>
      </c>
      <c r="B282" s="313">
        <v>39346</v>
      </c>
      <c r="C282" s="316" t="s">
        <v>2855</v>
      </c>
      <c r="D282" s="316" t="s">
        <v>102</v>
      </c>
      <c r="E282" s="316" t="s">
        <v>1372</v>
      </c>
      <c r="F282" s="316" t="s">
        <v>495</v>
      </c>
      <c r="G282" s="639"/>
    </row>
    <row r="283" spans="1:7" x14ac:dyDescent="0.25">
      <c r="A283" s="316" t="s">
        <v>2858</v>
      </c>
      <c r="B283" s="313">
        <v>39346</v>
      </c>
      <c r="C283" s="316" t="s">
        <v>2859</v>
      </c>
      <c r="D283" s="316" t="s">
        <v>102</v>
      </c>
      <c r="E283" s="316" t="s">
        <v>1372</v>
      </c>
      <c r="F283" s="316" t="s">
        <v>495</v>
      </c>
      <c r="G283" s="639"/>
    </row>
    <row r="284" spans="1:7" x14ac:dyDescent="0.25">
      <c r="A284" s="316" t="s">
        <v>2888</v>
      </c>
      <c r="B284" s="313">
        <v>39346</v>
      </c>
      <c r="C284" s="316" t="s">
        <v>2889</v>
      </c>
      <c r="D284" s="316" t="s">
        <v>102</v>
      </c>
      <c r="E284" s="316" t="s">
        <v>1372</v>
      </c>
      <c r="F284" s="316" t="s">
        <v>495</v>
      </c>
      <c r="G284" s="639"/>
    </row>
    <row r="285" spans="1:7" x14ac:dyDescent="0.25">
      <c r="A285" s="316" t="s">
        <v>2890</v>
      </c>
      <c r="B285" s="313">
        <v>39346</v>
      </c>
      <c r="C285" s="316" t="s">
        <v>2889</v>
      </c>
      <c r="D285" s="316" t="s">
        <v>102</v>
      </c>
      <c r="E285" s="316" t="s">
        <v>1372</v>
      </c>
      <c r="F285" s="316" t="s">
        <v>495</v>
      </c>
      <c r="G285" s="639"/>
    </row>
    <row r="286" spans="1:7" x14ac:dyDescent="0.25">
      <c r="A286" s="316" t="s">
        <v>2860</v>
      </c>
      <c r="B286" s="313">
        <v>39346</v>
      </c>
      <c r="C286" s="316" t="s">
        <v>2859</v>
      </c>
      <c r="D286" s="316" t="s">
        <v>102</v>
      </c>
      <c r="E286" s="316" t="s">
        <v>1372</v>
      </c>
      <c r="F286" s="316" t="s">
        <v>495</v>
      </c>
      <c r="G286" s="639"/>
    </row>
    <row r="287" spans="1:7" x14ac:dyDescent="0.25">
      <c r="A287" s="316" t="s">
        <v>2852</v>
      </c>
      <c r="B287" s="313">
        <v>39346</v>
      </c>
      <c r="C287" s="316" t="s">
        <v>2851</v>
      </c>
      <c r="D287" s="316" t="s">
        <v>102</v>
      </c>
      <c r="E287" s="316" t="s">
        <v>1372</v>
      </c>
      <c r="F287" s="316" t="s">
        <v>495</v>
      </c>
      <c r="G287" s="639"/>
    </row>
    <row r="288" spans="1:7" x14ac:dyDescent="0.25">
      <c r="A288" s="316" t="s">
        <v>2856</v>
      </c>
      <c r="B288" s="313">
        <v>39346</v>
      </c>
      <c r="C288" s="316" t="s">
        <v>2855</v>
      </c>
      <c r="D288" s="316" t="s">
        <v>102</v>
      </c>
      <c r="E288" s="316" t="s">
        <v>1372</v>
      </c>
      <c r="F288" s="316" t="s">
        <v>495</v>
      </c>
      <c r="G288" s="639"/>
    </row>
    <row r="289" spans="1:7" x14ac:dyDescent="0.25">
      <c r="A289" s="316" t="s">
        <v>2848</v>
      </c>
      <c r="B289" s="313">
        <v>39346</v>
      </c>
      <c r="C289" s="316" t="s">
        <v>2847</v>
      </c>
      <c r="D289" s="316" t="s">
        <v>102</v>
      </c>
      <c r="E289" s="316" t="s">
        <v>1372</v>
      </c>
      <c r="F289" s="316" t="s">
        <v>495</v>
      </c>
      <c r="G289" s="639"/>
    </row>
    <row r="290" spans="1:7" x14ac:dyDescent="0.25">
      <c r="A290" s="316" t="s">
        <v>2844</v>
      </c>
      <c r="B290" s="313">
        <v>39346</v>
      </c>
      <c r="C290" s="316" t="s">
        <v>2843</v>
      </c>
      <c r="D290" s="316" t="s">
        <v>102</v>
      </c>
      <c r="E290" s="316" t="s">
        <v>1372</v>
      </c>
      <c r="F290" s="316" t="s">
        <v>495</v>
      </c>
      <c r="G290" s="639"/>
    </row>
    <row r="291" spans="1:7" x14ac:dyDescent="0.25">
      <c r="A291" s="316" t="s">
        <v>2892</v>
      </c>
      <c r="B291" s="313">
        <v>39346</v>
      </c>
      <c r="C291" s="316" t="s">
        <v>2889</v>
      </c>
      <c r="D291" s="316" t="s">
        <v>102</v>
      </c>
      <c r="E291" s="316" t="s">
        <v>1372</v>
      </c>
      <c r="F291" s="316" t="s">
        <v>495</v>
      </c>
      <c r="G291" s="639"/>
    </row>
    <row r="292" spans="1:7" x14ac:dyDescent="0.25">
      <c r="A292" s="316" t="s">
        <v>2861</v>
      </c>
      <c r="B292" s="313">
        <v>39346</v>
      </c>
      <c r="C292" s="316" t="s">
        <v>2859</v>
      </c>
      <c r="D292" s="316" t="s">
        <v>102</v>
      </c>
      <c r="E292" s="316" t="s">
        <v>1372</v>
      </c>
      <c r="F292" s="316" t="s">
        <v>495</v>
      </c>
      <c r="G292" s="639"/>
    </row>
    <row r="293" spans="1:7" x14ac:dyDescent="0.25">
      <c r="A293" s="316" t="s">
        <v>2857</v>
      </c>
      <c r="B293" s="313">
        <v>39346</v>
      </c>
      <c r="C293" s="316" t="s">
        <v>2855</v>
      </c>
      <c r="D293" s="316" t="s">
        <v>102</v>
      </c>
      <c r="E293" s="316" t="s">
        <v>1372</v>
      </c>
      <c r="F293" s="316" t="s">
        <v>495</v>
      </c>
      <c r="G293" s="639"/>
    </row>
    <row r="294" spans="1:7" x14ac:dyDescent="0.25">
      <c r="A294" s="316" t="s">
        <v>2853</v>
      </c>
      <c r="B294" s="313">
        <v>39346</v>
      </c>
      <c r="C294" s="316" t="s">
        <v>2851</v>
      </c>
      <c r="D294" s="316" t="s">
        <v>102</v>
      </c>
      <c r="E294" s="316" t="s">
        <v>1372</v>
      </c>
      <c r="F294" s="316" t="s">
        <v>495</v>
      </c>
      <c r="G294" s="639"/>
    </row>
    <row r="295" spans="1:7" x14ac:dyDescent="0.25">
      <c r="A295" s="316" t="s">
        <v>2849</v>
      </c>
      <c r="B295" s="313">
        <v>39346</v>
      </c>
      <c r="C295" s="316" t="s">
        <v>2847</v>
      </c>
      <c r="D295" s="316" t="s">
        <v>102</v>
      </c>
      <c r="E295" s="316" t="s">
        <v>1372</v>
      </c>
      <c r="F295" s="316" t="s">
        <v>495</v>
      </c>
      <c r="G295" s="639"/>
    </row>
    <row r="296" spans="1:7" x14ac:dyDescent="0.25">
      <c r="A296" s="316" t="s">
        <v>2845</v>
      </c>
      <c r="B296" s="313">
        <v>39346</v>
      </c>
      <c r="C296" s="316" t="s">
        <v>2843</v>
      </c>
      <c r="D296" s="316" t="s">
        <v>102</v>
      </c>
      <c r="E296" s="316" t="s">
        <v>1372</v>
      </c>
      <c r="F296" s="316" t="s">
        <v>495</v>
      </c>
      <c r="G296" s="639"/>
    </row>
    <row r="297" spans="1:7" x14ac:dyDescent="0.25">
      <c r="A297" s="316" t="s">
        <v>2842</v>
      </c>
      <c r="B297" s="313">
        <v>39719</v>
      </c>
      <c r="C297" s="316" t="s">
        <v>2843</v>
      </c>
      <c r="D297" s="316" t="s">
        <v>102</v>
      </c>
      <c r="E297" s="316" t="s">
        <v>1372</v>
      </c>
      <c r="F297" s="316" t="s">
        <v>1230</v>
      </c>
      <c r="G297" s="639"/>
    </row>
    <row r="298" spans="1:7" x14ac:dyDescent="0.25">
      <c r="A298" s="316" t="s">
        <v>2846</v>
      </c>
      <c r="B298" s="313">
        <v>39719</v>
      </c>
      <c r="C298" s="316" t="s">
        <v>2847</v>
      </c>
      <c r="D298" s="316" t="s">
        <v>102</v>
      </c>
      <c r="E298" s="316" t="s">
        <v>1372</v>
      </c>
      <c r="F298" s="316" t="s">
        <v>1230</v>
      </c>
      <c r="G298" s="639"/>
    </row>
    <row r="299" spans="1:7" x14ac:dyDescent="0.25">
      <c r="A299" s="316" t="s">
        <v>2850</v>
      </c>
      <c r="B299" s="313">
        <v>39719</v>
      </c>
      <c r="C299" s="316" t="s">
        <v>2851</v>
      </c>
      <c r="D299" s="316" t="s">
        <v>102</v>
      </c>
      <c r="E299" s="316" t="s">
        <v>1372</v>
      </c>
      <c r="F299" s="316" t="s">
        <v>1230</v>
      </c>
      <c r="G299" s="639"/>
    </row>
    <row r="300" spans="1:7" x14ac:dyDescent="0.25">
      <c r="A300" s="316" t="s">
        <v>2854</v>
      </c>
      <c r="B300" s="313">
        <v>39719</v>
      </c>
      <c r="C300" s="316" t="s">
        <v>2855</v>
      </c>
      <c r="D300" s="316" t="s">
        <v>102</v>
      </c>
      <c r="E300" s="316" t="s">
        <v>1372</v>
      </c>
      <c r="F300" s="316" t="s">
        <v>1230</v>
      </c>
      <c r="G300" s="639"/>
    </row>
    <row r="301" spans="1:7" x14ac:dyDescent="0.25">
      <c r="A301" s="316" t="s">
        <v>2858</v>
      </c>
      <c r="B301" s="313">
        <v>39719</v>
      </c>
      <c r="C301" s="316" t="s">
        <v>2859</v>
      </c>
      <c r="D301" s="316" t="s">
        <v>102</v>
      </c>
      <c r="E301" s="316" t="s">
        <v>1372</v>
      </c>
      <c r="F301" s="316" t="s">
        <v>1230</v>
      </c>
      <c r="G301" s="639"/>
    </row>
    <row r="302" spans="1:7" x14ac:dyDescent="0.25">
      <c r="A302" s="316" t="s">
        <v>2888</v>
      </c>
      <c r="B302" s="313">
        <v>39719</v>
      </c>
      <c r="C302" s="316" t="s">
        <v>2889</v>
      </c>
      <c r="D302" s="316" t="s">
        <v>102</v>
      </c>
      <c r="E302" s="316" t="s">
        <v>1372</v>
      </c>
      <c r="F302" s="316" t="s">
        <v>1230</v>
      </c>
      <c r="G302" s="639"/>
    </row>
    <row r="303" spans="1:7" x14ac:dyDescent="0.25">
      <c r="A303" s="316" t="s">
        <v>2890</v>
      </c>
      <c r="B303" s="313">
        <v>39719</v>
      </c>
      <c r="C303" s="316" t="s">
        <v>2889</v>
      </c>
      <c r="D303" s="316" t="s">
        <v>102</v>
      </c>
      <c r="E303" s="316" t="s">
        <v>1372</v>
      </c>
      <c r="F303" s="316" t="s">
        <v>1230</v>
      </c>
      <c r="G303" s="639"/>
    </row>
    <row r="304" spans="1:7" x14ac:dyDescent="0.25">
      <c r="A304" s="316" t="s">
        <v>2860</v>
      </c>
      <c r="B304" s="313">
        <v>39719</v>
      </c>
      <c r="C304" s="316" t="s">
        <v>2859</v>
      </c>
      <c r="D304" s="316" t="s">
        <v>102</v>
      </c>
      <c r="E304" s="316" t="s">
        <v>1372</v>
      </c>
      <c r="F304" s="316" t="s">
        <v>1230</v>
      </c>
      <c r="G304" s="639"/>
    </row>
    <row r="305" spans="1:7" x14ac:dyDescent="0.25">
      <c r="A305" s="316" t="s">
        <v>2852</v>
      </c>
      <c r="B305" s="313">
        <v>39719</v>
      </c>
      <c r="C305" s="316" t="s">
        <v>2851</v>
      </c>
      <c r="D305" s="316" t="s">
        <v>102</v>
      </c>
      <c r="E305" s="316" t="s">
        <v>1372</v>
      </c>
      <c r="F305" s="316" t="s">
        <v>1230</v>
      </c>
      <c r="G305" s="639"/>
    </row>
    <row r="306" spans="1:7" x14ac:dyDescent="0.25">
      <c r="A306" s="316" t="s">
        <v>2856</v>
      </c>
      <c r="B306" s="313">
        <v>39719</v>
      </c>
      <c r="C306" s="316" t="s">
        <v>2855</v>
      </c>
      <c r="D306" s="316" t="s">
        <v>102</v>
      </c>
      <c r="E306" s="316" t="s">
        <v>1372</v>
      </c>
      <c r="F306" s="316" t="s">
        <v>1230</v>
      </c>
      <c r="G306" s="639"/>
    </row>
    <row r="307" spans="1:7" x14ac:dyDescent="0.25">
      <c r="A307" s="316" t="s">
        <v>2848</v>
      </c>
      <c r="B307" s="313">
        <v>39719</v>
      </c>
      <c r="C307" s="316" t="s">
        <v>2847</v>
      </c>
      <c r="D307" s="316" t="s">
        <v>102</v>
      </c>
      <c r="E307" s="316" t="s">
        <v>1372</v>
      </c>
      <c r="F307" s="316" t="s">
        <v>1230</v>
      </c>
      <c r="G307" s="639"/>
    </row>
    <row r="308" spans="1:7" x14ac:dyDescent="0.25">
      <c r="A308" s="316" t="s">
        <v>2844</v>
      </c>
      <c r="B308" s="313">
        <v>39719</v>
      </c>
      <c r="C308" s="316" t="s">
        <v>2843</v>
      </c>
      <c r="D308" s="316" t="s">
        <v>102</v>
      </c>
      <c r="E308" s="316" t="s">
        <v>1372</v>
      </c>
      <c r="F308" s="316" t="s">
        <v>1230</v>
      </c>
      <c r="G308" s="639"/>
    </row>
    <row r="309" spans="1:7" x14ac:dyDescent="0.25">
      <c r="A309" s="316" t="s">
        <v>2892</v>
      </c>
      <c r="B309" s="313">
        <v>39719</v>
      </c>
      <c r="C309" s="316" t="s">
        <v>2889</v>
      </c>
      <c r="D309" s="316" t="s">
        <v>102</v>
      </c>
      <c r="E309" s="316" t="s">
        <v>1372</v>
      </c>
      <c r="F309" s="316" t="s">
        <v>1230</v>
      </c>
      <c r="G309" s="639"/>
    </row>
    <row r="310" spans="1:7" x14ac:dyDescent="0.25">
      <c r="A310" s="316" t="s">
        <v>2861</v>
      </c>
      <c r="B310" s="313">
        <v>39719</v>
      </c>
      <c r="C310" s="316" t="s">
        <v>2859</v>
      </c>
      <c r="D310" s="316" t="s">
        <v>102</v>
      </c>
      <c r="E310" s="316" t="s">
        <v>1372</v>
      </c>
      <c r="F310" s="316" t="s">
        <v>1230</v>
      </c>
      <c r="G310" s="639"/>
    </row>
    <row r="311" spans="1:7" x14ac:dyDescent="0.25">
      <c r="A311" s="316" t="s">
        <v>2857</v>
      </c>
      <c r="B311" s="313">
        <v>39719</v>
      </c>
      <c r="C311" s="316" t="s">
        <v>2855</v>
      </c>
      <c r="D311" s="316" t="s">
        <v>102</v>
      </c>
      <c r="E311" s="316" t="s">
        <v>1372</v>
      </c>
      <c r="F311" s="316" t="s">
        <v>1230</v>
      </c>
      <c r="G311" s="639"/>
    </row>
    <row r="312" spans="1:7" x14ac:dyDescent="0.25">
      <c r="A312" s="316" t="s">
        <v>2853</v>
      </c>
      <c r="B312" s="313">
        <v>39719</v>
      </c>
      <c r="C312" s="316" t="s">
        <v>2851</v>
      </c>
      <c r="D312" s="316" t="s">
        <v>102</v>
      </c>
      <c r="E312" s="316" t="s">
        <v>1372</v>
      </c>
      <c r="F312" s="316" t="s">
        <v>1230</v>
      </c>
      <c r="G312" s="639"/>
    </row>
    <row r="313" spans="1:7" x14ac:dyDescent="0.25">
      <c r="A313" s="316" t="s">
        <v>2849</v>
      </c>
      <c r="B313" s="313">
        <v>39719</v>
      </c>
      <c r="C313" s="316" t="s">
        <v>2847</v>
      </c>
      <c r="D313" s="316" t="s">
        <v>102</v>
      </c>
      <c r="E313" s="316" t="s">
        <v>1372</v>
      </c>
      <c r="F313" s="316" t="s">
        <v>1230</v>
      </c>
      <c r="G313" s="639"/>
    </row>
    <row r="314" spans="1:7" x14ac:dyDescent="0.25">
      <c r="A314" s="316" t="s">
        <v>2845</v>
      </c>
      <c r="B314" s="313">
        <v>39719</v>
      </c>
      <c r="C314" s="316" t="s">
        <v>2843</v>
      </c>
      <c r="D314" s="316" t="s">
        <v>102</v>
      </c>
      <c r="E314" s="316" t="s">
        <v>1372</v>
      </c>
      <c r="F314" s="316" t="s">
        <v>1230</v>
      </c>
      <c r="G314" s="639"/>
    </row>
    <row r="315" spans="1:7" x14ac:dyDescent="0.25">
      <c r="A315" s="316" t="s">
        <v>2842</v>
      </c>
      <c r="B315" s="313">
        <v>39719</v>
      </c>
      <c r="C315" s="316" t="s">
        <v>2843</v>
      </c>
      <c r="D315" s="316" t="s">
        <v>102</v>
      </c>
      <c r="E315" s="316" t="s">
        <v>1372</v>
      </c>
      <c r="F315" s="316" t="s">
        <v>495</v>
      </c>
      <c r="G315" s="639"/>
    </row>
    <row r="316" spans="1:7" x14ac:dyDescent="0.25">
      <c r="A316" s="316" t="s">
        <v>2846</v>
      </c>
      <c r="B316" s="313">
        <v>39719</v>
      </c>
      <c r="C316" s="316" t="s">
        <v>2847</v>
      </c>
      <c r="D316" s="316" t="s">
        <v>102</v>
      </c>
      <c r="E316" s="316" t="s">
        <v>1372</v>
      </c>
      <c r="F316" s="316" t="s">
        <v>495</v>
      </c>
      <c r="G316" s="639"/>
    </row>
    <row r="317" spans="1:7" x14ac:dyDescent="0.25">
      <c r="A317" s="316" t="s">
        <v>2850</v>
      </c>
      <c r="B317" s="313">
        <v>39719</v>
      </c>
      <c r="C317" s="316" t="s">
        <v>2851</v>
      </c>
      <c r="D317" s="316" t="s">
        <v>102</v>
      </c>
      <c r="E317" s="316" t="s">
        <v>1372</v>
      </c>
      <c r="F317" s="316" t="s">
        <v>495</v>
      </c>
      <c r="G317" s="639"/>
    </row>
    <row r="318" spans="1:7" x14ac:dyDescent="0.25">
      <c r="A318" s="316" t="s">
        <v>2854</v>
      </c>
      <c r="B318" s="313">
        <v>39719</v>
      </c>
      <c r="C318" s="316" t="s">
        <v>2855</v>
      </c>
      <c r="D318" s="316" t="s">
        <v>102</v>
      </c>
      <c r="E318" s="316" t="s">
        <v>1372</v>
      </c>
      <c r="F318" s="316" t="s">
        <v>495</v>
      </c>
      <c r="G318" s="639"/>
    </row>
    <row r="319" spans="1:7" x14ac:dyDescent="0.25">
      <c r="A319" s="316" t="s">
        <v>2858</v>
      </c>
      <c r="B319" s="313">
        <v>39719</v>
      </c>
      <c r="C319" s="316" t="s">
        <v>2859</v>
      </c>
      <c r="D319" s="316" t="s">
        <v>102</v>
      </c>
      <c r="E319" s="316" t="s">
        <v>1372</v>
      </c>
      <c r="F319" s="316" t="s">
        <v>495</v>
      </c>
      <c r="G319" s="639"/>
    </row>
    <row r="320" spans="1:7" x14ac:dyDescent="0.25">
      <c r="A320" s="316" t="s">
        <v>2888</v>
      </c>
      <c r="B320" s="313">
        <v>39719</v>
      </c>
      <c r="C320" s="316" t="s">
        <v>2889</v>
      </c>
      <c r="D320" s="316" t="s">
        <v>102</v>
      </c>
      <c r="E320" s="316" t="s">
        <v>1372</v>
      </c>
      <c r="F320" s="316" t="s">
        <v>495</v>
      </c>
      <c r="G320" s="639"/>
    </row>
    <row r="321" spans="1:7" x14ac:dyDescent="0.25">
      <c r="A321" s="316" t="s">
        <v>2890</v>
      </c>
      <c r="B321" s="313">
        <v>39719</v>
      </c>
      <c r="C321" s="316" t="s">
        <v>2889</v>
      </c>
      <c r="D321" s="316" t="s">
        <v>102</v>
      </c>
      <c r="E321" s="316" t="s">
        <v>1372</v>
      </c>
      <c r="F321" s="316" t="s">
        <v>495</v>
      </c>
      <c r="G321" s="639"/>
    </row>
    <row r="322" spans="1:7" x14ac:dyDescent="0.25">
      <c r="A322" s="316" t="s">
        <v>2860</v>
      </c>
      <c r="B322" s="313">
        <v>39719</v>
      </c>
      <c r="C322" s="316" t="s">
        <v>2859</v>
      </c>
      <c r="D322" s="316" t="s">
        <v>102</v>
      </c>
      <c r="E322" s="316" t="s">
        <v>1372</v>
      </c>
      <c r="F322" s="316" t="s">
        <v>495</v>
      </c>
      <c r="G322" s="639"/>
    </row>
    <row r="323" spans="1:7" x14ac:dyDescent="0.25">
      <c r="A323" s="316" t="s">
        <v>2852</v>
      </c>
      <c r="B323" s="313">
        <v>39719</v>
      </c>
      <c r="C323" s="316" t="s">
        <v>2851</v>
      </c>
      <c r="D323" s="316" t="s">
        <v>102</v>
      </c>
      <c r="E323" s="316" t="s">
        <v>1372</v>
      </c>
      <c r="F323" s="316" t="s">
        <v>495</v>
      </c>
      <c r="G323" s="639"/>
    </row>
    <row r="324" spans="1:7" x14ac:dyDescent="0.25">
      <c r="A324" s="316" t="s">
        <v>2856</v>
      </c>
      <c r="B324" s="313">
        <v>39719</v>
      </c>
      <c r="C324" s="316" t="s">
        <v>2855</v>
      </c>
      <c r="D324" s="316" t="s">
        <v>102</v>
      </c>
      <c r="E324" s="316" t="s">
        <v>1372</v>
      </c>
      <c r="F324" s="316" t="s">
        <v>495</v>
      </c>
      <c r="G324" s="639"/>
    </row>
    <row r="325" spans="1:7" x14ac:dyDescent="0.25">
      <c r="A325" s="316" t="s">
        <v>2848</v>
      </c>
      <c r="B325" s="313">
        <v>39719</v>
      </c>
      <c r="C325" s="316" t="s">
        <v>2847</v>
      </c>
      <c r="D325" s="316" t="s">
        <v>102</v>
      </c>
      <c r="E325" s="316" t="s">
        <v>1372</v>
      </c>
      <c r="F325" s="316" t="s">
        <v>495</v>
      </c>
      <c r="G325" s="639"/>
    </row>
    <row r="326" spans="1:7" x14ac:dyDescent="0.25">
      <c r="A326" s="316" t="s">
        <v>2844</v>
      </c>
      <c r="B326" s="313">
        <v>39719</v>
      </c>
      <c r="C326" s="316" t="s">
        <v>2843</v>
      </c>
      <c r="D326" s="316" t="s">
        <v>102</v>
      </c>
      <c r="E326" s="316" t="s">
        <v>1372</v>
      </c>
      <c r="F326" s="316" t="s">
        <v>495</v>
      </c>
      <c r="G326" s="639"/>
    </row>
    <row r="327" spans="1:7" x14ac:dyDescent="0.25">
      <c r="A327" s="316" t="s">
        <v>2892</v>
      </c>
      <c r="B327" s="313">
        <v>39719</v>
      </c>
      <c r="C327" s="316" t="s">
        <v>2889</v>
      </c>
      <c r="D327" s="316" t="s">
        <v>102</v>
      </c>
      <c r="E327" s="316" t="s">
        <v>1372</v>
      </c>
      <c r="F327" s="316" t="s">
        <v>495</v>
      </c>
      <c r="G327" s="639"/>
    </row>
    <row r="328" spans="1:7" x14ac:dyDescent="0.25">
      <c r="A328" s="316" t="s">
        <v>2861</v>
      </c>
      <c r="B328" s="313">
        <v>39719</v>
      </c>
      <c r="C328" s="316" t="s">
        <v>2859</v>
      </c>
      <c r="D328" s="316" t="s">
        <v>102</v>
      </c>
      <c r="E328" s="316" t="s">
        <v>1372</v>
      </c>
      <c r="F328" s="316" t="s">
        <v>495</v>
      </c>
      <c r="G328" s="639"/>
    </row>
    <row r="329" spans="1:7" x14ac:dyDescent="0.25">
      <c r="A329" s="316" t="s">
        <v>2857</v>
      </c>
      <c r="B329" s="313">
        <v>39719</v>
      </c>
      <c r="C329" s="316" t="s">
        <v>2855</v>
      </c>
      <c r="D329" s="316" t="s">
        <v>102</v>
      </c>
      <c r="E329" s="316" t="s">
        <v>1372</v>
      </c>
      <c r="F329" s="316" t="s">
        <v>495</v>
      </c>
      <c r="G329" s="639"/>
    </row>
    <row r="330" spans="1:7" x14ac:dyDescent="0.25">
      <c r="A330" s="316" t="s">
        <v>2853</v>
      </c>
      <c r="B330" s="313">
        <v>39719</v>
      </c>
      <c r="C330" s="316" t="s">
        <v>2851</v>
      </c>
      <c r="D330" s="316" t="s">
        <v>102</v>
      </c>
      <c r="E330" s="316" t="s">
        <v>1372</v>
      </c>
      <c r="F330" s="316" t="s">
        <v>495</v>
      </c>
      <c r="G330" s="639"/>
    </row>
    <row r="331" spans="1:7" x14ac:dyDescent="0.25">
      <c r="A331" s="316" t="s">
        <v>2849</v>
      </c>
      <c r="B331" s="313">
        <v>39719</v>
      </c>
      <c r="C331" s="316" t="s">
        <v>2847</v>
      </c>
      <c r="D331" s="316" t="s">
        <v>102</v>
      </c>
      <c r="E331" s="316" t="s">
        <v>1372</v>
      </c>
      <c r="F331" s="316" t="s">
        <v>495</v>
      </c>
      <c r="G331" s="639"/>
    </row>
    <row r="332" spans="1:7" x14ac:dyDescent="0.25">
      <c r="A332" s="316" t="s">
        <v>2845</v>
      </c>
      <c r="B332" s="313">
        <v>39719</v>
      </c>
      <c r="C332" s="316" t="s">
        <v>2843</v>
      </c>
      <c r="D332" s="316" t="s">
        <v>102</v>
      </c>
      <c r="E332" s="316" t="s">
        <v>1372</v>
      </c>
      <c r="F332" s="316" t="s">
        <v>495</v>
      </c>
      <c r="G332" s="639"/>
    </row>
    <row r="333" spans="1:7" x14ac:dyDescent="0.25">
      <c r="A333" s="316" t="s">
        <v>2842</v>
      </c>
      <c r="B333" s="313">
        <v>40093</v>
      </c>
      <c r="C333" s="316" t="s">
        <v>2843</v>
      </c>
      <c r="D333" s="316" t="s">
        <v>102</v>
      </c>
      <c r="E333" s="316" t="s">
        <v>1372</v>
      </c>
      <c r="F333" s="316" t="s">
        <v>1230</v>
      </c>
      <c r="G333" s="639"/>
    </row>
    <row r="334" spans="1:7" x14ac:dyDescent="0.25">
      <c r="A334" s="316" t="s">
        <v>2846</v>
      </c>
      <c r="B334" s="313">
        <v>40093</v>
      </c>
      <c r="C334" s="316" t="s">
        <v>2847</v>
      </c>
      <c r="D334" s="316" t="s">
        <v>102</v>
      </c>
      <c r="E334" s="316" t="s">
        <v>1372</v>
      </c>
      <c r="F334" s="316" t="s">
        <v>1230</v>
      </c>
      <c r="G334" s="639"/>
    </row>
    <row r="335" spans="1:7" x14ac:dyDescent="0.25">
      <c r="A335" s="316" t="s">
        <v>2850</v>
      </c>
      <c r="B335" s="313">
        <v>40093</v>
      </c>
      <c r="C335" s="316" t="s">
        <v>2851</v>
      </c>
      <c r="D335" s="316" t="s">
        <v>102</v>
      </c>
      <c r="E335" s="316" t="s">
        <v>1372</v>
      </c>
      <c r="F335" s="316" t="s">
        <v>1230</v>
      </c>
      <c r="G335" s="639"/>
    </row>
    <row r="336" spans="1:7" x14ac:dyDescent="0.25">
      <c r="A336" s="316" t="s">
        <v>2854</v>
      </c>
      <c r="B336" s="313">
        <v>40093</v>
      </c>
      <c r="C336" s="316" t="s">
        <v>2855</v>
      </c>
      <c r="D336" s="316" t="s">
        <v>102</v>
      </c>
      <c r="E336" s="316" t="s">
        <v>1372</v>
      </c>
      <c r="F336" s="316" t="s">
        <v>1230</v>
      </c>
      <c r="G336" s="639"/>
    </row>
    <row r="337" spans="1:7" x14ac:dyDescent="0.25">
      <c r="A337" s="316" t="s">
        <v>2858</v>
      </c>
      <c r="B337" s="313">
        <v>40093</v>
      </c>
      <c r="C337" s="316" t="s">
        <v>2859</v>
      </c>
      <c r="D337" s="316" t="s">
        <v>102</v>
      </c>
      <c r="E337" s="316" t="s">
        <v>1372</v>
      </c>
      <c r="F337" s="316" t="s">
        <v>1230</v>
      </c>
      <c r="G337" s="639"/>
    </row>
    <row r="338" spans="1:7" x14ac:dyDescent="0.25">
      <c r="A338" s="316" t="s">
        <v>2888</v>
      </c>
      <c r="B338" s="313">
        <v>40093</v>
      </c>
      <c r="C338" s="316" t="s">
        <v>2889</v>
      </c>
      <c r="D338" s="316" t="s">
        <v>102</v>
      </c>
      <c r="E338" s="316" t="s">
        <v>1372</v>
      </c>
      <c r="F338" s="316" t="s">
        <v>1230</v>
      </c>
      <c r="G338" s="639"/>
    </row>
    <row r="339" spans="1:7" x14ac:dyDescent="0.25">
      <c r="A339" s="316" t="s">
        <v>2890</v>
      </c>
      <c r="B339" s="313">
        <v>40093</v>
      </c>
      <c r="C339" s="316" t="s">
        <v>2889</v>
      </c>
      <c r="D339" s="316" t="s">
        <v>102</v>
      </c>
      <c r="E339" s="316" t="s">
        <v>1372</v>
      </c>
      <c r="F339" s="316" t="s">
        <v>1230</v>
      </c>
      <c r="G339" s="639"/>
    </row>
    <row r="340" spans="1:7" x14ac:dyDescent="0.25">
      <c r="A340" s="316" t="s">
        <v>2860</v>
      </c>
      <c r="B340" s="313">
        <v>40093</v>
      </c>
      <c r="C340" s="316" t="s">
        <v>2859</v>
      </c>
      <c r="D340" s="316" t="s">
        <v>102</v>
      </c>
      <c r="E340" s="316" t="s">
        <v>1372</v>
      </c>
      <c r="F340" s="316" t="s">
        <v>1230</v>
      </c>
      <c r="G340" s="639"/>
    </row>
    <row r="341" spans="1:7" x14ac:dyDescent="0.25">
      <c r="A341" s="316" t="s">
        <v>2852</v>
      </c>
      <c r="B341" s="313">
        <v>40093</v>
      </c>
      <c r="C341" s="316" t="s">
        <v>2851</v>
      </c>
      <c r="D341" s="316" t="s">
        <v>102</v>
      </c>
      <c r="E341" s="316" t="s">
        <v>1372</v>
      </c>
      <c r="F341" s="316" t="s">
        <v>1230</v>
      </c>
      <c r="G341" s="639"/>
    </row>
    <row r="342" spans="1:7" x14ac:dyDescent="0.25">
      <c r="A342" s="316" t="s">
        <v>2856</v>
      </c>
      <c r="B342" s="313">
        <v>40093</v>
      </c>
      <c r="C342" s="316" t="s">
        <v>2855</v>
      </c>
      <c r="D342" s="316" t="s">
        <v>102</v>
      </c>
      <c r="E342" s="316" t="s">
        <v>1372</v>
      </c>
      <c r="F342" s="316" t="s">
        <v>1230</v>
      </c>
      <c r="G342" s="639"/>
    </row>
    <row r="343" spans="1:7" x14ac:dyDescent="0.25">
      <c r="A343" s="316" t="s">
        <v>2848</v>
      </c>
      <c r="B343" s="313">
        <v>40093</v>
      </c>
      <c r="C343" s="316" t="s">
        <v>2847</v>
      </c>
      <c r="D343" s="316" t="s">
        <v>102</v>
      </c>
      <c r="E343" s="316" t="s">
        <v>1372</v>
      </c>
      <c r="F343" s="316" t="s">
        <v>1230</v>
      </c>
      <c r="G343" s="639"/>
    </row>
    <row r="344" spans="1:7" x14ac:dyDescent="0.25">
      <c r="A344" s="316" t="s">
        <v>2844</v>
      </c>
      <c r="B344" s="313">
        <v>40093</v>
      </c>
      <c r="C344" s="316" t="s">
        <v>2843</v>
      </c>
      <c r="D344" s="316" t="s">
        <v>102</v>
      </c>
      <c r="E344" s="316" t="s">
        <v>1372</v>
      </c>
      <c r="F344" s="316" t="s">
        <v>1230</v>
      </c>
      <c r="G344" s="639"/>
    </row>
    <row r="345" spans="1:7" x14ac:dyDescent="0.25">
      <c r="A345" s="316" t="s">
        <v>2892</v>
      </c>
      <c r="B345" s="313">
        <v>40093</v>
      </c>
      <c r="C345" s="316" t="s">
        <v>2889</v>
      </c>
      <c r="D345" s="316" t="s">
        <v>102</v>
      </c>
      <c r="E345" s="316" t="s">
        <v>1372</v>
      </c>
      <c r="F345" s="316" t="s">
        <v>1230</v>
      </c>
      <c r="G345" s="639"/>
    </row>
    <row r="346" spans="1:7" x14ac:dyDescent="0.25">
      <c r="A346" s="316" t="s">
        <v>2861</v>
      </c>
      <c r="B346" s="313">
        <v>40093</v>
      </c>
      <c r="C346" s="316" t="s">
        <v>2859</v>
      </c>
      <c r="D346" s="316" t="s">
        <v>102</v>
      </c>
      <c r="E346" s="316" t="s">
        <v>1372</v>
      </c>
      <c r="F346" s="316" t="s">
        <v>1230</v>
      </c>
      <c r="G346" s="639"/>
    </row>
    <row r="347" spans="1:7" x14ac:dyDescent="0.25">
      <c r="A347" s="316" t="s">
        <v>2857</v>
      </c>
      <c r="B347" s="313">
        <v>40093</v>
      </c>
      <c r="C347" s="316" t="s">
        <v>2855</v>
      </c>
      <c r="D347" s="316" t="s">
        <v>102</v>
      </c>
      <c r="E347" s="316" t="s">
        <v>1372</v>
      </c>
      <c r="F347" s="316" t="s">
        <v>1230</v>
      </c>
      <c r="G347" s="639"/>
    </row>
    <row r="348" spans="1:7" x14ac:dyDescent="0.25">
      <c r="A348" s="316" t="s">
        <v>2853</v>
      </c>
      <c r="B348" s="313">
        <v>40093</v>
      </c>
      <c r="C348" s="316" t="s">
        <v>2851</v>
      </c>
      <c r="D348" s="316" t="s">
        <v>102</v>
      </c>
      <c r="E348" s="316" t="s">
        <v>1372</v>
      </c>
      <c r="F348" s="316" t="s">
        <v>1230</v>
      </c>
      <c r="G348" s="639"/>
    </row>
    <row r="349" spans="1:7" x14ac:dyDescent="0.25">
      <c r="A349" s="316" t="s">
        <v>2849</v>
      </c>
      <c r="B349" s="313">
        <v>40093</v>
      </c>
      <c r="C349" s="316" t="s">
        <v>2847</v>
      </c>
      <c r="D349" s="316" t="s">
        <v>102</v>
      </c>
      <c r="E349" s="316" t="s">
        <v>1372</v>
      </c>
      <c r="F349" s="316" t="s">
        <v>1230</v>
      </c>
      <c r="G349" s="639"/>
    </row>
    <row r="350" spans="1:7" x14ac:dyDescent="0.25">
      <c r="A350" s="316" t="s">
        <v>2845</v>
      </c>
      <c r="B350" s="313">
        <v>40093</v>
      </c>
      <c r="C350" s="316" t="s">
        <v>2843</v>
      </c>
      <c r="D350" s="316" t="s">
        <v>102</v>
      </c>
      <c r="E350" s="316" t="s">
        <v>1372</v>
      </c>
      <c r="F350" s="316" t="s">
        <v>1230</v>
      </c>
      <c r="G350" s="639"/>
    </row>
    <row r="351" spans="1:7" x14ac:dyDescent="0.25">
      <c r="A351" s="316" t="s">
        <v>2842</v>
      </c>
      <c r="B351" s="313">
        <v>40093</v>
      </c>
      <c r="C351" s="316" t="s">
        <v>2843</v>
      </c>
      <c r="D351" s="316" t="s">
        <v>102</v>
      </c>
      <c r="E351" s="316" t="s">
        <v>1372</v>
      </c>
      <c r="F351" s="316" t="s">
        <v>495</v>
      </c>
      <c r="G351" s="639"/>
    </row>
    <row r="352" spans="1:7" x14ac:dyDescent="0.25">
      <c r="A352" s="316" t="s">
        <v>2846</v>
      </c>
      <c r="B352" s="313">
        <v>40093</v>
      </c>
      <c r="C352" s="316" t="s">
        <v>2847</v>
      </c>
      <c r="D352" s="316" t="s">
        <v>102</v>
      </c>
      <c r="E352" s="316" t="s">
        <v>1372</v>
      </c>
      <c r="F352" s="316" t="s">
        <v>495</v>
      </c>
      <c r="G352" s="639"/>
    </row>
    <row r="353" spans="1:7" x14ac:dyDescent="0.25">
      <c r="A353" s="316" t="s">
        <v>2850</v>
      </c>
      <c r="B353" s="313">
        <v>40093</v>
      </c>
      <c r="C353" s="316" t="s">
        <v>2851</v>
      </c>
      <c r="D353" s="316" t="s">
        <v>102</v>
      </c>
      <c r="E353" s="316" t="s">
        <v>1372</v>
      </c>
      <c r="F353" s="316" t="s">
        <v>495</v>
      </c>
      <c r="G353" s="639"/>
    </row>
    <row r="354" spans="1:7" x14ac:dyDescent="0.25">
      <c r="A354" s="316" t="s">
        <v>2854</v>
      </c>
      <c r="B354" s="313">
        <v>40093</v>
      </c>
      <c r="C354" s="316" t="s">
        <v>2855</v>
      </c>
      <c r="D354" s="316" t="s">
        <v>102</v>
      </c>
      <c r="E354" s="316" t="s">
        <v>1372</v>
      </c>
      <c r="F354" s="316" t="s">
        <v>495</v>
      </c>
      <c r="G354" s="639"/>
    </row>
    <row r="355" spans="1:7" x14ac:dyDescent="0.25">
      <c r="A355" s="316" t="s">
        <v>2858</v>
      </c>
      <c r="B355" s="313">
        <v>40093</v>
      </c>
      <c r="C355" s="316" t="s">
        <v>2859</v>
      </c>
      <c r="D355" s="316" t="s">
        <v>102</v>
      </c>
      <c r="E355" s="316" t="s">
        <v>1372</v>
      </c>
      <c r="F355" s="316" t="s">
        <v>495</v>
      </c>
      <c r="G355" s="639"/>
    </row>
    <row r="356" spans="1:7" x14ac:dyDescent="0.25">
      <c r="A356" s="316" t="s">
        <v>2888</v>
      </c>
      <c r="B356" s="313">
        <v>40093</v>
      </c>
      <c r="C356" s="316" t="s">
        <v>2889</v>
      </c>
      <c r="D356" s="316" t="s">
        <v>102</v>
      </c>
      <c r="E356" s="316" t="s">
        <v>1372</v>
      </c>
      <c r="F356" s="316" t="s">
        <v>495</v>
      </c>
      <c r="G356" s="639"/>
    </row>
    <row r="357" spans="1:7" x14ac:dyDescent="0.25">
      <c r="A357" s="316" t="s">
        <v>2890</v>
      </c>
      <c r="B357" s="313">
        <v>40093</v>
      </c>
      <c r="C357" s="316" t="s">
        <v>2889</v>
      </c>
      <c r="D357" s="316" t="s">
        <v>102</v>
      </c>
      <c r="E357" s="316" t="s">
        <v>1372</v>
      </c>
      <c r="F357" s="316" t="s">
        <v>495</v>
      </c>
      <c r="G357" s="639"/>
    </row>
    <row r="358" spans="1:7" x14ac:dyDescent="0.25">
      <c r="A358" s="316" t="s">
        <v>2860</v>
      </c>
      <c r="B358" s="313">
        <v>40093</v>
      </c>
      <c r="C358" s="316" t="s">
        <v>2859</v>
      </c>
      <c r="D358" s="316" t="s">
        <v>102</v>
      </c>
      <c r="E358" s="316" t="s">
        <v>1372</v>
      </c>
      <c r="F358" s="316" t="s">
        <v>495</v>
      </c>
      <c r="G358" s="639"/>
    </row>
    <row r="359" spans="1:7" x14ac:dyDescent="0.25">
      <c r="A359" s="316" t="s">
        <v>2852</v>
      </c>
      <c r="B359" s="313">
        <v>40093</v>
      </c>
      <c r="C359" s="316" t="s">
        <v>2851</v>
      </c>
      <c r="D359" s="316" t="s">
        <v>102</v>
      </c>
      <c r="E359" s="316" t="s">
        <v>1372</v>
      </c>
      <c r="F359" s="316" t="s">
        <v>495</v>
      </c>
      <c r="G359" s="639"/>
    </row>
    <row r="360" spans="1:7" x14ac:dyDescent="0.25">
      <c r="A360" s="316" t="s">
        <v>2856</v>
      </c>
      <c r="B360" s="313">
        <v>40093</v>
      </c>
      <c r="C360" s="316" t="s">
        <v>2855</v>
      </c>
      <c r="D360" s="316" t="s">
        <v>102</v>
      </c>
      <c r="E360" s="316" t="s">
        <v>1372</v>
      </c>
      <c r="F360" s="316" t="s">
        <v>495</v>
      </c>
      <c r="G360" s="639"/>
    </row>
    <row r="361" spans="1:7" x14ac:dyDescent="0.25">
      <c r="A361" s="316" t="s">
        <v>2848</v>
      </c>
      <c r="B361" s="313">
        <v>40093</v>
      </c>
      <c r="C361" s="316" t="s">
        <v>2847</v>
      </c>
      <c r="D361" s="316" t="s">
        <v>102</v>
      </c>
      <c r="E361" s="316" t="s">
        <v>1372</v>
      </c>
      <c r="F361" s="316" t="s">
        <v>495</v>
      </c>
      <c r="G361" s="639"/>
    </row>
    <row r="362" spans="1:7" x14ac:dyDescent="0.25">
      <c r="A362" s="316" t="s">
        <v>2844</v>
      </c>
      <c r="B362" s="313">
        <v>40093</v>
      </c>
      <c r="C362" s="316" t="s">
        <v>2843</v>
      </c>
      <c r="D362" s="316" t="s">
        <v>102</v>
      </c>
      <c r="E362" s="316" t="s">
        <v>1372</v>
      </c>
      <c r="F362" s="316" t="s">
        <v>495</v>
      </c>
      <c r="G362" s="639"/>
    </row>
    <row r="363" spans="1:7" x14ac:dyDescent="0.25">
      <c r="A363" s="316" t="s">
        <v>2892</v>
      </c>
      <c r="B363" s="313">
        <v>40093</v>
      </c>
      <c r="C363" s="316" t="s">
        <v>2889</v>
      </c>
      <c r="D363" s="316" t="s">
        <v>102</v>
      </c>
      <c r="E363" s="316" t="s">
        <v>1372</v>
      </c>
      <c r="F363" s="316" t="s">
        <v>495</v>
      </c>
      <c r="G363" s="639"/>
    </row>
    <row r="364" spans="1:7" x14ac:dyDescent="0.25">
      <c r="A364" s="316" t="s">
        <v>2861</v>
      </c>
      <c r="B364" s="313">
        <v>40093</v>
      </c>
      <c r="C364" s="316" t="s">
        <v>2859</v>
      </c>
      <c r="D364" s="316" t="s">
        <v>102</v>
      </c>
      <c r="E364" s="316" t="s">
        <v>1372</v>
      </c>
      <c r="F364" s="316" t="s">
        <v>495</v>
      </c>
      <c r="G364" s="639"/>
    </row>
    <row r="365" spans="1:7" x14ac:dyDescent="0.25">
      <c r="A365" s="316" t="s">
        <v>2857</v>
      </c>
      <c r="B365" s="313">
        <v>40093</v>
      </c>
      <c r="C365" s="316" t="s">
        <v>2855</v>
      </c>
      <c r="D365" s="316" t="s">
        <v>102</v>
      </c>
      <c r="E365" s="316" t="s">
        <v>1372</v>
      </c>
      <c r="F365" s="316" t="s">
        <v>495</v>
      </c>
      <c r="G365" s="639"/>
    </row>
    <row r="366" spans="1:7" x14ac:dyDescent="0.25">
      <c r="A366" s="316" t="s">
        <v>2853</v>
      </c>
      <c r="B366" s="313">
        <v>40093</v>
      </c>
      <c r="C366" s="316" t="s">
        <v>2851</v>
      </c>
      <c r="D366" s="316" t="s">
        <v>102</v>
      </c>
      <c r="E366" s="316" t="s">
        <v>1372</v>
      </c>
      <c r="F366" s="316" t="s">
        <v>495</v>
      </c>
      <c r="G366" s="639"/>
    </row>
    <row r="367" spans="1:7" x14ac:dyDescent="0.25">
      <c r="A367" s="316" t="s">
        <v>2849</v>
      </c>
      <c r="B367" s="313">
        <v>40093</v>
      </c>
      <c r="C367" s="316" t="s">
        <v>2847</v>
      </c>
      <c r="D367" s="316" t="s">
        <v>102</v>
      </c>
      <c r="E367" s="316" t="s">
        <v>1372</v>
      </c>
      <c r="F367" s="316" t="s">
        <v>495</v>
      </c>
      <c r="G367" s="639"/>
    </row>
    <row r="368" spans="1:7" x14ac:dyDescent="0.25">
      <c r="A368" s="316" t="s">
        <v>2845</v>
      </c>
      <c r="B368" s="313">
        <v>40093</v>
      </c>
      <c r="C368" s="316" t="s">
        <v>2843</v>
      </c>
      <c r="D368" s="316" t="s">
        <v>102</v>
      </c>
      <c r="E368" s="316" t="s">
        <v>1372</v>
      </c>
      <c r="F368" s="316" t="s">
        <v>495</v>
      </c>
      <c r="G368" s="639"/>
    </row>
    <row r="369" spans="1:7" x14ac:dyDescent="0.25">
      <c r="A369" s="1271" t="s">
        <v>2921</v>
      </c>
      <c r="B369" s="1272">
        <v>40434</v>
      </c>
      <c r="C369" s="1172" t="s">
        <v>2922</v>
      </c>
      <c r="D369" s="1172" t="s">
        <v>102</v>
      </c>
      <c r="E369" s="1172" t="s">
        <v>1372</v>
      </c>
      <c r="F369" s="316" t="s">
        <v>1230</v>
      </c>
      <c r="G369" s="639"/>
    </row>
    <row r="370" spans="1:7" x14ac:dyDescent="0.25">
      <c r="A370" s="1271" t="s">
        <v>2842</v>
      </c>
      <c r="B370" s="313">
        <v>40434</v>
      </c>
      <c r="C370" s="316" t="s">
        <v>2843</v>
      </c>
      <c r="D370" s="316" t="s">
        <v>102</v>
      </c>
      <c r="E370" s="316" t="s">
        <v>1372</v>
      </c>
      <c r="F370" s="316" t="s">
        <v>1230</v>
      </c>
      <c r="G370" s="639"/>
    </row>
    <row r="371" spans="1:7" x14ac:dyDescent="0.25">
      <c r="A371" s="316" t="s">
        <v>2846</v>
      </c>
      <c r="B371" s="313">
        <v>40434</v>
      </c>
      <c r="C371" s="316" t="s">
        <v>2847</v>
      </c>
      <c r="D371" s="316" t="s">
        <v>102</v>
      </c>
      <c r="E371" s="316" t="s">
        <v>1372</v>
      </c>
      <c r="F371" s="316" t="s">
        <v>1230</v>
      </c>
      <c r="G371" s="639"/>
    </row>
    <row r="372" spans="1:7" x14ac:dyDescent="0.25">
      <c r="A372" s="1271" t="s">
        <v>2850</v>
      </c>
      <c r="B372" s="313">
        <v>40434</v>
      </c>
      <c r="C372" s="316" t="s">
        <v>2851</v>
      </c>
      <c r="D372" s="316" t="s">
        <v>102</v>
      </c>
      <c r="E372" s="316" t="s">
        <v>1372</v>
      </c>
      <c r="F372" s="316" t="s">
        <v>1230</v>
      </c>
      <c r="G372" s="639"/>
    </row>
    <row r="373" spans="1:7" x14ac:dyDescent="0.25">
      <c r="A373" s="316" t="s">
        <v>2854</v>
      </c>
      <c r="B373" s="313">
        <v>40434</v>
      </c>
      <c r="C373" s="316" t="s">
        <v>2855</v>
      </c>
      <c r="D373" s="316" t="s">
        <v>102</v>
      </c>
      <c r="E373" s="316" t="s">
        <v>1372</v>
      </c>
      <c r="F373" s="316" t="s">
        <v>1230</v>
      </c>
      <c r="G373" s="639"/>
    </row>
    <row r="374" spans="1:7" x14ac:dyDescent="0.25">
      <c r="A374" s="1271" t="s">
        <v>2858</v>
      </c>
      <c r="B374" s="313">
        <v>40434</v>
      </c>
      <c r="C374" s="316" t="s">
        <v>2859</v>
      </c>
      <c r="D374" s="316" t="s">
        <v>102</v>
      </c>
      <c r="E374" s="316" t="s">
        <v>1372</v>
      </c>
      <c r="F374" s="316" t="s">
        <v>1230</v>
      </c>
      <c r="G374" s="639"/>
    </row>
    <row r="375" spans="1:7" x14ac:dyDescent="0.25">
      <c r="A375" s="316" t="s">
        <v>2888</v>
      </c>
      <c r="B375" s="313">
        <v>40434</v>
      </c>
      <c r="C375" s="316" t="s">
        <v>2889</v>
      </c>
      <c r="D375" s="316" t="s">
        <v>102</v>
      </c>
      <c r="E375" s="316" t="s">
        <v>1372</v>
      </c>
      <c r="F375" s="316" t="s">
        <v>1230</v>
      </c>
      <c r="G375" s="639"/>
    </row>
    <row r="376" spans="1:7" x14ac:dyDescent="0.25">
      <c r="A376" s="316" t="s">
        <v>2890</v>
      </c>
      <c r="B376" s="313">
        <v>40434</v>
      </c>
      <c r="C376" s="316" t="s">
        <v>2889</v>
      </c>
      <c r="D376" s="316" t="s">
        <v>102</v>
      </c>
      <c r="E376" s="316" t="s">
        <v>1372</v>
      </c>
      <c r="F376" s="316" t="s">
        <v>1230</v>
      </c>
      <c r="G376" s="639"/>
    </row>
    <row r="377" spans="1:7" x14ac:dyDescent="0.25">
      <c r="A377" s="1271" t="s">
        <v>2860</v>
      </c>
      <c r="B377" s="313">
        <v>40434</v>
      </c>
      <c r="C377" s="316" t="s">
        <v>2859</v>
      </c>
      <c r="D377" s="316" t="s">
        <v>102</v>
      </c>
      <c r="E377" s="316" t="s">
        <v>1372</v>
      </c>
      <c r="F377" s="316" t="s">
        <v>1230</v>
      </c>
      <c r="G377" s="639"/>
    </row>
    <row r="378" spans="1:7" x14ac:dyDescent="0.25">
      <c r="A378" s="1271" t="s">
        <v>2852</v>
      </c>
      <c r="B378" s="313">
        <v>40434</v>
      </c>
      <c r="C378" s="316" t="s">
        <v>2851</v>
      </c>
      <c r="D378" s="316" t="s">
        <v>102</v>
      </c>
      <c r="E378" s="316" t="s">
        <v>1372</v>
      </c>
      <c r="F378" s="316" t="s">
        <v>1230</v>
      </c>
      <c r="G378" s="639"/>
    </row>
    <row r="379" spans="1:7" x14ac:dyDescent="0.25">
      <c r="A379" s="316" t="s">
        <v>2856</v>
      </c>
      <c r="B379" s="313">
        <v>40434</v>
      </c>
      <c r="C379" s="316" t="s">
        <v>2855</v>
      </c>
      <c r="D379" s="316" t="s">
        <v>102</v>
      </c>
      <c r="E379" s="316" t="s">
        <v>1372</v>
      </c>
      <c r="F379" s="316" t="s">
        <v>1230</v>
      </c>
      <c r="G379" s="639"/>
    </row>
    <row r="380" spans="1:7" x14ac:dyDescent="0.25">
      <c r="A380" s="1271" t="s">
        <v>2923</v>
      </c>
      <c r="B380" s="1272">
        <v>40434</v>
      </c>
      <c r="C380" s="1172" t="s">
        <v>2922</v>
      </c>
      <c r="D380" s="1172" t="s">
        <v>102</v>
      </c>
      <c r="E380" s="1172" t="s">
        <v>1372</v>
      </c>
      <c r="F380" s="316" t="s">
        <v>1230</v>
      </c>
      <c r="G380" s="639"/>
    </row>
    <row r="381" spans="1:7" x14ac:dyDescent="0.25">
      <c r="A381" s="316" t="s">
        <v>2848</v>
      </c>
      <c r="B381" s="313">
        <v>40434</v>
      </c>
      <c r="C381" s="316" t="s">
        <v>2847</v>
      </c>
      <c r="D381" s="316" t="s">
        <v>102</v>
      </c>
      <c r="E381" s="316" t="s">
        <v>1372</v>
      </c>
      <c r="F381" s="316" t="s">
        <v>1230</v>
      </c>
      <c r="G381" s="639"/>
    </row>
    <row r="382" spans="1:7" x14ac:dyDescent="0.25">
      <c r="A382" s="1271" t="s">
        <v>2844</v>
      </c>
      <c r="B382" s="313">
        <v>40434</v>
      </c>
      <c r="C382" s="316" t="s">
        <v>2843</v>
      </c>
      <c r="D382" s="316" t="s">
        <v>102</v>
      </c>
      <c r="E382" s="316" t="s">
        <v>1372</v>
      </c>
      <c r="F382" s="316" t="s">
        <v>1230</v>
      </c>
      <c r="G382" s="639"/>
    </row>
    <row r="383" spans="1:7" x14ac:dyDescent="0.25">
      <c r="A383" s="316" t="s">
        <v>2892</v>
      </c>
      <c r="B383" s="313">
        <v>40434</v>
      </c>
      <c r="C383" s="316" t="s">
        <v>2889</v>
      </c>
      <c r="D383" s="316" t="s">
        <v>102</v>
      </c>
      <c r="E383" s="316" t="s">
        <v>1372</v>
      </c>
      <c r="F383" s="316" t="s">
        <v>1230</v>
      </c>
      <c r="G383" s="639"/>
    </row>
    <row r="384" spans="1:7" x14ac:dyDescent="0.25">
      <c r="A384" s="1271" t="s">
        <v>2861</v>
      </c>
      <c r="B384" s="313">
        <v>40434</v>
      </c>
      <c r="C384" s="316" t="s">
        <v>2859</v>
      </c>
      <c r="D384" s="316" t="s">
        <v>102</v>
      </c>
      <c r="E384" s="316" t="s">
        <v>1372</v>
      </c>
      <c r="F384" s="316" t="s">
        <v>1230</v>
      </c>
      <c r="G384" s="639"/>
    </row>
    <row r="385" spans="1:7" x14ac:dyDescent="0.25">
      <c r="A385" s="316" t="s">
        <v>2857</v>
      </c>
      <c r="B385" s="313">
        <v>40434</v>
      </c>
      <c r="C385" s="316" t="s">
        <v>2855</v>
      </c>
      <c r="D385" s="316" t="s">
        <v>102</v>
      </c>
      <c r="E385" s="316" t="s">
        <v>1372</v>
      </c>
      <c r="F385" s="316" t="s">
        <v>1230</v>
      </c>
      <c r="G385" s="639"/>
    </row>
    <row r="386" spans="1:7" x14ac:dyDescent="0.25">
      <c r="A386" s="1271" t="s">
        <v>2853</v>
      </c>
      <c r="B386" s="313">
        <v>40434</v>
      </c>
      <c r="C386" s="316" t="s">
        <v>2851</v>
      </c>
      <c r="D386" s="316" t="s">
        <v>102</v>
      </c>
      <c r="E386" s="316" t="s">
        <v>1372</v>
      </c>
      <c r="F386" s="316" t="s">
        <v>1230</v>
      </c>
      <c r="G386" s="639"/>
    </row>
    <row r="387" spans="1:7" x14ac:dyDescent="0.25">
      <c r="A387" s="1271" t="s">
        <v>2924</v>
      </c>
      <c r="B387" s="1272">
        <v>40434</v>
      </c>
      <c r="C387" s="1172" t="s">
        <v>2922</v>
      </c>
      <c r="D387" s="1172" t="s">
        <v>102</v>
      </c>
      <c r="E387" s="1172" t="s">
        <v>1372</v>
      </c>
      <c r="F387" s="316" t="s">
        <v>1230</v>
      </c>
      <c r="G387" s="639"/>
    </row>
    <row r="388" spans="1:7" x14ac:dyDescent="0.25">
      <c r="A388" s="316" t="s">
        <v>2849</v>
      </c>
      <c r="B388" s="313">
        <v>40434</v>
      </c>
      <c r="C388" s="316" t="s">
        <v>2847</v>
      </c>
      <c r="D388" s="316" t="s">
        <v>102</v>
      </c>
      <c r="E388" s="316" t="s">
        <v>1372</v>
      </c>
      <c r="F388" s="316" t="s">
        <v>1230</v>
      </c>
      <c r="G388" s="639"/>
    </row>
    <row r="389" spans="1:7" x14ac:dyDescent="0.25">
      <c r="A389" s="1271" t="s">
        <v>2845</v>
      </c>
      <c r="B389" s="313">
        <v>40434</v>
      </c>
      <c r="C389" s="316" t="s">
        <v>2843</v>
      </c>
      <c r="D389" s="316" t="s">
        <v>102</v>
      </c>
      <c r="E389" s="316" t="s">
        <v>1372</v>
      </c>
      <c r="F389" s="316" t="s">
        <v>1230</v>
      </c>
      <c r="G389" s="639"/>
    </row>
    <row r="390" spans="1:7" x14ac:dyDescent="0.25">
      <c r="A390" s="316" t="s">
        <v>2921</v>
      </c>
      <c r="B390" s="1272">
        <v>40434</v>
      </c>
      <c r="C390" s="1172" t="s">
        <v>2922</v>
      </c>
      <c r="D390" s="1172" t="s">
        <v>102</v>
      </c>
      <c r="E390" s="1172" t="s">
        <v>1372</v>
      </c>
      <c r="F390" s="316" t="s">
        <v>495</v>
      </c>
      <c r="G390" s="639"/>
    </row>
    <row r="391" spans="1:7" x14ac:dyDescent="0.25">
      <c r="A391" s="316" t="s">
        <v>2842</v>
      </c>
      <c r="B391" s="313">
        <v>40434</v>
      </c>
      <c r="C391" s="316" t="s">
        <v>2843</v>
      </c>
      <c r="D391" s="316" t="s">
        <v>102</v>
      </c>
      <c r="E391" s="316" t="s">
        <v>1372</v>
      </c>
      <c r="F391" s="316" t="s">
        <v>495</v>
      </c>
      <c r="G391" s="639"/>
    </row>
    <row r="392" spans="1:7" x14ac:dyDescent="0.25">
      <c r="A392" s="316" t="s">
        <v>2846</v>
      </c>
      <c r="B392" s="313">
        <v>40434</v>
      </c>
      <c r="C392" s="316" t="s">
        <v>2847</v>
      </c>
      <c r="D392" s="316" t="s">
        <v>102</v>
      </c>
      <c r="E392" s="316" t="s">
        <v>1372</v>
      </c>
      <c r="F392" s="316" t="s">
        <v>495</v>
      </c>
      <c r="G392" s="639"/>
    </row>
    <row r="393" spans="1:7" x14ac:dyDescent="0.25">
      <c r="A393" s="316" t="s">
        <v>2850</v>
      </c>
      <c r="B393" s="313">
        <v>40434</v>
      </c>
      <c r="C393" s="316" t="s">
        <v>2851</v>
      </c>
      <c r="D393" s="316" t="s">
        <v>102</v>
      </c>
      <c r="E393" s="316" t="s">
        <v>1372</v>
      </c>
      <c r="F393" s="316" t="s">
        <v>495</v>
      </c>
      <c r="G393" s="639"/>
    </row>
    <row r="394" spans="1:7" x14ac:dyDescent="0.25">
      <c r="A394" s="316" t="s">
        <v>2854</v>
      </c>
      <c r="B394" s="313">
        <v>40434</v>
      </c>
      <c r="C394" s="316" t="s">
        <v>2855</v>
      </c>
      <c r="D394" s="316" t="s">
        <v>102</v>
      </c>
      <c r="E394" s="316" t="s">
        <v>1372</v>
      </c>
      <c r="F394" s="316" t="s">
        <v>495</v>
      </c>
      <c r="G394" s="639"/>
    </row>
    <row r="395" spans="1:7" x14ac:dyDescent="0.25">
      <c r="A395" s="316" t="s">
        <v>2858</v>
      </c>
      <c r="B395" s="313">
        <v>40434</v>
      </c>
      <c r="C395" s="316" t="s">
        <v>2859</v>
      </c>
      <c r="D395" s="316" t="s">
        <v>102</v>
      </c>
      <c r="E395" s="316" t="s">
        <v>1372</v>
      </c>
      <c r="F395" s="316" t="s">
        <v>495</v>
      </c>
      <c r="G395" s="639"/>
    </row>
    <row r="396" spans="1:7" x14ac:dyDescent="0.25">
      <c r="A396" s="316" t="s">
        <v>2888</v>
      </c>
      <c r="B396" s="313">
        <v>40434</v>
      </c>
      <c r="C396" s="316" t="s">
        <v>2889</v>
      </c>
      <c r="D396" s="316" t="s">
        <v>102</v>
      </c>
      <c r="E396" s="316" t="s">
        <v>1372</v>
      </c>
      <c r="F396" s="316" t="s">
        <v>495</v>
      </c>
      <c r="G396" s="639"/>
    </row>
    <row r="397" spans="1:7" x14ac:dyDescent="0.25">
      <c r="A397" s="316" t="s">
        <v>2890</v>
      </c>
      <c r="B397" s="313">
        <v>40434</v>
      </c>
      <c r="C397" s="316" t="s">
        <v>2889</v>
      </c>
      <c r="D397" s="316" t="s">
        <v>102</v>
      </c>
      <c r="E397" s="316" t="s">
        <v>1372</v>
      </c>
      <c r="F397" s="316" t="s">
        <v>495</v>
      </c>
      <c r="G397" s="639"/>
    </row>
    <row r="398" spans="1:7" x14ac:dyDescent="0.25">
      <c r="A398" s="316" t="s">
        <v>2860</v>
      </c>
      <c r="B398" s="313">
        <v>40434</v>
      </c>
      <c r="C398" s="316" t="s">
        <v>2859</v>
      </c>
      <c r="D398" s="316" t="s">
        <v>102</v>
      </c>
      <c r="E398" s="316" t="s">
        <v>1372</v>
      </c>
      <c r="F398" s="316" t="s">
        <v>495</v>
      </c>
      <c r="G398" s="639"/>
    </row>
    <row r="399" spans="1:7" x14ac:dyDescent="0.25">
      <c r="A399" s="316" t="s">
        <v>2852</v>
      </c>
      <c r="B399" s="313">
        <v>40434</v>
      </c>
      <c r="C399" s="316" t="s">
        <v>2851</v>
      </c>
      <c r="D399" s="316" t="s">
        <v>102</v>
      </c>
      <c r="E399" s="316" t="s">
        <v>1372</v>
      </c>
      <c r="F399" s="316" t="s">
        <v>495</v>
      </c>
      <c r="G399" s="639"/>
    </row>
    <row r="400" spans="1:7" x14ac:dyDescent="0.25">
      <c r="A400" s="316" t="s">
        <v>2856</v>
      </c>
      <c r="B400" s="313">
        <v>40434</v>
      </c>
      <c r="C400" s="316" t="s">
        <v>2855</v>
      </c>
      <c r="D400" s="316" t="s">
        <v>102</v>
      </c>
      <c r="E400" s="316" t="s">
        <v>1372</v>
      </c>
      <c r="F400" s="316" t="s">
        <v>495</v>
      </c>
      <c r="G400" s="639"/>
    </row>
    <row r="401" spans="1:7" x14ac:dyDescent="0.25">
      <c r="A401" s="1172" t="s">
        <v>2923</v>
      </c>
      <c r="B401" s="1272">
        <v>40434</v>
      </c>
      <c r="C401" s="1172" t="s">
        <v>2922</v>
      </c>
      <c r="D401" s="1172" t="s">
        <v>102</v>
      </c>
      <c r="E401" s="1172" t="s">
        <v>1372</v>
      </c>
      <c r="F401" s="316" t="s">
        <v>495</v>
      </c>
      <c r="G401" s="639"/>
    </row>
    <row r="402" spans="1:7" x14ac:dyDescent="0.25">
      <c r="A402" s="316" t="s">
        <v>2848</v>
      </c>
      <c r="B402" s="313">
        <v>40434</v>
      </c>
      <c r="C402" s="316" t="s">
        <v>2847</v>
      </c>
      <c r="D402" s="316" t="s">
        <v>102</v>
      </c>
      <c r="E402" s="316" t="s">
        <v>1372</v>
      </c>
      <c r="F402" s="316" t="s">
        <v>495</v>
      </c>
      <c r="G402" s="639"/>
    </row>
    <row r="403" spans="1:7" x14ac:dyDescent="0.25">
      <c r="A403" s="316" t="s">
        <v>2844</v>
      </c>
      <c r="B403" s="313">
        <v>40434</v>
      </c>
      <c r="C403" s="316" t="s">
        <v>2843</v>
      </c>
      <c r="D403" s="316" t="s">
        <v>102</v>
      </c>
      <c r="E403" s="316" t="s">
        <v>1372</v>
      </c>
      <c r="F403" s="316" t="s">
        <v>495</v>
      </c>
      <c r="G403" s="639"/>
    </row>
    <row r="404" spans="1:7" x14ac:dyDescent="0.25">
      <c r="A404" s="316" t="s">
        <v>2892</v>
      </c>
      <c r="B404" s="313">
        <v>40434</v>
      </c>
      <c r="C404" s="316" t="s">
        <v>2889</v>
      </c>
      <c r="D404" s="316" t="s">
        <v>102</v>
      </c>
      <c r="E404" s="316" t="s">
        <v>1372</v>
      </c>
      <c r="F404" s="316" t="s">
        <v>495</v>
      </c>
      <c r="G404" s="639"/>
    </row>
    <row r="405" spans="1:7" x14ac:dyDescent="0.25">
      <c r="A405" s="316" t="s">
        <v>2861</v>
      </c>
      <c r="B405" s="313">
        <v>40434</v>
      </c>
      <c r="C405" s="316" t="s">
        <v>2859</v>
      </c>
      <c r="D405" s="316" t="s">
        <v>102</v>
      </c>
      <c r="E405" s="316" t="s">
        <v>1372</v>
      </c>
      <c r="F405" s="316" t="s">
        <v>495</v>
      </c>
      <c r="G405" s="639"/>
    </row>
    <row r="406" spans="1:7" x14ac:dyDescent="0.25">
      <c r="A406" s="316" t="s">
        <v>2857</v>
      </c>
      <c r="B406" s="313">
        <v>40434</v>
      </c>
      <c r="C406" s="316" t="s">
        <v>2855</v>
      </c>
      <c r="D406" s="316" t="s">
        <v>102</v>
      </c>
      <c r="E406" s="316" t="s">
        <v>1372</v>
      </c>
      <c r="F406" s="316" t="s">
        <v>495</v>
      </c>
      <c r="G406" s="639"/>
    </row>
    <row r="407" spans="1:7" x14ac:dyDescent="0.25">
      <c r="A407" s="316" t="s">
        <v>2853</v>
      </c>
      <c r="B407" s="313">
        <v>40434</v>
      </c>
      <c r="C407" s="316" t="s">
        <v>2851</v>
      </c>
      <c r="D407" s="316" t="s">
        <v>102</v>
      </c>
      <c r="E407" s="316" t="s">
        <v>1372</v>
      </c>
      <c r="F407" s="316" t="s">
        <v>495</v>
      </c>
      <c r="G407" s="639"/>
    </row>
    <row r="408" spans="1:7" x14ac:dyDescent="0.25">
      <c r="A408" s="1172" t="s">
        <v>2924</v>
      </c>
      <c r="B408" s="1272">
        <v>40434</v>
      </c>
      <c r="C408" s="1172" t="s">
        <v>2922</v>
      </c>
      <c r="D408" s="1172" t="s">
        <v>102</v>
      </c>
      <c r="E408" s="1172" t="s">
        <v>1372</v>
      </c>
      <c r="F408" s="316" t="s">
        <v>495</v>
      </c>
      <c r="G408" s="639"/>
    </row>
    <row r="409" spans="1:7" x14ac:dyDescent="0.25">
      <c r="A409" s="316" t="s">
        <v>2849</v>
      </c>
      <c r="B409" s="313">
        <v>40434</v>
      </c>
      <c r="C409" s="316" t="s">
        <v>2847</v>
      </c>
      <c r="D409" s="316" t="s">
        <v>102</v>
      </c>
      <c r="E409" s="316" t="s">
        <v>1372</v>
      </c>
      <c r="F409" s="316" t="s">
        <v>495</v>
      </c>
      <c r="G409" s="639"/>
    </row>
    <row r="410" spans="1:7" x14ac:dyDescent="0.25">
      <c r="A410" s="316" t="s">
        <v>2845</v>
      </c>
      <c r="B410" s="313">
        <v>40434</v>
      </c>
      <c r="C410" s="316" t="s">
        <v>2843</v>
      </c>
      <c r="D410" s="316" t="s">
        <v>102</v>
      </c>
      <c r="E410" s="316" t="s">
        <v>1372</v>
      </c>
      <c r="F410" s="316" t="s">
        <v>495</v>
      </c>
      <c r="G410" s="639"/>
    </row>
    <row r="411" spans="1:7" x14ac:dyDescent="0.25">
      <c r="A411" s="1172" t="s">
        <v>2921</v>
      </c>
      <c r="B411" s="1272">
        <v>40806</v>
      </c>
      <c r="C411" s="1172" t="s">
        <v>2922</v>
      </c>
      <c r="D411" s="1172" t="s">
        <v>102</v>
      </c>
      <c r="E411" s="1172" t="s">
        <v>1372</v>
      </c>
      <c r="F411" s="316" t="s">
        <v>1230</v>
      </c>
      <c r="G411" s="639"/>
    </row>
    <row r="412" spans="1:7" x14ac:dyDescent="0.25">
      <c r="A412" s="1172" t="s">
        <v>2925</v>
      </c>
      <c r="B412" s="1272">
        <v>40806</v>
      </c>
      <c r="C412" s="1172" t="s">
        <v>2926</v>
      </c>
      <c r="D412" s="1172" t="s">
        <v>102</v>
      </c>
      <c r="E412" s="1172" t="s">
        <v>1372</v>
      </c>
      <c r="F412" s="316" t="s">
        <v>1230</v>
      </c>
      <c r="G412" s="639"/>
    </row>
    <row r="413" spans="1:7" x14ac:dyDescent="0.25">
      <c r="A413" s="316" t="s">
        <v>2842</v>
      </c>
      <c r="B413" s="313">
        <v>40806</v>
      </c>
      <c r="C413" s="316" t="s">
        <v>2843</v>
      </c>
      <c r="D413" s="316" t="s">
        <v>102</v>
      </c>
      <c r="E413" s="316" t="s">
        <v>1372</v>
      </c>
      <c r="F413" s="316" t="s">
        <v>1230</v>
      </c>
      <c r="G413" s="639"/>
    </row>
    <row r="414" spans="1:7" x14ac:dyDescent="0.25">
      <c r="A414" s="316" t="s">
        <v>2846</v>
      </c>
      <c r="B414" s="313">
        <v>40806</v>
      </c>
      <c r="C414" s="316" t="s">
        <v>2847</v>
      </c>
      <c r="D414" s="316" t="s">
        <v>102</v>
      </c>
      <c r="E414" s="316" t="s">
        <v>1372</v>
      </c>
      <c r="F414" s="316" t="s">
        <v>1230</v>
      </c>
      <c r="G414" s="639"/>
    </row>
    <row r="415" spans="1:7" x14ac:dyDescent="0.25">
      <c r="A415" s="316" t="s">
        <v>2850</v>
      </c>
      <c r="B415" s="313">
        <v>40806</v>
      </c>
      <c r="C415" s="316" t="s">
        <v>2851</v>
      </c>
      <c r="D415" s="316" t="s">
        <v>102</v>
      </c>
      <c r="E415" s="316" t="s">
        <v>1372</v>
      </c>
      <c r="F415" s="316" t="s">
        <v>1230</v>
      </c>
      <c r="G415" s="639"/>
    </row>
    <row r="416" spans="1:7" x14ac:dyDescent="0.25">
      <c r="A416" s="316" t="s">
        <v>2854</v>
      </c>
      <c r="B416" s="313">
        <v>40806</v>
      </c>
      <c r="C416" s="316" t="s">
        <v>2855</v>
      </c>
      <c r="D416" s="316" t="s">
        <v>102</v>
      </c>
      <c r="E416" s="316" t="s">
        <v>1372</v>
      </c>
      <c r="F416" s="316" t="s">
        <v>1230</v>
      </c>
      <c r="G416" s="639"/>
    </row>
    <row r="417" spans="1:7" x14ac:dyDescent="0.25">
      <c r="A417" s="316" t="s">
        <v>2858</v>
      </c>
      <c r="B417" s="313">
        <v>40806</v>
      </c>
      <c r="C417" s="316" t="s">
        <v>2859</v>
      </c>
      <c r="D417" s="316" t="s">
        <v>102</v>
      </c>
      <c r="E417" s="316" t="s">
        <v>1372</v>
      </c>
      <c r="F417" s="316" t="s">
        <v>1230</v>
      </c>
      <c r="G417" s="639"/>
    </row>
    <row r="418" spans="1:7" x14ac:dyDescent="0.25">
      <c r="A418" s="316" t="s">
        <v>2888</v>
      </c>
      <c r="B418" s="313">
        <v>40806</v>
      </c>
      <c r="C418" s="316" t="s">
        <v>2889</v>
      </c>
      <c r="D418" s="316" t="s">
        <v>102</v>
      </c>
      <c r="E418" s="316" t="s">
        <v>1372</v>
      </c>
      <c r="F418" s="316" t="s">
        <v>1230</v>
      </c>
      <c r="G418" s="639"/>
    </row>
    <row r="419" spans="1:7" x14ac:dyDescent="0.25">
      <c r="A419" s="316" t="s">
        <v>2890</v>
      </c>
      <c r="B419" s="313">
        <v>40806</v>
      </c>
      <c r="C419" s="316" t="s">
        <v>2889</v>
      </c>
      <c r="D419" s="316" t="s">
        <v>102</v>
      </c>
      <c r="E419" s="316" t="s">
        <v>1372</v>
      </c>
      <c r="F419" s="316" t="s">
        <v>1230</v>
      </c>
      <c r="G419" s="639"/>
    </row>
    <row r="420" spans="1:7" x14ac:dyDescent="0.25">
      <c r="A420" s="316" t="s">
        <v>2860</v>
      </c>
      <c r="B420" s="313">
        <v>40806</v>
      </c>
      <c r="C420" s="316" t="s">
        <v>2859</v>
      </c>
      <c r="D420" s="316" t="s">
        <v>102</v>
      </c>
      <c r="E420" s="316" t="s">
        <v>1372</v>
      </c>
      <c r="F420" s="316" t="s">
        <v>1230</v>
      </c>
      <c r="G420" s="639"/>
    </row>
    <row r="421" spans="1:7" x14ac:dyDescent="0.25">
      <c r="A421" s="316" t="s">
        <v>2852</v>
      </c>
      <c r="B421" s="313">
        <v>40806</v>
      </c>
      <c r="C421" s="316" t="s">
        <v>2851</v>
      </c>
      <c r="D421" s="316" t="s">
        <v>102</v>
      </c>
      <c r="E421" s="316" t="s">
        <v>1372</v>
      </c>
      <c r="F421" s="316" t="s">
        <v>1230</v>
      </c>
      <c r="G421" s="639"/>
    </row>
    <row r="422" spans="1:7" x14ac:dyDescent="0.25">
      <c r="A422" s="316" t="s">
        <v>2856</v>
      </c>
      <c r="B422" s="313">
        <v>40806</v>
      </c>
      <c r="C422" s="316" t="s">
        <v>2855</v>
      </c>
      <c r="D422" s="316" t="s">
        <v>102</v>
      </c>
      <c r="E422" s="316" t="s">
        <v>1372</v>
      </c>
      <c r="F422" s="316" t="s">
        <v>1230</v>
      </c>
      <c r="G422" s="639"/>
    </row>
    <row r="423" spans="1:7" x14ac:dyDescent="0.25">
      <c r="A423" s="1172" t="s">
        <v>2927</v>
      </c>
      <c r="B423" s="1272">
        <v>40806</v>
      </c>
      <c r="C423" s="1172" t="s">
        <v>2926</v>
      </c>
      <c r="D423" s="1172" t="s">
        <v>102</v>
      </c>
      <c r="E423" s="1172" t="s">
        <v>1372</v>
      </c>
      <c r="F423" s="316" t="s">
        <v>1230</v>
      </c>
      <c r="G423" s="639"/>
    </row>
    <row r="424" spans="1:7" x14ac:dyDescent="0.25">
      <c r="A424" s="1172" t="s">
        <v>2923</v>
      </c>
      <c r="B424" s="1272">
        <v>40806</v>
      </c>
      <c r="C424" s="1172" t="s">
        <v>2922</v>
      </c>
      <c r="D424" s="1172" t="s">
        <v>102</v>
      </c>
      <c r="E424" s="1172" t="s">
        <v>1372</v>
      </c>
      <c r="F424" s="316" t="s">
        <v>1230</v>
      </c>
      <c r="G424" s="639"/>
    </row>
    <row r="425" spans="1:7" x14ac:dyDescent="0.25">
      <c r="A425" s="316" t="s">
        <v>2848</v>
      </c>
      <c r="B425" s="313">
        <v>40806</v>
      </c>
      <c r="C425" s="316" t="s">
        <v>2847</v>
      </c>
      <c r="D425" s="316" t="s">
        <v>102</v>
      </c>
      <c r="E425" s="316" t="s">
        <v>1372</v>
      </c>
      <c r="F425" s="316" t="s">
        <v>1230</v>
      </c>
      <c r="G425" s="639"/>
    </row>
    <row r="426" spans="1:7" x14ac:dyDescent="0.25">
      <c r="A426" s="316" t="s">
        <v>2844</v>
      </c>
      <c r="B426" s="313">
        <v>40806</v>
      </c>
      <c r="C426" s="316" t="s">
        <v>2843</v>
      </c>
      <c r="D426" s="316" t="s">
        <v>102</v>
      </c>
      <c r="E426" s="316" t="s">
        <v>1372</v>
      </c>
      <c r="F426" s="316" t="s">
        <v>1230</v>
      </c>
      <c r="G426" s="639"/>
    </row>
    <row r="427" spans="1:7" x14ac:dyDescent="0.25">
      <c r="A427" s="316" t="s">
        <v>2892</v>
      </c>
      <c r="B427" s="313">
        <v>40806</v>
      </c>
      <c r="C427" s="316" t="s">
        <v>2889</v>
      </c>
      <c r="D427" s="316" t="s">
        <v>102</v>
      </c>
      <c r="E427" s="316" t="s">
        <v>1372</v>
      </c>
      <c r="F427" s="316" t="s">
        <v>1230</v>
      </c>
      <c r="G427" s="639"/>
    </row>
    <row r="428" spans="1:7" x14ac:dyDescent="0.25">
      <c r="A428" s="316" t="s">
        <v>2861</v>
      </c>
      <c r="B428" s="313">
        <v>40806</v>
      </c>
      <c r="C428" s="316" t="s">
        <v>2859</v>
      </c>
      <c r="D428" s="316" t="s">
        <v>102</v>
      </c>
      <c r="E428" s="316" t="s">
        <v>1372</v>
      </c>
      <c r="F428" s="316" t="s">
        <v>1230</v>
      </c>
      <c r="G428" s="639"/>
    </row>
    <row r="429" spans="1:7" x14ac:dyDescent="0.25">
      <c r="A429" s="316" t="s">
        <v>2857</v>
      </c>
      <c r="B429" s="313">
        <v>40806</v>
      </c>
      <c r="C429" s="316" t="s">
        <v>2855</v>
      </c>
      <c r="D429" s="316" t="s">
        <v>102</v>
      </c>
      <c r="E429" s="316" t="s">
        <v>1372</v>
      </c>
      <c r="F429" s="316" t="s">
        <v>1230</v>
      </c>
      <c r="G429" s="639"/>
    </row>
    <row r="430" spans="1:7" x14ac:dyDescent="0.25">
      <c r="A430" s="316" t="s">
        <v>2853</v>
      </c>
      <c r="B430" s="313">
        <v>40806</v>
      </c>
      <c r="C430" s="316" t="s">
        <v>2851</v>
      </c>
      <c r="D430" s="316" t="s">
        <v>102</v>
      </c>
      <c r="E430" s="316" t="s">
        <v>1372</v>
      </c>
      <c r="F430" s="316" t="s">
        <v>1230</v>
      </c>
      <c r="G430" s="639"/>
    </row>
    <row r="431" spans="1:7" x14ac:dyDescent="0.25">
      <c r="A431" s="1172" t="s">
        <v>2928</v>
      </c>
      <c r="B431" s="1272">
        <v>40806</v>
      </c>
      <c r="C431" s="1172" t="s">
        <v>2926</v>
      </c>
      <c r="D431" s="1172" t="s">
        <v>102</v>
      </c>
      <c r="E431" s="1172" t="s">
        <v>1372</v>
      </c>
      <c r="F431" s="316" t="s">
        <v>1230</v>
      </c>
      <c r="G431" s="639"/>
    </row>
    <row r="432" spans="1:7" x14ac:dyDescent="0.25">
      <c r="A432" s="1172" t="s">
        <v>2924</v>
      </c>
      <c r="B432" s="1272">
        <v>40806</v>
      </c>
      <c r="C432" s="1172" t="s">
        <v>2922</v>
      </c>
      <c r="D432" s="1172" t="s">
        <v>102</v>
      </c>
      <c r="E432" s="1172" t="s">
        <v>1372</v>
      </c>
      <c r="F432" s="316" t="s">
        <v>1230</v>
      </c>
      <c r="G432" s="639"/>
    </row>
    <row r="433" spans="1:7" x14ac:dyDescent="0.25">
      <c r="A433" s="316" t="s">
        <v>2849</v>
      </c>
      <c r="B433" s="313">
        <v>40806</v>
      </c>
      <c r="C433" s="316" t="s">
        <v>2847</v>
      </c>
      <c r="D433" s="316" t="s">
        <v>102</v>
      </c>
      <c r="E433" s="316" t="s">
        <v>1372</v>
      </c>
      <c r="F433" s="316" t="s">
        <v>1230</v>
      </c>
      <c r="G433" s="639"/>
    </row>
    <row r="434" spans="1:7" x14ac:dyDescent="0.25">
      <c r="A434" s="316" t="s">
        <v>2845</v>
      </c>
      <c r="B434" s="313">
        <v>40806</v>
      </c>
      <c r="C434" s="316" t="s">
        <v>2843</v>
      </c>
      <c r="D434" s="316" t="s">
        <v>102</v>
      </c>
      <c r="E434" s="316" t="s">
        <v>1372</v>
      </c>
      <c r="F434" s="316" t="s">
        <v>1230</v>
      </c>
      <c r="G434" s="639"/>
    </row>
    <row r="435" spans="1:7" x14ac:dyDescent="0.25">
      <c r="A435" s="1172" t="s">
        <v>2921</v>
      </c>
      <c r="B435" s="1272">
        <v>40806</v>
      </c>
      <c r="C435" s="1172" t="s">
        <v>2922</v>
      </c>
      <c r="D435" s="1172" t="s">
        <v>102</v>
      </c>
      <c r="E435" s="1172" t="s">
        <v>1372</v>
      </c>
      <c r="F435" s="316" t="s">
        <v>495</v>
      </c>
      <c r="G435" s="639"/>
    </row>
    <row r="436" spans="1:7" x14ac:dyDescent="0.25">
      <c r="A436" s="1172" t="s">
        <v>2925</v>
      </c>
      <c r="B436" s="1272">
        <v>40806</v>
      </c>
      <c r="C436" s="1172" t="s">
        <v>2926</v>
      </c>
      <c r="D436" s="1172" t="s">
        <v>102</v>
      </c>
      <c r="E436" s="1172" t="s">
        <v>1372</v>
      </c>
      <c r="F436" s="316" t="s">
        <v>495</v>
      </c>
      <c r="G436" s="639"/>
    </row>
    <row r="437" spans="1:7" x14ac:dyDescent="0.25">
      <c r="A437" s="316" t="s">
        <v>2842</v>
      </c>
      <c r="B437" s="313">
        <v>40806</v>
      </c>
      <c r="C437" s="316" t="s">
        <v>2843</v>
      </c>
      <c r="D437" s="316" t="s">
        <v>102</v>
      </c>
      <c r="E437" s="316" t="s">
        <v>1372</v>
      </c>
      <c r="F437" s="316" t="s">
        <v>495</v>
      </c>
      <c r="G437" s="639"/>
    </row>
    <row r="438" spans="1:7" x14ac:dyDescent="0.25">
      <c r="A438" s="316" t="s">
        <v>2846</v>
      </c>
      <c r="B438" s="313">
        <v>40806</v>
      </c>
      <c r="C438" s="316" t="s">
        <v>2847</v>
      </c>
      <c r="D438" s="316" t="s">
        <v>102</v>
      </c>
      <c r="E438" s="316" t="s">
        <v>1372</v>
      </c>
      <c r="F438" s="316" t="s">
        <v>495</v>
      </c>
      <c r="G438" s="639"/>
    </row>
    <row r="439" spans="1:7" x14ac:dyDescent="0.25">
      <c r="A439" s="316" t="s">
        <v>2850</v>
      </c>
      <c r="B439" s="313">
        <v>40806</v>
      </c>
      <c r="C439" s="316" t="s">
        <v>2851</v>
      </c>
      <c r="D439" s="316" t="s">
        <v>102</v>
      </c>
      <c r="E439" s="316" t="s">
        <v>1372</v>
      </c>
      <c r="F439" s="316" t="s">
        <v>495</v>
      </c>
      <c r="G439" s="639"/>
    </row>
    <row r="440" spans="1:7" x14ac:dyDescent="0.25">
      <c r="A440" s="316" t="s">
        <v>2854</v>
      </c>
      <c r="B440" s="313">
        <v>40806</v>
      </c>
      <c r="C440" s="316" t="s">
        <v>2855</v>
      </c>
      <c r="D440" s="316" t="s">
        <v>102</v>
      </c>
      <c r="E440" s="316" t="s">
        <v>1372</v>
      </c>
      <c r="F440" s="316" t="s">
        <v>495</v>
      </c>
      <c r="G440" s="639"/>
    </row>
    <row r="441" spans="1:7" x14ac:dyDescent="0.25">
      <c r="A441" s="316" t="s">
        <v>2858</v>
      </c>
      <c r="B441" s="313">
        <v>40806</v>
      </c>
      <c r="C441" s="316" t="s">
        <v>2859</v>
      </c>
      <c r="D441" s="316" t="s">
        <v>102</v>
      </c>
      <c r="E441" s="316" t="s">
        <v>1372</v>
      </c>
      <c r="F441" s="316" t="s">
        <v>495</v>
      </c>
      <c r="G441" s="639"/>
    </row>
    <row r="442" spans="1:7" x14ac:dyDescent="0.25">
      <c r="A442" s="316" t="s">
        <v>2888</v>
      </c>
      <c r="B442" s="313">
        <v>40806</v>
      </c>
      <c r="C442" s="316" t="s">
        <v>2889</v>
      </c>
      <c r="D442" s="316" t="s">
        <v>102</v>
      </c>
      <c r="E442" s="316" t="s">
        <v>1372</v>
      </c>
      <c r="F442" s="316" t="s">
        <v>495</v>
      </c>
      <c r="G442" s="639"/>
    </row>
    <row r="443" spans="1:7" x14ac:dyDescent="0.25">
      <c r="A443" s="316" t="s">
        <v>2890</v>
      </c>
      <c r="B443" s="313">
        <v>40806</v>
      </c>
      <c r="C443" s="316" t="s">
        <v>2889</v>
      </c>
      <c r="D443" s="316" t="s">
        <v>102</v>
      </c>
      <c r="E443" s="316" t="s">
        <v>1372</v>
      </c>
      <c r="F443" s="316" t="s">
        <v>495</v>
      </c>
      <c r="G443" s="639"/>
    </row>
    <row r="444" spans="1:7" x14ac:dyDescent="0.25">
      <c r="A444" s="316" t="s">
        <v>2860</v>
      </c>
      <c r="B444" s="313">
        <v>40806</v>
      </c>
      <c r="C444" s="316" t="s">
        <v>2859</v>
      </c>
      <c r="D444" s="316" t="s">
        <v>102</v>
      </c>
      <c r="E444" s="316" t="s">
        <v>1372</v>
      </c>
      <c r="F444" s="316" t="s">
        <v>495</v>
      </c>
      <c r="G444" s="639"/>
    </row>
    <row r="445" spans="1:7" x14ac:dyDescent="0.25">
      <c r="A445" s="316" t="s">
        <v>2852</v>
      </c>
      <c r="B445" s="313">
        <v>40806</v>
      </c>
      <c r="C445" s="316" t="s">
        <v>2851</v>
      </c>
      <c r="D445" s="316" t="s">
        <v>102</v>
      </c>
      <c r="E445" s="316" t="s">
        <v>1372</v>
      </c>
      <c r="F445" s="316" t="s">
        <v>495</v>
      </c>
      <c r="G445" s="639"/>
    </row>
    <row r="446" spans="1:7" x14ac:dyDescent="0.25">
      <c r="A446" s="316" t="s">
        <v>2856</v>
      </c>
      <c r="B446" s="313">
        <v>40806</v>
      </c>
      <c r="C446" s="316" t="s">
        <v>2855</v>
      </c>
      <c r="D446" s="316" t="s">
        <v>102</v>
      </c>
      <c r="E446" s="316" t="s">
        <v>1372</v>
      </c>
      <c r="F446" s="316" t="s">
        <v>495</v>
      </c>
      <c r="G446" s="639"/>
    </row>
    <row r="447" spans="1:7" x14ac:dyDescent="0.25">
      <c r="A447" s="1172" t="s">
        <v>2927</v>
      </c>
      <c r="B447" s="1272">
        <v>40806</v>
      </c>
      <c r="C447" s="1172" t="s">
        <v>2926</v>
      </c>
      <c r="D447" s="1172" t="s">
        <v>102</v>
      </c>
      <c r="E447" s="1172" t="s">
        <v>1372</v>
      </c>
      <c r="F447" s="316" t="s">
        <v>495</v>
      </c>
      <c r="G447" s="639"/>
    </row>
    <row r="448" spans="1:7" x14ac:dyDescent="0.25">
      <c r="A448" s="1172" t="s">
        <v>2923</v>
      </c>
      <c r="B448" s="1272">
        <v>40806</v>
      </c>
      <c r="C448" s="1172" t="s">
        <v>2922</v>
      </c>
      <c r="D448" s="1172" t="s">
        <v>102</v>
      </c>
      <c r="E448" s="1172" t="s">
        <v>1372</v>
      </c>
      <c r="F448" s="316" t="s">
        <v>495</v>
      </c>
      <c r="G448" s="639"/>
    </row>
    <row r="449" spans="1:7" x14ac:dyDescent="0.25">
      <c r="A449" s="316" t="s">
        <v>2848</v>
      </c>
      <c r="B449" s="313">
        <v>40806</v>
      </c>
      <c r="C449" s="316" t="s">
        <v>2847</v>
      </c>
      <c r="D449" s="316" t="s">
        <v>102</v>
      </c>
      <c r="E449" s="316" t="s">
        <v>1372</v>
      </c>
      <c r="F449" s="316" t="s">
        <v>495</v>
      </c>
      <c r="G449" s="639"/>
    </row>
    <row r="450" spans="1:7" x14ac:dyDescent="0.25">
      <c r="A450" s="316" t="s">
        <v>2844</v>
      </c>
      <c r="B450" s="313">
        <v>40806</v>
      </c>
      <c r="C450" s="316" t="s">
        <v>2843</v>
      </c>
      <c r="D450" s="316" t="s">
        <v>102</v>
      </c>
      <c r="E450" s="316" t="s">
        <v>1372</v>
      </c>
      <c r="F450" s="316" t="s">
        <v>495</v>
      </c>
      <c r="G450" s="639"/>
    </row>
    <row r="451" spans="1:7" x14ac:dyDescent="0.25">
      <c r="A451" s="316" t="s">
        <v>2892</v>
      </c>
      <c r="B451" s="313">
        <v>40806</v>
      </c>
      <c r="C451" s="316" t="s">
        <v>2889</v>
      </c>
      <c r="D451" s="316" t="s">
        <v>102</v>
      </c>
      <c r="E451" s="316" t="s">
        <v>1372</v>
      </c>
      <c r="F451" s="316" t="s">
        <v>495</v>
      </c>
      <c r="G451" s="639"/>
    </row>
    <row r="452" spans="1:7" x14ac:dyDescent="0.25">
      <c r="A452" s="316" t="s">
        <v>2861</v>
      </c>
      <c r="B452" s="313">
        <v>40806</v>
      </c>
      <c r="C452" s="316" t="s">
        <v>2859</v>
      </c>
      <c r="D452" s="316" t="s">
        <v>102</v>
      </c>
      <c r="E452" s="316" t="s">
        <v>1372</v>
      </c>
      <c r="F452" s="316" t="s">
        <v>495</v>
      </c>
      <c r="G452" s="639"/>
    </row>
    <row r="453" spans="1:7" x14ac:dyDescent="0.25">
      <c r="A453" s="316" t="s">
        <v>2857</v>
      </c>
      <c r="B453" s="313">
        <v>40806</v>
      </c>
      <c r="C453" s="316" t="s">
        <v>2855</v>
      </c>
      <c r="D453" s="316" t="s">
        <v>102</v>
      </c>
      <c r="E453" s="316" t="s">
        <v>1372</v>
      </c>
      <c r="F453" s="316" t="s">
        <v>495</v>
      </c>
      <c r="G453" s="639"/>
    </row>
    <row r="454" spans="1:7" x14ac:dyDescent="0.25">
      <c r="A454" s="316" t="s">
        <v>2853</v>
      </c>
      <c r="B454" s="313">
        <v>40806</v>
      </c>
      <c r="C454" s="316" t="s">
        <v>2851</v>
      </c>
      <c r="D454" s="316" t="s">
        <v>102</v>
      </c>
      <c r="E454" s="316" t="s">
        <v>1372</v>
      </c>
      <c r="F454" s="316" t="s">
        <v>495</v>
      </c>
      <c r="G454" s="639"/>
    </row>
    <row r="455" spans="1:7" x14ac:dyDescent="0.25">
      <c r="A455" s="1172" t="s">
        <v>2928</v>
      </c>
      <c r="B455" s="1272">
        <v>40806</v>
      </c>
      <c r="C455" s="1172" t="s">
        <v>2926</v>
      </c>
      <c r="D455" s="1172" t="s">
        <v>102</v>
      </c>
      <c r="E455" s="1172" t="s">
        <v>1372</v>
      </c>
      <c r="F455" s="316" t="s">
        <v>495</v>
      </c>
      <c r="G455" s="639"/>
    </row>
    <row r="456" spans="1:7" x14ac:dyDescent="0.25">
      <c r="A456" s="1172" t="s">
        <v>2924</v>
      </c>
      <c r="B456" s="1272">
        <v>40806</v>
      </c>
      <c r="C456" s="1172" t="s">
        <v>2922</v>
      </c>
      <c r="D456" s="1172" t="s">
        <v>102</v>
      </c>
      <c r="E456" s="1172" t="s">
        <v>1372</v>
      </c>
      <c r="F456" s="316" t="s">
        <v>495</v>
      </c>
      <c r="G456" s="639"/>
    </row>
    <row r="457" spans="1:7" x14ac:dyDescent="0.25">
      <c r="A457" s="316" t="s">
        <v>2849</v>
      </c>
      <c r="B457" s="313">
        <v>40806</v>
      </c>
      <c r="C457" s="316" t="s">
        <v>2847</v>
      </c>
      <c r="D457" s="316" t="s">
        <v>102</v>
      </c>
      <c r="E457" s="316" t="s">
        <v>1372</v>
      </c>
      <c r="F457" s="316" t="s">
        <v>495</v>
      </c>
      <c r="G457" s="639"/>
    </row>
    <row r="458" spans="1:7" x14ac:dyDescent="0.25">
      <c r="A458" s="316" t="s">
        <v>2845</v>
      </c>
      <c r="B458" s="313">
        <v>40806</v>
      </c>
      <c r="C458" s="316" t="s">
        <v>2843</v>
      </c>
      <c r="D458" s="316" t="s">
        <v>102</v>
      </c>
      <c r="E458" s="316" t="s">
        <v>1372</v>
      </c>
      <c r="F458" s="316" t="s">
        <v>495</v>
      </c>
      <c r="G458" s="639"/>
    </row>
  </sheetData>
  <mergeCells count="1">
    <mergeCell ref="A2:C4"/>
  </mergeCells>
  <conditionalFormatting sqref="A8:G8 W8 AM8">
    <cfRule type="expression" dxfId="40" priority="6">
      <formula>IF(INDEX(VAD_nMeasModBiomassMinAn,COLUMN(A8),5)&gt;0,TRUE(),FALSE())</formula>
    </cfRule>
  </conditionalFormatting>
  <conditionalFormatting sqref="H8">
    <cfRule type="expression" dxfId="39" priority="5">
      <formula>IF(INDEX(VAD_nMeasModYieldNutrientUptake,COLUMN(H8),5)&gt;0,TRUE(),FALSE())</formula>
    </cfRule>
  </conditionalFormatting>
  <conditionalFormatting sqref="I8:V8">
    <cfRule type="expression" dxfId="38" priority="4">
      <formula>IF(INDEX(Vad_MeasBiomassMinAn,COLUMN(I8),5)&gt;0,TRUE(),FALSE())</formula>
    </cfRule>
  </conditionalFormatting>
  <conditionalFormatting sqref="X8">
    <cfRule type="expression" dxfId="37" priority="3">
      <formula>IF(INDEX(Vad_MeasBiomassMinAn,COLUMN(X8),5)&gt;0,TRUE(),FALSE())</formula>
    </cfRule>
  </conditionalFormatting>
  <conditionalFormatting sqref="Y8:AL8">
    <cfRule type="expression" dxfId="36" priority="2">
      <formula>IF(INDEX(Vad_MeasBiomassMinAn,COLUMN(Y8),5)&gt;0,TRUE(),FALSE())</formula>
    </cfRule>
  </conditionalFormatting>
  <conditionalFormatting sqref="AN8">
    <cfRule type="expression" dxfId="35" priority="1">
      <formula>IF(INDEX(Vad_MeasBiomassMinAn,COLUMN(AN8),5)&gt;0,TRUE(),FALSE())</formula>
    </cfRule>
  </conditionalFormatting>
  <dataValidations count="30">
    <dataValidation type="list" allowBlank="1" showInputMessage="1" showErrorMessage="1" sqref="H9 H27:H696 G459:G696">
      <formula1>Harvested_Fraction</formula1>
    </dataValidation>
    <dataValidation type="list" allowBlank="1" showInputMessage="1" showErrorMessage="1" sqref="D369 D380 D387 D390 D401 D408 D411:D412 D435:D436 D423:D424 D431:D432 D447:D448 D455:D456">
      <formula1>#REF!</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458">
      <formula1>Plant_Fraction</formula1>
    </dataValidation>
    <dataValidation type="list" allowBlank="1" showInputMessage="1" showErrorMessage="1" sqref="D457:D1043 D9:D368 D370:D379 D381:D386 D388:D389 D391:D400 D402:D407 D409:D410 D433:D434 D413:D422 D425:D430 D437:D446 D449:D454">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type="list" allowBlank="1" showInputMessage="1" showErrorMessage="1" sqref="E9:E641">
      <formula1>Crop</formula1>
    </dataValidation>
    <dataValidation allowBlank="1" showInputMessage="1" showErrorMessage="1" prompt="If your data is in %, multiply by 10000." sqref="AM8 W8"/>
    <dataValidation allowBlank="1" showInputMessage="1" showErrorMessage="1" prompt="Enter date sample was collected." sqref="B8"/>
    <dataValidation allowBlank="1" showInputMessage="1" showErrorMessage="1" prompt="Enter unique experimental identifier from drop down list based on Exp_UnitID column from ExperUnits sheet." sqref="A8"/>
    <dataValidation type="list" allowBlank="1" showInputMessage="1" showErrorMessage="1" sqref="A9:A458">
      <formula1>Exp_UnitID</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C9:C458">
      <formula1>TreatmentID</formula1>
    </dataValidation>
    <dataValidation type="list" allowBlank="1" showInputMessage="1" showErrorMessage="1" sqref="F459:F1043">
      <formula1>Plant_Fraction</formula1>
    </dataValidation>
    <dataValidation allowBlank="1" showInputMessage="1" showErrorMessage="1" prompt="Enter specifically what was analyzed._x000a__x000a_" sqref="F8"/>
    <dataValidation allowBlank="1" showInputMessage="1" showErrorMessage="1" prompt="Enter the Mn concentration of your plant fraction, in units specified above. If your data is in %, multiply by 10000." sqref="V8 AL8"/>
    <dataValidation allowBlank="1" showInputMessage="1" showErrorMessage="1" prompt="Enter the Fe concentration of you plant fraction, in units specified above. If your data is in %, multiply by 10000." sqref="U8 AK8"/>
    <dataValidation allowBlank="1" showInputMessage="1" showErrorMessage="1" prompt="Enter Cu concentration of your plant fraction, in units specified above. If your data is in %, multiply by 10000." sqref="T8 AJ8"/>
    <dataValidation allowBlank="1" showInputMessage="1" showErrorMessage="1" prompt="Enter B concentration of your plant fraction, in units specified above. If your data is in %, multiply by 10000." sqref="S8 AI8"/>
    <dataValidation allowBlank="1" showInputMessage="1" showErrorMessage="1" prompt="Enter Al concentration of your plant fraction, in units specified above. If your data is in %, multiply by 10000." sqref="R8 AH8"/>
    <dataValidation allowBlank="1" showInputMessage="1" showErrorMessage="1" prompt="Enter Na concentration of your plant fraction, in units specified above. If your data is in %, multiply by 10." sqref="P8 AF8"/>
    <dataValidation allowBlank="1" showInputMessage="1" showErrorMessage="1" prompt="Enter S concentraion of your plant fraction, in units specified above. If your data is in %, multiply by 10." sqref="O8 AE8"/>
    <dataValidation allowBlank="1" showInputMessage="1" showErrorMessage="1" prompt="Enter Mg concentration of your plant fraction, in units specified above. If your data is in %, multiply by 10." sqref="N8 AD8"/>
    <dataValidation allowBlank="1" showInputMessage="1" showErrorMessage="1" prompt="Enter Ca concentration of your plant fraction, in units specified above. If your data is in %, multiply by 10." sqref="M8 AC8"/>
    <dataValidation allowBlank="1" showInputMessage="1" showErrorMessage="1" prompt="Enter K concentraion of your plant fraction, in units specified above. If your data is in %, multiply by 10." sqref="L8 AB8"/>
    <dataValidation allowBlank="1" showInputMessage="1" showErrorMessage="1" prompt="Enter P concentration of your plant fraction, in units specified above. If your data is in %, multiply by 10." sqref="K8 AA8"/>
    <dataValidation allowBlank="1" showInputMessage="1" showErrorMessage="1" prompt="Enter N concentration of the plant fraction, in units specified above. If your data is in %, multiply by 10." sqref="J8 Z8"/>
    <dataValidation allowBlank="1" showInputMessage="1" showErrorMessage="1" prompt="Enter C concentration of the plant fraction, in units specified above. If your data is in %, multiply by 10._x000a_" sqref="I8 Y8"/>
    <dataValidation allowBlank="1" showInputMessage="1" showErrorMessage="1" prompt="Enter Cl concentration of your plant fraction, in units specified above. If your data is in %, multiply by 10." sqref="Q8 AG8"/>
    <dataValidation allowBlank="1" showInputMessage="1" showErrorMessage="1" prompt="Enter the Zn concentration of your plant fraction, in units specified above. If your data is in %, multiply by 10000." sqref="X8 AN8"/>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J177"/>
  <sheetViews>
    <sheetView workbookViewId="0">
      <selection activeCell="J8" sqref="J8"/>
    </sheetView>
  </sheetViews>
  <sheetFormatPr defaultColWidth="8.88671875" defaultRowHeight="14.4" x14ac:dyDescent="0.3"/>
  <cols>
    <col min="1" max="1" width="12.44140625" style="316" customWidth="1"/>
    <col min="2" max="2" width="13" style="313" customWidth="1"/>
    <col min="3" max="3" width="7.5546875" style="316" customWidth="1"/>
    <col min="4" max="4" width="14.5546875" style="316" customWidth="1"/>
    <col min="5" max="5" width="13.6640625" style="316" bestFit="1" customWidth="1"/>
    <col min="6" max="6" width="24.33203125" style="316" bestFit="1" customWidth="1"/>
    <col min="7" max="7" width="25.44140625" style="108" customWidth="1"/>
    <col min="8" max="8" width="8.88671875" style="108"/>
    <col min="9" max="9" width="24.5546875" style="108" customWidth="1"/>
    <col min="10" max="16384" width="8.88671875" style="108"/>
  </cols>
  <sheetData>
    <row r="1" spans="1:10" ht="18" x14ac:dyDescent="0.35">
      <c r="A1" s="1294" t="s">
        <v>2929</v>
      </c>
      <c r="B1" s="1295"/>
      <c r="C1" s="1296"/>
      <c r="D1" s="1296"/>
      <c r="E1" s="1296"/>
      <c r="F1" s="1296"/>
      <c r="G1" s="1296"/>
      <c r="H1" s="1296"/>
      <c r="I1" s="1296"/>
      <c r="J1" s="190"/>
    </row>
    <row r="2" spans="1:10" ht="14.4" customHeight="1" x14ac:dyDescent="0.3">
      <c r="A2" s="1396"/>
      <c r="B2" s="1297"/>
      <c r="C2" s="1297"/>
      <c r="D2" s="1297"/>
      <c r="E2" s="1297"/>
      <c r="F2" s="73"/>
      <c r="G2" s="1298"/>
      <c r="H2" s="1298"/>
      <c r="I2" s="1299"/>
      <c r="J2" s="1282" t="s">
        <v>538</v>
      </c>
    </row>
    <row r="3" spans="1:10" ht="14.4" customHeight="1" x14ac:dyDescent="0.3">
      <c r="A3" s="1396"/>
      <c r="B3" s="1297"/>
      <c r="C3" s="1297"/>
      <c r="D3" s="1297"/>
      <c r="E3" s="1297"/>
      <c r="F3" s="1154"/>
      <c r="G3" s="1251"/>
      <c r="H3" s="1251"/>
      <c r="I3" s="1300"/>
      <c r="J3" s="1301"/>
    </row>
    <row r="4" spans="1:10" x14ac:dyDescent="0.3">
      <c r="A4" s="1155"/>
      <c r="B4" s="1156"/>
      <c r="C4" s="1157"/>
      <c r="D4" s="1158"/>
      <c r="E4" s="1158"/>
      <c r="F4" s="639"/>
      <c r="G4" s="524"/>
      <c r="H4" s="524"/>
      <c r="I4" s="526"/>
      <c r="J4" s="527"/>
    </row>
    <row r="5" spans="1:10" ht="15.6" x14ac:dyDescent="0.3">
      <c r="A5" s="1302" t="s">
        <v>343</v>
      </c>
      <c r="B5" s="1160"/>
      <c r="C5" s="1161"/>
      <c r="D5" s="1162" t="s">
        <v>394</v>
      </c>
      <c r="E5" s="1120"/>
      <c r="F5" s="1120"/>
      <c r="G5" s="1303"/>
      <c r="H5" s="1303"/>
      <c r="I5" s="1304"/>
      <c r="J5" s="1305"/>
    </row>
    <row r="6" spans="1:10" ht="16.2" x14ac:dyDescent="0.35">
      <c r="A6" s="667"/>
      <c r="B6" s="274" t="s">
        <v>116</v>
      </c>
      <c r="C6" s="641"/>
      <c r="D6" s="1163" t="str">
        <f>HYPERLINK("#DropDownLists!O6","Add to this list")</f>
        <v>Add to this list</v>
      </c>
      <c r="E6" s="1163" t="str">
        <f>HYPERLINK("#DropDownLists!K6","Add to this list")</f>
        <v>Add to this list</v>
      </c>
      <c r="F6" s="1163" t="str">
        <f>HYPERLINK("#DropDownLists!P6","Add to this list")</f>
        <v>Add to this list</v>
      </c>
      <c r="G6" s="1306"/>
      <c r="H6" s="1306"/>
      <c r="I6" s="1307"/>
      <c r="J6" s="515"/>
    </row>
    <row r="7" spans="1:10" x14ac:dyDescent="0.3">
      <c r="A7" s="1506" t="s">
        <v>390</v>
      </c>
      <c r="B7" s="1506"/>
      <c r="C7" s="1506"/>
      <c r="D7" s="1506"/>
      <c r="E7" s="1506"/>
      <c r="F7" s="1506"/>
      <c r="G7" s="1575" t="s">
        <v>2930</v>
      </c>
      <c r="H7" s="1575"/>
      <c r="I7" s="1576"/>
      <c r="J7" s="538"/>
    </row>
    <row r="8" spans="1:10" ht="27.6" thickBot="1" x14ac:dyDescent="0.35">
      <c r="A8" s="1037" t="s">
        <v>3474</v>
      </c>
      <c r="B8" s="1167" t="s">
        <v>35</v>
      </c>
      <c r="C8" s="625" t="s">
        <v>152</v>
      </c>
      <c r="D8" s="625" t="s">
        <v>1659</v>
      </c>
      <c r="E8" s="556" t="s">
        <v>77</v>
      </c>
      <c r="F8" s="1168" t="s">
        <v>1789</v>
      </c>
      <c r="G8" s="1244" t="s">
        <v>2773</v>
      </c>
      <c r="H8" s="1244" t="s">
        <v>2931</v>
      </c>
      <c r="I8" s="1308" t="s">
        <v>2932</v>
      </c>
      <c r="J8" s="1309" t="s">
        <v>2773</v>
      </c>
    </row>
    <row r="9" spans="1:10" x14ac:dyDescent="0.3">
      <c r="A9" s="316" t="s">
        <v>2842</v>
      </c>
      <c r="B9" s="313">
        <v>36648</v>
      </c>
      <c r="C9" s="316" t="s">
        <v>2843</v>
      </c>
      <c r="D9" s="316" t="s">
        <v>102</v>
      </c>
      <c r="E9" s="316" t="s">
        <v>1372</v>
      </c>
      <c r="F9" s="316" t="s">
        <v>1230</v>
      </c>
      <c r="G9" s="1310"/>
      <c r="H9" s="1311"/>
      <c r="I9" s="1312" t="s">
        <v>2933</v>
      </c>
    </row>
    <row r="10" spans="1:10" x14ac:dyDescent="0.3">
      <c r="A10" s="316" t="s">
        <v>2846</v>
      </c>
      <c r="B10" s="313">
        <v>36775</v>
      </c>
      <c r="C10" s="316" t="s">
        <v>2847</v>
      </c>
      <c r="D10" s="316" t="s">
        <v>102</v>
      </c>
      <c r="E10" s="316" t="s">
        <v>1372</v>
      </c>
      <c r="F10" s="316" t="s">
        <v>1230</v>
      </c>
      <c r="G10" s="1310"/>
      <c r="H10" s="1311"/>
      <c r="I10" s="1312" t="s">
        <v>2934</v>
      </c>
    </row>
    <row r="11" spans="1:10" x14ac:dyDescent="0.3">
      <c r="A11" s="316" t="s">
        <v>2850</v>
      </c>
      <c r="B11" s="313">
        <v>36775</v>
      </c>
      <c r="C11" s="316" t="s">
        <v>2851</v>
      </c>
      <c r="D11" s="316" t="s">
        <v>102</v>
      </c>
      <c r="E11" s="316" t="s">
        <v>1372</v>
      </c>
      <c r="F11" s="316" t="s">
        <v>1230</v>
      </c>
      <c r="G11" s="1310"/>
      <c r="H11" s="1311" t="s">
        <v>2935</v>
      </c>
      <c r="I11" s="1313" t="s">
        <v>2936</v>
      </c>
    </row>
    <row r="12" spans="1:10" x14ac:dyDescent="0.3">
      <c r="A12" s="316" t="s">
        <v>2854</v>
      </c>
      <c r="B12" s="313">
        <v>36775</v>
      </c>
      <c r="C12" s="316" t="s">
        <v>2855</v>
      </c>
      <c r="D12" s="316" t="s">
        <v>102</v>
      </c>
      <c r="E12" s="316" t="s">
        <v>1372</v>
      </c>
      <c r="F12" s="316" t="s">
        <v>1230</v>
      </c>
      <c r="G12" s="1310"/>
      <c r="H12" s="1311" t="s">
        <v>2935</v>
      </c>
      <c r="I12" s="1312" t="s">
        <v>2937</v>
      </c>
    </row>
    <row r="13" spans="1:10" x14ac:dyDescent="0.3">
      <c r="A13" s="316" t="s">
        <v>2858</v>
      </c>
      <c r="B13" s="313">
        <v>36775</v>
      </c>
      <c r="C13" s="316" t="s">
        <v>2859</v>
      </c>
      <c r="D13" s="316" t="s">
        <v>102</v>
      </c>
      <c r="E13" s="316" t="s">
        <v>1372</v>
      </c>
      <c r="F13" s="316" t="s">
        <v>1230</v>
      </c>
      <c r="G13" s="1310"/>
      <c r="H13" s="1311" t="s">
        <v>2935</v>
      </c>
      <c r="I13" s="1314" t="s">
        <v>2938</v>
      </c>
    </row>
    <row r="14" spans="1:10" x14ac:dyDescent="0.3">
      <c r="A14" s="316" t="s">
        <v>2888</v>
      </c>
      <c r="B14" s="313">
        <v>36775</v>
      </c>
      <c r="C14" s="316" t="s">
        <v>2889</v>
      </c>
      <c r="D14" s="316" t="s">
        <v>102</v>
      </c>
      <c r="E14" s="316" t="s">
        <v>1372</v>
      </c>
      <c r="F14" s="316" t="s">
        <v>1230</v>
      </c>
      <c r="G14" s="1310"/>
      <c r="H14" s="1311" t="s">
        <v>2935</v>
      </c>
      <c r="I14" s="1314" t="s">
        <v>2939</v>
      </c>
    </row>
    <row r="15" spans="1:10" x14ac:dyDescent="0.3">
      <c r="A15" s="316" t="s">
        <v>2890</v>
      </c>
      <c r="B15" s="313">
        <v>36775</v>
      </c>
      <c r="C15" s="316" t="s">
        <v>2889</v>
      </c>
      <c r="D15" s="316" t="s">
        <v>102</v>
      </c>
      <c r="E15" s="316" t="s">
        <v>1372</v>
      </c>
      <c r="F15" s="316" t="s">
        <v>1230</v>
      </c>
      <c r="G15" s="1310"/>
      <c r="H15" s="1311"/>
      <c r="I15" s="1312" t="s">
        <v>2940</v>
      </c>
    </row>
    <row r="16" spans="1:10" x14ac:dyDescent="0.3">
      <c r="A16" s="316" t="s">
        <v>2860</v>
      </c>
      <c r="B16" s="313">
        <v>36775</v>
      </c>
      <c r="C16" s="316" t="s">
        <v>2859</v>
      </c>
      <c r="D16" s="316" t="s">
        <v>102</v>
      </c>
      <c r="E16" s="316" t="s">
        <v>1372</v>
      </c>
      <c r="F16" s="316" t="s">
        <v>1230</v>
      </c>
      <c r="G16" s="1310"/>
      <c r="H16" s="1311"/>
      <c r="I16" s="1312" t="s">
        <v>2941</v>
      </c>
    </row>
    <row r="17" spans="1:9" x14ac:dyDescent="0.3">
      <c r="A17" s="316" t="s">
        <v>2852</v>
      </c>
      <c r="B17" s="313">
        <v>36775</v>
      </c>
      <c r="C17" s="316" t="s">
        <v>2851</v>
      </c>
      <c r="D17" s="316" t="s">
        <v>102</v>
      </c>
      <c r="E17" s="316" t="s">
        <v>1372</v>
      </c>
      <c r="F17" s="316" t="s">
        <v>1230</v>
      </c>
      <c r="G17" s="1310"/>
      <c r="H17" s="1311"/>
      <c r="I17" s="1312" t="s">
        <v>2268</v>
      </c>
    </row>
    <row r="18" spans="1:9" x14ac:dyDescent="0.3">
      <c r="A18" s="316" t="s">
        <v>2856</v>
      </c>
      <c r="B18" s="313">
        <v>36775</v>
      </c>
      <c r="C18" s="316" t="s">
        <v>2855</v>
      </c>
      <c r="D18" s="316" t="s">
        <v>102</v>
      </c>
      <c r="E18" s="316" t="s">
        <v>1372</v>
      </c>
      <c r="F18" s="316" t="s">
        <v>1230</v>
      </c>
      <c r="G18" s="1310"/>
      <c r="H18" s="1311"/>
      <c r="I18" s="1312" t="s">
        <v>2269</v>
      </c>
    </row>
    <row r="19" spans="1:9" x14ac:dyDescent="0.3">
      <c r="A19" s="316" t="s">
        <v>2848</v>
      </c>
      <c r="B19" s="313">
        <v>36775</v>
      </c>
      <c r="C19" s="316" t="s">
        <v>2847</v>
      </c>
      <c r="D19" s="316" t="s">
        <v>102</v>
      </c>
      <c r="E19" s="316" t="s">
        <v>1372</v>
      </c>
      <c r="F19" s="316" t="s">
        <v>1230</v>
      </c>
      <c r="G19" s="1310"/>
      <c r="H19" s="1311"/>
      <c r="I19" s="1312" t="s">
        <v>2270</v>
      </c>
    </row>
    <row r="20" spans="1:9" x14ac:dyDescent="0.3">
      <c r="A20" s="316" t="s">
        <v>2844</v>
      </c>
      <c r="B20" s="313">
        <v>36775</v>
      </c>
      <c r="C20" s="316" t="s">
        <v>2843</v>
      </c>
      <c r="D20" s="316" t="s">
        <v>102</v>
      </c>
      <c r="E20" s="316" t="s">
        <v>1372</v>
      </c>
      <c r="F20" s="316" t="s">
        <v>1230</v>
      </c>
      <c r="G20" s="1310"/>
      <c r="H20" s="1311"/>
      <c r="I20" s="1312" t="s">
        <v>2271</v>
      </c>
    </row>
    <row r="21" spans="1:9" x14ac:dyDescent="0.3">
      <c r="A21" s="316" t="s">
        <v>2892</v>
      </c>
      <c r="B21" s="313">
        <v>36775</v>
      </c>
      <c r="C21" s="316" t="s">
        <v>2889</v>
      </c>
      <c r="D21" s="316" t="s">
        <v>102</v>
      </c>
      <c r="E21" s="316" t="s">
        <v>1372</v>
      </c>
      <c r="F21" s="316" t="s">
        <v>1230</v>
      </c>
      <c r="G21" s="1310"/>
      <c r="H21" s="1311"/>
      <c r="I21" s="1312" t="s">
        <v>2272</v>
      </c>
    </row>
    <row r="22" spans="1:9" x14ac:dyDescent="0.3">
      <c r="A22" s="316" t="s">
        <v>2861</v>
      </c>
      <c r="B22" s="313">
        <v>36775</v>
      </c>
      <c r="C22" s="316" t="s">
        <v>2859</v>
      </c>
      <c r="D22" s="316" t="s">
        <v>102</v>
      </c>
      <c r="E22" s="316" t="s">
        <v>1372</v>
      </c>
      <c r="F22" s="316" t="s">
        <v>1230</v>
      </c>
      <c r="G22" s="1310"/>
      <c r="H22" s="1311"/>
      <c r="I22" s="1312" t="s">
        <v>2273</v>
      </c>
    </row>
    <row r="23" spans="1:9" x14ac:dyDescent="0.3">
      <c r="A23" s="10"/>
      <c r="B23" s="108"/>
      <c r="C23" s="108"/>
      <c r="D23" s="108"/>
      <c r="E23" s="108"/>
      <c r="F23" s="108"/>
      <c r="G23" s="1310"/>
      <c r="H23" s="1311"/>
      <c r="I23" s="1312" t="s">
        <v>2274</v>
      </c>
    </row>
    <row r="24" spans="1:9" x14ac:dyDescent="0.3">
      <c r="A24" s="10"/>
      <c r="B24" s="108"/>
      <c r="C24" s="108"/>
      <c r="D24" s="108"/>
      <c r="E24" s="108"/>
      <c r="F24" s="108"/>
      <c r="G24" s="1310"/>
      <c r="H24" s="1311"/>
      <c r="I24" s="1312" t="s">
        <v>2275</v>
      </c>
    </row>
    <row r="25" spans="1:9" x14ac:dyDescent="0.3">
      <c r="A25" s="10"/>
      <c r="B25" s="108"/>
      <c r="C25" s="108"/>
      <c r="D25" s="108"/>
      <c r="E25" s="108"/>
      <c r="F25" s="108"/>
      <c r="G25" s="1310"/>
      <c r="H25" s="1311"/>
      <c r="I25" s="1312" t="s">
        <v>2276</v>
      </c>
    </row>
    <row r="26" spans="1:9" x14ac:dyDescent="0.3">
      <c r="A26" s="10"/>
      <c r="B26" s="108"/>
      <c r="C26" s="108"/>
      <c r="D26" s="108"/>
      <c r="E26" s="108"/>
      <c r="F26" s="108"/>
      <c r="G26" s="1310"/>
      <c r="H26" s="1311"/>
      <c r="I26" s="1312" t="s">
        <v>2942</v>
      </c>
    </row>
    <row r="27" spans="1:9" x14ac:dyDescent="0.3">
      <c r="A27" s="10"/>
      <c r="B27" s="108"/>
      <c r="C27" s="108"/>
      <c r="D27" s="108"/>
      <c r="E27" s="108"/>
      <c r="F27" s="108"/>
      <c r="G27" s="1310"/>
      <c r="H27" s="1311"/>
      <c r="I27" s="1312" t="s">
        <v>2278</v>
      </c>
    </row>
    <row r="28" spans="1:9" x14ac:dyDescent="0.3">
      <c r="A28" s="10"/>
      <c r="B28" s="108"/>
      <c r="C28" s="108"/>
      <c r="D28" s="108"/>
      <c r="E28" s="108"/>
      <c r="F28" s="108"/>
      <c r="G28" s="1310"/>
      <c r="H28" s="1311"/>
      <c r="I28" s="1312" t="s">
        <v>2279</v>
      </c>
    </row>
    <row r="29" spans="1:9" x14ac:dyDescent="0.3">
      <c r="A29" s="10"/>
      <c r="B29" s="108"/>
      <c r="C29" s="108"/>
      <c r="D29" s="108"/>
      <c r="E29" s="108"/>
      <c r="F29" s="108"/>
      <c r="G29" s="1310"/>
      <c r="H29" s="1311"/>
      <c r="I29" s="1312" t="s">
        <v>2280</v>
      </c>
    </row>
    <row r="30" spans="1:9" x14ac:dyDescent="0.3">
      <c r="A30" s="10"/>
      <c r="B30" s="108"/>
      <c r="C30" s="108"/>
      <c r="D30" s="108"/>
      <c r="E30" s="108"/>
      <c r="F30" s="108"/>
      <c r="G30" s="1310"/>
      <c r="H30" s="1311"/>
      <c r="I30" s="1312" t="s">
        <v>2943</v>
      </c>
    </row>
    <row r="31" spans="1:9" x14ac:dyDescent="0.3">
      <c r="A31" s="10"/>
      <c r="B31" s="108"/>
      <c r="C31" s="108"/>
      <c r="D31" s="108"/>
      <c r="E31" s="108"/>
      <c r="F31" s="108"/>
      <c r="G31" s="1310"/>
      <c r="H31" s="1311"/>
      <c r="I31" s="1312" t="s">
        <v>2944</v>
      </c>
    </row>
    <row r="32" spans="1:9" x14ac:dyDescent="0.3">
      <c r="A32" s="10"/>
      <c r="B32" s="108"/>
      <c r="C32" s="108"/>
      <c r="D32" s="108"/>
      <c r="E32" s="108"/>
      <c r="F32" s="108"/>
      <c r="G32" s="1310"/>
      <c r="H32" s="1311"/>
      <c r="I32" s="1313" t="s">
        <v>2945</v>
      </c>
    </row>
    <row r="33" spans="1:9" x14ac:dyDescent="0.3">
      <c r="A33" s="10"/>
      <c r="B33" s="108"/>
      <c r="C33" s="108"/>
      <c r="D33" s="108"/>
      <c r="E33" s="108"/>
      <c r="F33" s="108"/>
      <c r="G33" s="1310"/>
      <c r="H33" s="1311"/>
      <c r="I33" s="1312" t="s">
        <v>2946</v>
      </c>
    </row>
    <row r="34" spans="1:9" x14ac:dyDescent="0.3">
      <c r="A34" s="10"/>
      <c r="B34" s="108"/>
      <c r="C34" s="108"/>
      <c r="D34" s="108"/>
      <c r="E34" s="108"/>
      <c r="F34" s="108"/>
      <c r="G34" s="1310"/>
      <c r="H34" s="1311"/>
      <c r="I34" s="1312" t="s">
        <v>2947</v>
      </c>
    </row>
    <row r="35" spans="1:9" x14ac:dyDescent="0.3">
      <c r="A35" s="10"/>
      <c r="B35" s="108"/>
      <c r="C35" s="108"/>
      <c r="D35" s="108"/>
      <c r="E35" s="108"/>
      <c r="F35" s="108"/>
      <c r="G35" s="1310"/>
      <c r="H35" s="1311"/>
      <c r="I35" s="1313" t="s">
        <v>2948</v>
      </c>
    </row>
    <row r="36" spans="1:9" x14ac:dyDescent="0.3">
      <c r="A36" s="10"/>
      <c r="B36" s="108"/>
      <c r="C36" s="108"/>
      <c r="D36" s="108"/>
      <c r="E36" s="108"/>
      <c r="F36" s="108"/>
      <c r="G36" s="1310"/>
      <c r="H36" s="1311"/>
      <c r="I36" s="1313" t="s">
        <v>2949</v>
      </c>
    </row>
    <row r="37" spans="1:9" x14ac:dyDescent="0.3">
      <c r="A37" s="10"/>
      <c r="B37" s="108"/>
      <c r="C37" s="108"/>
      <c r="D37" s="108"/>
      <c r="E37" s="108"/>
      <c r="F37" s="108"/>
      <c r="G37" s="1310"/>
      <c r="H37" s="1311"/>
      <c r="I37" s="1312" t="s">
        <v>2950</v>
      </c>
    </row>
    <row r="38" spans="1:9" x14ac:dyDescent="0.3">
      <c r="A38" s="10"/>
      <c r="B38" s="108"/>
      <c r="C38" s="108"/>
      <c r="D38" s="108"/>
      <c r="E38" s="108"/>
      <c r="F38" s="108"/>
      <c r="G38" s="1310"/>
      <c r="H38" s="1311"/>
      <c r="I38" s="1312" t="s">
        <v>2951</v>
      </c>
    </row>
    <row r="39" spans="1:9" x14ac:dyDescent="0.3">
      <c r="A39" s="10"/>
      <c r="B39" s="108"/>
      <c r="C39" s="108"/>
      <c r="D39" s="108"/>
      <c r="E39" s="108"/>
      <c r="F39" s="108"/>
      <c r="G39" s="1310"/>
      <c r="H39" s="1311"/>
      <c r="I39" s="1313" t="s">
        <v>2952</v>
      </c>
    </row>
    <row r="40" spans="1:9" x14ac:dyDescent="0.3">
      <c r="A40" s="10"/>
      <c r="B40" s="108"/>
      <c r="C40" s="108"/>
      <c r="D40" s="108"/>
      <c r="E40" s="108"/>
      <c r="F40" s="108"/>
      <c r="G40" s="1310"/>
      <c r="H40" s="1311"/>
      <c r="I40" s="1312" t="s">
        <v>2953</v>
      </c>
    </row>
    <row r="41" spans="1:9" x14ac:dyDescent="0.3">
      <c r="A41" s="10"/>
      <c r="B41" s="108"/>
      <c r="C41" s="108"/>
      <c r="D41" s="108"/>
      <c r="E41" s="108"/>
      <c r="F41" s="108"/>
      <c r="G41" s="1310"/>
      <c r="H41" s="1311"/>
      <c r="I41" s="1312" t="s">
        <v>2954</v>
      </c>
    </row>
    <row r="42" spans="1:9" x14ac:dyDescent="0.3">
      <c r="A42" s="10"/>
      <c r="B42" s="108"/>
      <c r="C42" s="108"/>
      <c r="D42" s="108"/>
      <c r="E42" s="108"/>
      <c r="F42" s="108"/>
      <c r="G42" s="1310"/>
      <c r="H42" s="1311"/>
      <c r="I42" s="1313" t="s">
        <v>2955</v>
      </c>
    </row>
    <row r="43" spans="1:9" x14ac:dyDescent="0.3">
      <c r="A43" s="10"/>
      <c r="B43" s="108"/>
      <c r="C43" s="108"/>
      <c r="D43" s="108"/>
      <c r="E43" s="108"/>
      <c r="F43" s="108"/>
      <c r="G43" s="1310"/>
      <c r="H43" s="1311"/>
      <c r="I43" s="1312" t="s">
        <v>2956</v>
      </c>
    </row>
    <row r="44" spans="1:9" x14ac:dyDescent="0.3">
      <c r="A44" s="10"/>
      <c r="B44" s="108"/>
      <c r="C44" s="108"/>
      <c r="D44" s="108"/>
      <c r="E44" s="108"/>
      <c r="F44" s="108"/>
      <c r="G44" s="1310"/>
      <c r="H44" s="1311"/>
      <c r="I44" s="1313" t="s">
        <v>2957</v>
      </c>
    </row>
    <row r="45" spans="1:9" x14ac:dyDescent="0.3">
      <c r="A45" s="10"/>
      <c r="B45" s="108"/>
      <c r="C45" s="108"/>
      <c r="D45" s="108"/>
      <c r="E45" s="108"/>
      <c r="F45" s="108"/>
      <c r="G45" s="1310"/>
      <c r="H45" s="1311"/>
      <c r="I45" s="1312" t="s">
        <v>2958</v>
      </c>
    </row>
    <row r="46" spans="1:9" x14ac:dyDescent="0.3">
      <c r="A46" s="10"/>
      <c r="B46" s="108"/>
      <c r="C46" s="108"/>
      <c r="D46" s="108"/>
      <c r="E46" s="108"/>
      <c r="F46" s="108"/>
      <c r="G46" s="1310"/>
      <c r="H46" s="1311"/>
      <c r="I46" s="1312" t="s">
        <v>2959</v>
      </c>
    </row>
    <row r="47" spans="1:9" x14ac:dyDescent="0.3">
      <c r="A47" s="10"/>
      <c r="B47" s="108"/>
      <c r="C47" s="108"/>
      <c r="D47" s="108"/>
      <c r="E47" s="108"/>
      <c r="F47" s="108"/>
      <c r="G47" s="1310"/>
      <c r="H47" s="1311"/>
      <c r="I47" s="1313" t="s">
        <v>2960</v>
      </c>
    </row>
    <row r="48" spans="1:9" x14ac:dyDescent="0.3">
      <c r="A48" s="10"/>
      <c r="B48" s="108"/>
      <c r="C48" s="108"/>
      <c r="D48" s="108"/>
      <c r="E48" s="108"/>
      <c r="F48" s="108"/>
      <c r="G48" s="1310"/>
      <c r="H48" s="1311"/>
      <c r="I48" s="1312" t="s">
        <v>2961</v>
      </c>
    </row>
    <row r="49" spans="1:9" x14ac:dyDescent="0.3">
      <c r="A49" s="10"/>
      <c r="B49" s="108"/>
      <c r="C49" s="108"/>
      <c r="D49" s="108"/>
      <c r="E49" s="108"/>
      <c r="F49" s="108"/>
      <c r="G49" s="1310"/>
      <c r="H49" s="1311"/>
      <c r="I49" s="1312" t="s">
        <v>2962</v>
      </c>
    </row>
    <row r="50" spans="1:9" x14ac:dyDescent="0.3">
      <c r="A50" s="10"/>
      <c r="B50" s="108"/>
      <c r="C50" s="108"/>
      <c r="D50" s="108"/>
      <c r="E50" s="108"/>
      <c r="F50" s="108"/>
      <c r="G50" s="1310"/>
      <c r="H50" s="1311"/>
      <c r="I50" s="1313" t="s">
        <v>2963</v>
      </c>
    </row>
    <row r="51" spans="1:9" x14ac:dyDescent="0.3">
      <c r="A51" s="10"/>
      <c r="B51" s="108"/>
      <c r="C51" s="108"/>
      <c r="D51" s="108"/>
      <c r="E51" s="108"/>
      <c r="F51" s="108"/>
      <c r="G51" s="1310"/>
      <c r="H51" s="1311"/>
      <c r="I51" s="1312" t="s">
        <v>2964</v>
      </c>
    </row>
    <row r="52" spans="1:9" x14ac:dyDescent="0.3">
      <c r="A52" s="10"/>
      <c r="B52" s="108"/>
      <c r="C52" s="108"/>
      <c r="D52" s="108"/>
      <c r="E52" s="108"/>
      <c r="F52" s="108"/>
      <c r="G52" s="1310"/>
      <c r="H52" s="1311"/>
      <c r="I52" s="1312" t="s">
        <v>2965</v>
      </c>
    </row>
    <row r="53" spans="1:9" x14ac:dyDescent="0.3">
      <c r="A53" s="10"/>
      <c r="B53" s="108"/>
      <c r="C53" s="108"/>
      <c r="D53" s="108"/>
      <c r="E53" s="108"/>
      <c r="F53" s="108"/>
      <c r="G53" s="1310"/>
      <c r="H53" s="1311"/>
      <c r="I53" s="1313" t="s">
        <v>2966</v>
      </c>
    </row>
    <row r="54" spans="1:9" x14ac:dyDescent="0.3">
      <c r="A54" s="10"/>
      <c r="B54" s="108"/>
      <c r="C54" s="108"/>
      <c r="D54" s="108"/>
      <c r="E54" s="108"/>
      <c r="F54" s="108"/>
      <c r="G54" s="1310"/>
      <c r="H54" s="1311"/>
      <c r="I54" s="1312" t="s">
        <v>2967</v>
      </c>
    </row>
    <row r="55" spans="1:9" x14ac:dyDescent="0.3">
      <c r="A55" s="10"/>
      <c r="B55" s="108"/>
      <c r="C55" s="108"/>
      <c r="D55" s="108"/>
      <c r="E55" s="108"/>
      <c r="F55" s="108"/>
      <c r="G55" s="1310"/>
      <c r="H55" s="1311"/>
      <c r="I55" s="1312" t="s">
        <v>2968</v>
      </c>
    </row>
    <row r="56" spans="1:9" x14ac:dyDescent="0.3">
      <c r="A56" s="10"/>
      <c r="B56" s="108"/>
      <c r="C56" s="108"/>
      <c r="D56" s="108"/>
      <c r="E56" s="108"/>
      <c r="F56" s="108"/>
      <c r="G56" s="1310"/>
      <c r="H56" s="1311"/>
      <c r="I56" s="1313" t="s">
        <v>2969</v>
      </c>
    </row>
    <row r="57" spans="1:9" x14ac:dyDescent="0.3">
      <c r="A57" s="10"/>
      <c r="B57" s="108"/>
      <c r="C57" s="108"/>
      <c r="D57" s="108"/>
      <c r="E57" s="108"/>
      <c r="F57" s="108"/>
      <c r="G57" s="1310"/>
      <c r="H57" s="1311"/>
      <c r="I57" s="1312" t="s">
        <v>2970</v>
      </c>
    </row>
    <row r="58" spans="1:9" x14ac:dyDescent="0.3">
      <c r="A58" s="10"/>
      <c r="B58" s="108"/>
      <c r="C58" s="108"/>
      <c r="D58" s="108"/>
      <c r="E58" s="108"/>
      <c r="F58" s="108"/>
    </row>
    <row r="59" spans="1:9" x14ac:dyDescent="0.3">
      <c r="A59" s="10"/>
      <c r="B59" s="108"/>
      <c r="C59" s="108"/>
      <c r="D59" s="108"/>
      <c r="E59" s="108"/>
      <c r="F59" s="108"/>
    </row>
    <row r="60" spans="1:9" x14ac:dyDescent="0.3">
      <c r="A60" s="10"/>
      <c r="B60" s="108"/>
      <c r="C60" s="108"/>
      <c r="D60" s="108"/>
      <c r="E60" s="108"/>
      <c r="F60" s="108"/>
    </row>
    <row r="61" spans="1:9" x14ac:dyDescent="0.3">
      <c r="A61" s="10"/>
      <c r="B61" s="108"/>
      <c r="C61" s="108"/>
      <c r="D61" s="108"/>
      <c r="E61" s="108"/>
      <c r="F61" s="108"/>
    </row>
    <row r="62" spans="1:9" x14ac:dyDescent="0.3">
      <c r="A62" s="10"/>
      <c r="B62" s="108"/>
      <c r="C62" s="108"/>
      <c r="D62" s="108"/>
      <c r="E62" s="108"/>
      <c r="F62" s="108"/>
    </row>
    <row r="63" spans="1:9" x14ac:dyDescent="0.3">
      <c r="A63" s="10"/>
      <c r="B63" s="108"/>
      <c r="C63" s="108"/>
      <c r="D63" s="108"/>
      <c r="E63" s="108"/>
      <c r="F63" s="108"/>
    </row>
    <row r="64" spans="1:9" x14ac:dyDescent="0.3">
      <c r="A64" s="10"/>
      <c r="B64" s="108"/>
      <c r="C64" s="108"/>
      <c r="D64" s="108"/>
      <c r="E64" s="108"/>
      <c r="F64" s="108"/>
    </row>
    <row r="65" spans="1:6" x14ac:dyDescent="0.3">
      <c r="A65" s="10"/>
      <c r="B65" s="108"/>
      <c r="C65" s="108"/>
      <c r="D65" s="108"/>
      <c r="E65" s="108"/>
      <c r="F65" s="108"/>
    </row>
    <row r="66" spans="1:6" x14ac:dyDescent="0.3">
      <c r="A66" s="10"/>
      <c r="B66" s="108"/>
      <c r="C66" s="108"/>
      <c r="D66" s="108"/>
      <c r="E66" s="108"/>
      <c r="F66" s="108"/>
    </row>
    <row r="67" spans="1:6" x14ac:dyDescent="0.3">
      <c r="A67" s="10"/>
      <c r="B67" s="108"/>
      <c r="C67" s="108"/>
      <c r="D67" s="108"/>
      <c r="E67" s="108"/>
      <c r="F67" s="108"/>
    </row>
    <row r="68" spans="1:6" x14ac:dyDescent="0.3">
      <c r="A68" s="10"/>
      <c r="B68" s="108"/>
      <c r="C68" s="108"/>
      <c r="D68" s="108"/>
      <c r="E68" s="108"/>
      <c r="F68" s="108"/>
    </row>
    <row r="69" spans="1:6" x14ac:dyDescent="0.3">
      <c r="A69" s="10"/>
      <c r="B69" s="108"/>
      <c r="C69" s="108"/>
      <c r="D69" s="108"/>
      <c r="E69" s="108"/>
      <c r="F69" s="108"/>
    </row>
    <row r="70" spans="1:6" x14ac:dyDescent="0.3">
      <c r="A70" s="10"/>
      <c r="B70" s="108"/>
      <c r="C70" s="108"/>
      <c r="D70" s="108"/>
      <c r="E70" s="108"/>
      <c r="F70" s="108"/>
    </row>
    <row r="71" spans="1:6" x14ac:dyDescent="0.3">
      <c r="A71" s="10"/>
      <c r="B71" s="108"/>
      <c r="C71" s="108"/>
      <c r="D71" s="108"/>
      <c r="E71" s="108"/>
      <c r="F71" s="108"/>
    </row>
    <row r="72" spans="1:6" x14ac:dyDescent="0.3">
      <c r="A72" s="10"/>
      <c r="B72" s="108"/>
      <c r="C72" s="108"/>
      <c r="D72" s="108"/>
      <c r="E72" s="108"/>
      <c r="F72" s="108"/>
    </row>
    <row r="73" spans="1:6" x14ac:dyDescent="0.3">
      <c r="A73" s="10"/>
      <c r="B73" s="108"/>
      <c r="C73" s="108"/>
      <c r="D73" s="108"/>
      <c r="E73" s="108"/>
      <c r="F73" s="108"/>
    </row>
    <row r="74" spans="1:6" x14ac:dyDescent="0.3">
      <c r="A74" s="10"/>
      <c r="B74" s="108"/>
      <c r="C74" s="108"/>
      <c r="D74" s="108"/>
      <c r="E74" s="108"/>
      <c r="F74" s="108"/>
    </row>
    <row r="75" spans="1:6" x14ac:dyDescent="0.3">
      <c r="A75" s="10"/>
      <c r="B75" s="108"/>
      <c r="C75" s="108"/>
      <c r="D75" s="108"/>
      <c r="E75" s="108"/>
      <c r="F75" s="108"/>
    </row>
    <row r="76" spans="1:6" x14ac:dyDescent="0.3">
      <c r="A76" s="10"/>
      <c r="B76" s="108"/>
      <c r="C76" s="108"/>
      <c r="D76" s="108"/>
      <c r="E76" s="108"/>
      <c r="F76" s="108"/>
    </row>
    <row r="77" spans="1:6" x14ac:dyDescent="0.3">
      <c r="A77" s="10"/>
      <c r="B77" s="108"/>
      <c r="C77" s="108"/>
      <c r="D77" s="108"/>
      <c r="E77" s="108"/>
      <c r="F77" s="108"/>
    </row>
    <row r="78" spans="1:6" x14ac:dyDescent="0.3">
      <c r="A78" s="10"/>
      <c r="B78" s="108"/>
      <c r="C78" s="108"/>
      <c r="D78" s="108"/>
      <c r="E78" s="108"/>
      <c r="F78" s="108"/>
    </row>
    <row r="79" spans="1:6" x14ac:dyDescent="0.3">
      <c r="A79" s="10"/>
      <c r="B79" s="108"/>
      <c r="C79" s="108"/>
      <c r="D79" s="108"/>
      <c r="E79" s="108"/>
      <c r="F79" s="108"/>
    </row>
    <row r="80" spans="1:6" x14ac:dyDescent="0.3">
      <c r="A80" s="10"/>
      <c r="B80" s="108"/>
      <c r="C80" s="108"/>
      <c r="D80" s="108"/>
      <c r="E80" s="108"/>
      <c r="F80" s="108"/>
    </row>
    <row r="81" spans="1:6" x14ac:dyDescent="0.3">
      <c r="A81" s="10"/>
      <c r="B81" s="108"/>
      <c r="C81" s="108"/>
      <c r="D81" s="108"/>
      <c r="E81" s="108"/>
      <c r="F81" s="108"/>
    </row>
    <row r="82" spans="1:6" x14ac:dyDescent="0.3">
      <c r="A82" s="10"/>
      <c r="B82" s="108"/>
      <c r="C82" s="108"/>
      <c r="D82" s="108"/>
      <c r="E82" s="108"/>
      <c r="F82" s="108"/>
    </row>
    <row r="83" spans="1:6" x14ac:dyDescent="0.3">
      <c r="A83" s="10"/>
      <c r="B83" s="108"/>
      <c r="C83" s="108"/>
      <c r="D83" s="108"/>
      <c r="E83" s="108"/>
      <c r="F83" s="108"/>
    </row>
    <row r="84" spans="1:6" x14ac:dyDescent="0.3">
      <c r="A84" s="10"/>
      <c r="B84" s="108"/>
      <c r="C84" s="108"/>
      <c r="D84" s="108"/>
      <c r="E84" s="108"/>
      <c r="F84" s="108"/>
    </row>
    <row r="85" spans="1:6" x14ac:dyDescent="0.3">
      <c r="A85" s="10"/>
      <c r="B85" s="108"/>
      <c r="C85" s="108"/>
      <c r="D85" s="108"/>
      <c r="E85" s="108"/>
      <c r="F85" s="108"/>
    </row>
    <row r="86" spans="1:6" x14ac:dyDescent="0.3">
      <c r="A86" s="10"/>
      <c r="B86" s="108"/>
      <c r="C86" s="108"/>
      <c r="D86" s="108"/>
      <c r="E86" s="108"/>
      <c r="F86" s="108"/>
    </row>
    <row r="87" spans="1:6" x14ac:dyDescent="0.3">
      <c r="A87" s="10"/>
      <c r="B87" s="108"/>
      <c r="C87" s="108"/>
      <c r="D87" s="108"/>
      <c r="E87" s="108"/>
      <c r="F87" s="108"/>
    </row>
    <row r="88" spans="1:6" x14ac:dyDescent="0.3">
      <c r="A88" s="10"/>
      <c r="B88" s="108"/>
      <c r="C88" s="108"/>
      <c r="D88" s="108"/>
      <c r="E88" s="108"/>
      <c r="F88" s="108"/>
    </row>
    <row r="89" spans="1:6" x14ac:dyDescent="0.3">
      <c r="A89" s="10"/>
      <c r="B89" s="108"/>
      <c r="C89" s="108"/>
      <c r="D89" s="108"/>
      <c r="E89" s="108"/>
      <c r="F89" s="108"/>
    </row>
    <row r="90" spans="1:6" x14ac:dyDescent="0.3">
      <c r="A90" s="10"/>
      <c r="B90" s="108"/>
      <c r="C90" s="108"/>
      <c r="D90" s="108"/>
      <c r="E90" s="108"/>
      <c r="F90" s="108"/>
    </row>
    <row r="91" spans="1:6" x14ac:dyDescent="0.3">
      <c r="A91" s="10"/>
      <c r="B91" s="108"/>
      <c r="C91" s="108"/>
      <c r="D91" s="108"/>
      <c r="E91" s="108"/>
      <c r="F91" s="108"/>
    </row>
    <row r="92" spans="1:6" x14ac:dyDescent="0.3">
      <c r="A92" s="10"/>
      <c r="B92" s="108"/>
      <c r="C92" s="108"/>
      <c r="D92" s="108"/>
      <c r="E92" s="108"/>
      <c r="F92" s="108"/>
    </row>
    <row r="93" spans="1:6" x14ac:dyDescent="0.3">
      <c r="A93" s="10"/>
      <c r="B93" s="108"/>
      <c r="C93" s="108"/>
      <c r="D93" s="108"/>
      <c r="E93" s="108"/>
      <c r="F93" s="108"/>
    </row>
    <row r="94" spans="1:6" x14ac:dyDescent="0.3">
      <c r="A94" s="10"/>
      <c r="B94" s="108"/>
      <c r="C94" s="108"/>
      <c r="D94" s="108"/>
      <c r="E94" s="108"/>
      <c r="F94" s="108"/>
    </row>
    <row r="95" spans="1:6" x14ac:dyDescent="0.3">
      <c r="A95" s="10"/>
      <c r="B95" s="108"/>
      <c r="C95" s="108"/>
      <c r="D95" s="108"/>
      <c r="E95" s="108"/>
      <c r="F95" s="108"/>
    </row>
    <row r="96" spans="1:6" x14ac:dyDescent="0.3">
      <c r="A96" s="10"/>
      <c r="B96" s="108"/>
      <c r="C96" s="108"/>
      <c r="D96" s="108"/>
      <c r="E96" s="108"/>
      <c r="F96" s="108"/>
    </row>
    <row r="97" spans="1:6" x14ac:dyDescent="0.3">
      <c r="A97" s="10"/>
      <c r="B97" s="108"/>
      <c r="C97" s="108"/>
      <c r="D97" s="108"/>
      <c r="E97" s="108"/>
      <c r="F97" s="108"/>
    </row>
    <row r="98" spans="1:6" x14ac:dyDescent="0.3">
      <c r="A98" s="10"/>
      <c r="B98" s="108"/>
      <c r="C98" s="108"/>
      <c r="D98" s="108"/>
      <c r="E98" s="108"/>
      <c r="F98" s="108"/>
    </row>
    <row r="99" spans="1:6" x14ac:dyDescent="0.3">
      <c r="A99" s="10"/>
      <c r="B99" s="108"/>
      <c r="C99" s="108"/>
      <c r="D99" s="108"/>
      <c r="E99" s="108"/>
      <c r="F99" s="108"/>
    </row>
    <row r="100" spans="1:6" x14ac:dyDescent="0.3">
      <c r="A100" s="10"/>
      <c r="B100" s="108"/>
      <c r="C100" s="108"/>
      <c r="D100" s="108"/>
      <c r="E100" s="108"/>
      <c r="F100" s="108"/>
    </row>
    <row r="101" spans="1:6" x14ac:dyDescent="0.3">
      <c r="A101" s="10"/>
      <c r="B101" s="108"/>
      <c r="C101" s="108"/>
      <c r="D101" s="108"/>
      <c r="E101" s="108"/>
      <c r="F101" s="108"/>
    </row>
    <row r="102" spans="1:6" x14ac:dyDescent="0.3">
      <c r="A102" s="10"/>
      <c r="B102" s="108"/>
      <c r="C102" s="108"/>
      <c r="D102" s="108"/>
      <c r="E102" s="108"/>
      <c r="F102" s="108"/>
    </row>
    <row r="103" spans="1:6" x14ac:dyDescent="0.3">
      <c r="A103" s="10"/>
      <c r="B103" s="108"/>
      <c r="C103" s="108"/>
      <c r="D103" s="108"/>
      <c r="E103" s="108"/>
      <c r="F103" s="108"/>
    </row>
    <row r="104" spans="1:6" x14ac:dyDescent="0.3">
      <c r="A104" s="10"/>
      <c r="B104" s="108"/>
      <c r="C104" s="108"/>
      <c r="D104" s="108"/>
      <c r="E104" s="108"/>
      <c r="F104" s="108"/>
    </row>
    <row r="105" spans="1:6" x14ac:dyDescent="0.3">
      <c r="A105" s="10"/>
      <c r="B105" s="108"/>
      <c r="C105" s="108"/>
      <c r="D105" s="108"/>
      <c r="E105" s="108"/>
      <c r="F105" s="108"/>
    </row>
    <row r="106" spans="1:6" x14ac:dyDescent="0.3">
      <c r="A106" s="10"/>
      <c r="B106" s="108"/>
      <c r="C106" s="108"/>
      <c r="D106" s="108"/>
      <c r="E106" s="108"/>
      <c r="F106" s="108"/>
    </row>
    <row r="107" spans="1:6" x14ac:dyDescent="0.3">
      <c r="A107" s="10"/>
      <c r="B107" s="108"/>
      <c r="C107" s="108"/>
      <c r="D107" s="108"/>
      <c r="E107" s="108"/>
      <c r="F107" s="108"/>
    </row>
    <row r="108" spans="1:6" x14ac:dyDescent="0.3">
      <c r="A108" s="10"/>
      <c r="B108" s="108"/>
      <c r="C108" s="108"/>
      <c r="D108" s="108"/>
      <c r="E108" s="108"/>
      <c r="F108" s="108"/>
    </row>
    <row r="109" spans="1:6" x14ac:dyDescent="0.3">
      <c r="A109" s="10"/>
      <c r="B109" s="108"/>
      <c r="C109" s="108"/>
      <c r="D109" s="108"/>
      <c r="E109" s="108"/>
      <c r="F109" s="108"/>
    </row>
    <row r="110" spans="1:6" x14ac:dyDescent="0.3">
      <c r="A110" s="10"/>
      <c r="B110" s="108"/>
      <c r="C110" s="108"/>
      <c r="D110" s="108"/>
      <c r="E110" s="108"/>
      <c r="F110" s="108"/>
    </row>
    <row r="111" spans="1:6" x14ac:dyDescent="0.3">
      <c r="A111" s="10"/>
      <c r="B111" s="108"/>
      <c r="C111" s="108"/>
      <c r="D111" s="108"/>
      <c r="E111" s="108"/>
      <c r="F111" s="108"/>
    </row>
    <row r="112" spans="1:6" x14ac:dyDescent="0.3">
      <c r="A112" s="10"/>
      <c r="B112" s="108"/>
      <c r="C112" s="108"/>
      <c r="D112" s="108"/>
      <c r="E112" s="108"/>
      <c r="F112" s="108"/>
    </row>
    <row r="113" spans="1:6" x14ac:dyDescent="0.3">
      <c r="A113" s="10"/>
      <c r="B113" s="108"/>
      <c r="C113" s="108"/>
      <c r="D113" s="108"/>
      <c r="E113" s="108"/>
      <c r="F113" s="108"/>
    </row>
    <row r="114" spans="1:6" x14ac:dyDescent="0.3">
      <c r="A114" s="10"/>
      <c r="B114" s="108"/>
      <c r="C114" s="108"/>
      <c r="D114" s="108"/>
      <c r="E114" s="108"/>
      <c r="F114" s="108"/>
    </row>
    <row r="115" spans="1:6" x14ac:dyDescent="0.3">
      <c r="A115" s="10"/>
      <c r="B115" s="108"/>
      <c r="C115" s="108"/>
      <c r="D115" s="108"/>
      <c r="E115" s="108"/>
      <c r="F115" s="108"/>
    </row>
    <row r="116" spans="1:6" x14ac:dyDescent="0.3">
      <c r="A116" s="10"/>
      <c r="B116" s="108"/>
      <c r="C116" s="108"/>
      <c r="D116" s="108"/>
      <c r="E116" s="108"/>
      <c r="F116" s="108"/>
    </row>
    <row r="117" spans="1:6" x14ac:dyDescent="0.3">
      <c r="A117" s="10"/>
      <c r="B117" s="108"/>
      <c r="C117" s="108"/>
      <c r="D117" s="108"/>
      <c r="E117" s="108"/>
      <c r="F117" s="108"/>
    </row>
    <row r="118" spans="1:6" x14ac:dyDescent="0.3">
      <c r="A118" s="10"/>
      <c r="B118" s="108"/>
      <c r="C118" s="108"/>
      <c r="D118" s="108"/>
      <c r="E118" s="108"/>
      <c r="F118" s="108"/>
    </row>
    <row r="119" spans="1:6" x14ac:dyDescent="0.3">
      <c r="A119" s="10"/>
      <c r="B119" s="108"/>
      <c r="C119" s="108"/>
      <c r="D119" s="108"/>
      <c r="E119" s="108"/>
      <c r="F119" s="108"/>
    </row>
    <row r="120" spans="1:6" x14ac:dyDescent="0.3">
      <c r="A120" s="10"/>
      <c r="B120" s="108"/>
      <c r="C120" s="108"/>
      <c r="D120" s="108"/>
      <c r="E120" s="108"/>
      <c r="F120" s="108"/>
    </row>
    <row r="121" spans="1:6" x14ac:dyDescent="0.3">
      <c r="A121" s="10"/>
      <c r="B121" s="108"/>
      <c r="C121" s="108"/>
      <c r="D121" s="108"/>
      <c r="E121" s="108"/>
      <c r="F121" s="108"/>
    </row>
    <row r="122" spans="1:6" x14ac:dyDescent="0.3">
      <c r="A122" s="10"/>
      <c r="B122" s="108"/>
      <c r="C122" s="108"/>
      <c r="D122" s="108"/>
      <c r="E122" s="108"/>
      <c r="F122" s="108"/>
    </row>
    <row r="123" spans="1:6" x14ac:dyDescent="0.3">
      <c r="A123" s="10"/>
      <c r="B123" s="108"/>
      <c r="C123" s="108"/>
      <c r="D123" s="108"/>
      <c r="E123" s="108"/>
      <c r="F123" s="108"/>
    </row>
    <row r="124" spans="1:6" x14ac:dyDescent="0.3">
      <c r="A124" s="10"/>
      <c r="B124" s="108"/>
      <c r="C124" s="108"/>
      <c r="D124" s="108"/>
      <c r="E124" s="108"/>
      <c r="F124" s="108"/>
    </row>
    <row r="125" spans="1:6" x14ac:dyDescent="0.3">
      <c r="A125" s="10"/>
      <c r="B125" s="108"/>
      <c r="C125" s="108"/>
      <c r="D125" s="108"/>
      <c r="E125" s="108"/>
      <c r="F125" s="108"/>
    </row>
    <row r="126" spans="1:6" x14ac:dyDescent="0.3">
      <c r="A126" s="10"/>
      <c r="B126" s="108"/>
      <c r="C126" s="108"/>
      <c r="D126" s="108"/>
      <c r="E126" s="108"/>
      <c r="F126" s="108"/>
    </row>
    <row r="127" spans="1:6" x14ac:dyDescent="0.3">
      <c r="A127" s="10"/>
      <c r="B127" s="108"/>
      <c r="C127" s="108"/>
      <c r="D127" s="108"/>
      <c r="E127" s="108"/>
      <c r="F127" s="108"/>
    </row>
    <row r="128" spans="1:6" x14ac:dyDescent="0.3">
      <c r="A128" s="10"/>
      <c r="B128" s="108"/>
      <c r="C128" s="108"/>
      <c r="D128" s="108"/>
      <c r="E128" s="108"/>
      <c r="F128" s="108"/>
    </row>
    <row r="129" spans="1:6" x14ac:dyDescent="0.3">
      <c r="A129" s="10"/>
      <c r="B129" s="108"/>
      <c r="C129" s="108"/>
      <c r="D129" s="108"/>
      <c r="E129" s="108"/>
      <c r="F129" s="108"/>
    </row>
    <row r="130" spans="1:6" x14ac:dyDescent="0.3">
      <c r="A130" s="10"/>
      <c r="B130" s="108"/>
      <c r="C130" s="108"/>
      <c r="D130" s="108"/>
      <c r="E130" s="108"/>
      <c r="F130" s="108"/>
    </row>
    <row r="131" spans="1:6" x14ac:dyDescent="0.3">
      <c r="A131" s="10"/>
      <c r="B131" s="108"/>
      <c r="C131" s="108"/>
      <c r="D131" s="108"/>
      <c r="E131" s="108"/>
      <c r="F131" s="108"/>
    </row>
    <row r="132" spans="1:6" x14ac:dyDescent="0.3">
      <c r="A132" s="10"/>
      <c r="B132" s="108"/>
      <c r="C132" s="108"/>
      <c r="D132" s="108"/>
      <c r="E132" s="108"/>
      <c r="F132" s="108"/>
    </row>
    <row r="133" spans="1:6" x14ac:dyDescent="0.3">
      <c r="A133" s="10"/>
      <c r="B133" s="108"/>
      <c r="C133" s="108"/>
      <c r="D133" s="108"/>
      <c r="E133" s="108"/>
      <c r="F133" s="108"/>
    </row>
    <row r="134" spans="1:6" x14ac:dyDescent="0.3">
      <c r="A134" s="10"/>
      <c r="B134" s="108"/>
      <c r="C134" s="108"/>
      <c r="D134" s="108"/>
      <c r="E134" s="108"/>
      <c r="F134" s="108"/>
    </row>
    <row r="135" spans="1:6" x14ac:dyDescent="0.3">
      <c r="A135" s="10"/>
      <c r="B135" s="108"/>
      <c r="C135" s="108"/>
      <c r="D135" s="108"/>
      <c r="E135" s="108"/>
      <c r="F135" s="108"/>
    </row>
    <row r="136" spans="1:6" x14ac:dyDescent="0.3">
      <c r="A136" s="10"/>
      <c r="B136" s="108"/>
      <c r="C136" s="108"/>
      <c r="D136" s="108"/>
      <c r="E136" s="108"/>
      <c r="F136" s="108"/>
    </row>
    <row r="137" spans="1:6" x14ac:dyDescent="0.3">
      <c r="A137" s="10"/>
      <c r="B137" s="108"/>
      <c r="C137" s="108"/>
      <c r="D137" s="108"/>
      <c r="E137" s="108"/>
      <c r="F137" s="108"/>
    </row>
    <row r="138" spans="1:6" x14ac:dyDescent="0.3">
      <c r="A138" s="10"/>
      <c r="B138" s="108"/>
      <c r="C138" s="108"/>
      <c r="D138" s="108"/>
      <c r="E138" s="108"/>
      <c r="F138" s="108"/>
    </row>
    <row r="139" spans="1:6" x14ac:dyDescent="0.3">
      <c r="A139" s="10"/>
      <c r="B139" s="108"/>
      <c r="C139" s="108"/>
      <c r="D139" s="108"/>
      <c r="E139" s="108"/>
      <c r="F139" s="108"/>
    </row>
    <row r="140" spans="1:6" x14ac:dyDescent="0.3">
      <c r="A140" s="10"/>
      <c r="B140" s="108"/>
      <c r="C140" s="108"/>
      <c r="D140" s="108"/>
      <c r="E140" s="108"/>
      <c r="F140" s="108"/>
    </row>
    <row r="141" spans="1:6" x14ac:dyDescent="0.3">
      <c r="A141" s="10"/>
      <c r="B141" s="108"/>
      <c r="C141" s="108"/>
      <c r="D141" s="108"/>
      <c r="E141" s="108"/>
      <c r="F141" s="108"/>
    </row>
    <row r="142" spans="1:6" x14ac:dyDescent="0.3">
      <c r="A142" s="10"/>
      <c r="B142" s="108"/>
      <c r="C142" s="108"/>
      <c r="D142" s="108"/>
      <c r="E142" s="108"/>
      <c r="F142" s="108"/>
    </row>
    <row r="143" spans="1:6" x14ac:dyDescent="0.3">
      <c r="A143" s="10"/>
      <c r="B143" s="108"/>
      <c r="C143" s="108"/>
      <c r="D143" s="108"/>
      <c r="E143" s="108"/>
      <c r="F143" s="108"/>
    </row>
    <row r="144" spans="1:6" x14ac:dyDescent="0.3">
      <c r="A144" s="10"/>
      <c r="B144" s="108"/>
      <c r="C144" s="108"/>
      <c r="D144" s="108"/>
      <c r="E144" s="108"/>
      <c r="F144" s="108"/>
    </row>
    <row r="145" spans="1:6" x14ac:dyDescent="0.3">
      <c r="A145" s="10"/>
      <c r="B145" s="108"/>
      <c r="C145" s="108"/>
      <c r="D145" s="108"/>
      <c r="E145" s="108"/>
      <c r="F145" s="108"/>
    </row>
    <row r="146" spans="1:6" x14ac:dyDescent="0.3">
      <c r="A146" s="10"/>
      <c r="B146" s="108"/>
      <c r="C146" s="108"/>
      <c r="D146" s="108"/>
      <c r="E146" s="108"/>
      <c r="F146" s="108"/>
    </row>
    <row r="147" spans="1:6" x14ac:dyDescent="0.3">
      <c r="A147" s="10"/>
      <c r="B147" s="108"/>
      <c r="C147" s="108"/>
      <c r="D147" s="108"/>
      <c r="E147" s="108"/>
      <c r="F147" s="108"/>
    </row>
    <row r="148" spans="1:6" x14ac:dyDescent="0.3">
      <c r="A148" s="10"/>
      <c r="B148" s="108"/>
      <c r="C148" s="108"/>
      <c r="D148" s="108"/>
      <c r="E148" s="108"/>
      <c r="F148" s="108"/>
    </row>
    <row r="149" spans="1:6" x14ac:dyDescent="0.3">
      <c r="A149" s="10"/>
      <c r="B149" s="108"/>
      <c r="C149" s="108"/>
      <c r="D149" s="108"/>
      <c r="E149" s="108"/>
      <c r="F149" s="108"/>
    </row>
    <row r="150" spans="1:6" x14ac:dyDescent="0.3">
      <c r="A150" s="10"/>
      <c r="B150" s="108"/>
      <c r="C150" s="108"/>
      <c r="D150" s="108"/>
      <c r="E150" s="108"/>
      <c r="F150" s="108"/>
    </row>
    <row r="151" spans="1:6" x14ac:dyDescent="0.3">
      <c r="A151" s="10"/>
      <c r="B151" s="108"/>
      <c r="C151" s="108"/>
      <c r="D151" s="108"/>
      <c r="E151" s="108"/>
      <c r="F151" s="108"/>
    </row>
    <row r="152" spans="1:6" x14ac:dyDescent="0.3">
      <c r="A152" s="10"/>
      <c r="B152" s="108"/>
      <c r="C152" s="108"/>
      <c r="D152" s="108"/>
      <c r="E152" s="108"/>
      <c r="F152" s="108"/>
    </row>
    <row r="153" spans="1:6" x14ac:dyDescent="0.3">
      <c r="A153" s="10"/>
      <c r="B153" s="108"/>
      <c r="C153" s="108"/>
      <c r="D153" s="108"/>
      <c r="E153" s="108"/>
      <c r="F153" s="108"/>
    </row>
    <row r="154" spans="1:6" x14ac:dyDescent="0.3">
      <c r="A154" s="10"/>
      <c r="B154" s="108"/>
      <c r="C154" s="108"/>
      <c r="D154" s="108"/>
      <c r="E154" s="108"/>
      <c r="F154" s="108"/>
    </row>
    <row r="155" spans="1:6" x14ac:dyDescent="0.3">
      <c r="A155" s="10"/>
      <c r="B155" s="108"/>
      <c r="C155" s="108"/>
      <c r="D155" s="108"/>
      <c r="E155" s="108"/>
      <c r="F155" s="108"/>
    </row>
    <row r="156" spans="1:6" x14ac:dyDescent="0.3">
      <c r="A156" s="10"/>
      <c r="B156" s="108"/>
      <c r="C156" s="108"/>
      <c r="D156" s="108"/>
      <c r="E156" s="108"/>
      <c r="F156" s="108"/>
    </row>
    <row r="157" spans="1:6" x14ac:dyDescent="0.3">
      <c r="A157" s="10"/>
      <c r="B157" s="108"/>
      <c r="C157" s="108"/>
      <c r="D157" s="108"/>
      <c r="E157" s="108"/>
      <c r="F157" s="108"/>
    </row>
    <row r="158" spans="1:6" x14ac:dyDescent="0.3">
      <c r="A158" s="10"/>
      <c r="B158" s="108"/>
      <c r="C158" s="108"/>
      <c r="D158" s="108"/>
      <c r="E158" s="108"/>
      <c r="F158" s="108"/>
    </row>
    <row r="159" spans="1:6" x14ac:dyDescent="0.3">
      <c r="A159" s="10"/>
      <c r="B159" s="108"/>
      <c r="C159" s="108"/>
      <c r="D159" s="108"/>
      <c r="E159" s="108"/>
      <c r="F159" s="108"/>
    </row>
    <row r="160" spans="1:6" x14ac:dyDescent="0.3">
      <c r="A160" s="10"/>
      <c r="B160" s="108"/>
      <c r="C160" s="108"/>
      <c r="D160" s="108"/>
      <c r="E160" s="108"/>
      <c r="F160" s="108"/>
    </row>
    <row r="161" spans="1:6" x14ac:dyDescent="0.3">
      <c r="A161" s="10"/>
      <c r="B161" s="108"/>
      <c r="C161" s="108"/>
      <c r="D161" s="108"/>
      <c r="E161" s="108"/>
      <c r="F161" s="108"/>
    </row>
    <row r="162" spans="1:6" x14ac:dyDescent="0.3">
      <c r="A162" s="10"/>
      <c r="B162" s="108"/>
      <c r="C162" s="108"/>
      <c r="D162" s="108"/>
      <c r="E162" s="108"/>
      <c r="F162" s="108"/>
    </row>
    <row r="163" spans="1:6" x14ac:dyDescent="0.3">
      <c r="A163" s="10"/>
      <c r="B163" s="108"/>
      <c r="C163" s="108"/>
      <c r="D163" s="108"/>
      <c r="E163" s="108"/>
      <c r="F163" s="108"/>
    </row>
    <row r="164" spans="1:6" x14ac:dyDescent="0.3">
      <c r="A164" s="10"/>
      <c r="B164" s="108"/>
      <c r="C164" s="108"/>
      <c r="D164" s="108"/>
      <c r="E164" s="108"/>
      <c r="F164" s="108"/>
    </row>
    <row r="165" spans="1:6" x14ac:dyDescent="0.3">
      <c r="A165" s="10"/>
      <c r="B165" s="108"/>
      <c r="C165" s="108"/>
      <c r="D165" s="108"/>
      <c r="E165" s="108"/>
      <c r="F165" s="108"/>
    </row>
    <row r="166" spans="1:6" x14ac:dyDescent="0.3">
      <c r="A166" s="10"/>
      <c r="B166" s="108"/>
      <c r="C166" s="108"/>
      <c r="D166" s="108"/>
      <c r="E166" s="108"/>
      <c r="F166" s="108"/>
    </row>
    <row r="167" spans="1:6" x14ac:dyDescent="0.3">
      <c r="A167" s="10"/>
      <c r="B167" s="108"/>
      <c r="C167" s="108"/>
      <c r="D167" s="108"/>
      <c r="E167" s="108"/>
      <c r="F167" s="108"/>
    </row>
    <row r="168" spans="1:6" x14ac:dyDescent="0.3">
      <c r="A168" s="10"/>
      <c r="B168" s="108"/>
      <c r="C168" s="108"/>
      <c r="D168" s="108"/>
      <c r="E168" s="108"/>
      <c r="F168" s="108"/>
    </row>
    <row r="169" spans="1:6" x14ac:dyDescent="0.3">
      <c r="A169" s="10"/>
      <c r="B169" s="108"/>
      <c r="C169" s="108"/>
      <c r="D169" s="108"/>
      <c r="E169" s="108"/>
      <c r="F169" s="108"/>
    </row>
    <row r="170" spans="1:6" x14ac:dyDescent="0.3">
      <c r="A170" s="10"/>
      <c r="B170" s="108"/>
      <c r="C170" s="108"/>
      <c r="D170" s="108"/>
      <c r="E170" s="108"/>
      <c r="F170" s="108"/>
    </row>
    <row r="171" spans="1:6" x14ac:dyDescent="0.3">
      <c r="A171" s="10"/>
      <c r="B171" s="108"/>
      <c r="C171" s="108"/>
      <c r="D171" s="108"/>
      <c r="E171" s="108"/>
      <c r="F171" s="108"/>
    </row>
    <row r="172" spans="1:6" x14ac:dyDescent="0.3">
      <c r="A172" s="10"/>
      <c r="B172" s="108"/>
      <c r="C172" s="108"/>
      <c r="D172" s="108"/>
      <c r="E172" s="108"/>
      <c r="F172" s="108"/>
    </row>
    <row r="173" spans="1:6" x14ac:dyDescent="0.3">
      <c r="A173" s="10"/>
      <c r="B173" s="108"/>
      <c r="C173" s="108"/>
      <c r="D173" s="108"/>
      <c r="E173" s="108"/>
      <c r="F173" s="108"/>
    </row>
    <row r="174" spans="1:6" x14ac:dyDescent="0.3">
      <c r="A174" s="10"/>
      <c r="B174" s="108"/>
      <c r="C174" s="108"/>
      <c r="D174" s="108"/>
      <c r="E174" s="108"/>
      <c r="F174" s="108"/>
    </row>
    <row r="175" spans="1:6" x14ac:dyDescent="0.3">
      <c r="A175" s="10"/>
      <c r="B175" s="108"/>
      <c r="C175" s="108"/>
      <c r="D175" s="108"/>
      <c r="E175" s="108"/>
      <c r="F175" s="108"/>
    </row>
    <row r="176" spans="1:6" x14ac:dyDescent="0.3">
      <c r="A176" s="10"/>
      <c r="B176" s="108"/>
      <c r="C176" s="108"/>
      <c r="D176" s="108"/>
      <c r="E176" s="108"/>
      <c r="F176" s="108"/>
    </row>
    <row r="177" spans="1:6" x14ac:dyDescent="0.3">
      <c r="A177" s="1172"/>
      <c r="B177" s="1272"/>
      <c r="C177" s="1172"/>
      <c r="D177" s="1172"/>
      <c r="E177" s="1172"/>
      <c r="F177" s="1172"/>
    </row>
  </sheetData>
  <mergeCells count="2">
    <mergeCell ref="A7:F7"/>
    <mergeCell ref="G7:I7"/>
  </mergeCells>
  <conditionalFormatting sqref="A8:J8">
    <cfRule type="expression" dxfId="34" priority="1">
      <formula>IF(INDEX(VAD_nMeasCropForageQuality,COLUMN(A8),5)&gt;0,TRUE(),FALSE())</formula>
    </cfRule>
  </conditionalFormatting>
  <dataValidations count="15">
    <dataValidation allowBlank="1" showInputMessage="1" showErrorMessage="1" prompt="Enter the Standard Deviation of this measurement if you entered a Mean on the left." sqref="J8"/>
    <dataValidation type="list" allowBlank="1" showInputMessage="1" showErrorMessage="1" sqref="I9:I140">
      <formula1>CropQuality</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22">
      <formula1>Plant_Fraction</formula1>
    </dataValidation>
    <dataValidation type="list" allowBlank="1" showInputMessage="1" showErrorMessage="1" sqref="D9:D22">
      <formula1>Growth_Stage</formula1>
    </dataValidation>
    <dataValidation type="list" allowBlank="1" showInputMessage="1" showErrorMessage="1" sqref="F30:F928">
      <formula1>Harvested_Fraction</formula1>
    </dataValidation>
    <dataValidation type="list" allowBlank="1" showInputMessage="1" showErrorMessage="1" sqref="C30:C1428 C9:C22">
      <formula1>TreatmentID</formula1>
    </dataValidation>
    <dataValidation type="list" allowBlank="1" showInputMessage="1" showErrorMessage="1" sqref="A30:A1428 A9:A22">
      <formula1>Exp_UnitID</formula1>
    </dataValidation>
    <dataValidation type="list" allowBlank="1" showInputMessage="1" showErrorMessage="1" sqref="A1429:A65464 C1429:C65464 D30:D1054">
      <formula1>#REF!</formula1>
    </dataValidation>
    <dataValidation type="list" allowBlank="1" showInputMessage="1" showErrorMessage="1" sqref="E1 E7 E30:E1048576 E9:E22">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C23:C29"/>
    <dataValidation allowBlank="1" showInputMessage="1" showErrorMessage="1" prompt="Enter unique experimental identifier from drop down list based on Exp_UnitID column from ExperUnits sheet._x000a_" sqref="A8 A23:A29"/>
    <dataValidation allowBlank="1" showInputMessage="1" showErrorMessage="1" prompt="Enter the date that the harvesting event occurred." sqref="B8 B23:B29"/>
    <dataValidation allowBlank="1" showInputMessage="1" showErrorMessage="1" prompt="Enter specifically what was harvested. You may add more choices to the drop down menu on page &quot;DropDownLists&quot; tab_x000a__x000a_" sqref="F8 F23:F29"/>
    <dataValidation allowBlank="1" showInputMessage="1" showErrorMessage="1" prompt="Select growth stage from the drop down list." sqref="D8 D23:D29"/>
    <dataValidation allowBlank="1" showInputMessage="1" showErrorMessage="1" prompt="Select crop  from the drop down list, or if missing, add your crop to the list in the appropriate column located on the DropDownLists worksheet." sqref="E8 E23:E29"/>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G15" sqref="G15"/>
    </sheetView>
  </sheetViews>
  <sheetFormatPr defaultColWidth="8.88671875" defaultRowHeight="13.2" x14ac:dyDescent="0.25"/>
  <cols>
    <col min="1" max="1" width="12.5546875" style="316" customWidth="1"/>
    <col min="2" max="2" width="14.33203125" style="313" customWidth="1"/>
    <col min="3" max="3" width="14.33203125" style="947" customWidth="1"/>
    <col min="4" max="4" width="11.33203125" style="316" customWidth="1"/>
    <col min="5" max="5" width="15.6640625" style="316" customWidth="1"/>
    <col min="6" max="6" width="20.33203125" style="316" customWidth="1"/>
    <col min="7" max="7" width="15.5546875" style="314" customWidth="1"/>
    <col min="8" max="8" width="13.6640625" style="314" customWidth="1"/>
    <col min="9" max="12" width="13.5546875" style="314" customWidth="1"/>
    <col min="13" max="13" width="11.5546875" style="314" customWidth="1"/>
    <col min="14" max="14" width="12.44140625" style="314" customWidth="1"/>
    <col min="15" max="15" width="27.33203125" style="314" customWidth="1"/>
    <col min="16" max="16" width="11.6640625" style="314" customWidth="1"/>
    <col min="17" max="17" width="12.33203125" style="314" customWidth="1"/>
    <col min="18" max="18" width="14" style="314" customWidth="1"/>
    <col min="19" max="19" width="13.5546875" style="314" customWidth="1"/>
    <col min="20" max="20" width="16.88671875" style="314" customWidth="1"/>
    <col min="21" max="21" width="16.5546875" style="314" customWidth="1"/>
    <col min="22" max="22" width="26.33203125" style="314" customWidth="1"/>
    <col min="23" max="16384" width="8.88671875" style="314"/>
  </cols>
  <sheetData>
    <row r="1" spans="1:23" s="442" customFormat="1" ht="18" x14ac:dyDescent="0.35">
      <c r="A1" s="711" t="s">
        <v>553</v>
      </c>
      <c r="B1" s="268"/>
      <c r="C1" s="941"/>
      <c r="D1" s="714"/>
      <c r="E1" s="714"/>
      <c r="F1" s="714"/>
      <c r="G1" s="105"/>
      <c r="H1" s="89"/>
      <c r="I1" s="105"/>
      <c r="J1" s="89"/>
      <c r="K1" s="105"/>
      <c r="L1" s="105"/>
      <c r="M1" s="105"/>
      <c r="N1" s="105"/>
      <c r="O1" s="105"/>
      <c r="P1" s="214"/>
      <c r="Q1" s="92"/>
      <c r="R1" s="105"/>
      <c r="S1" s="105"/>
      <c r="T1" s="105"/>
      <c r="U1" s="105"/>
      <c r="V1" s="188"/>
    </row>
    <row r="2" spans="1:23" s="442" customFormat="1" ht="15.75" customHeight="1" x14ac:dyDescent="0.3">
      <c r="A2" s="887" t="s">
        <v>617</v>
      </c>
      <c r="B2" s="67"/>
      <c r="C2" s="942"/>
      <c r="D2" s="615"/>
      <c r="E2" s="882"/>
      <c r="F2" s="882"/>
      <c r="G2" s="882"/>
      <c r="H2" s="1579" t="s">
        <v>1552</v>
      </c>
      <c r="I2" s="63"/>
      <c r="J2" s="1579" t="s">
        <v>1552</v>
      </c>
      <c r="K2" s="63"/>
      <c r="L2" s="1582" t="s">
        <v>1552</v>
      </c>
      <c r="M2" s="63"/>
      <c r="N2" s="63"/>
      <c r="O2" s="63"/>
      <c r="P2" s="482"/>
      <c r="Q2" s="891" t="s">
        <v>538</v>
      </c>
      <c r="R2" s="891" t="s">
        <v>538</v>
      </c>
      <c r="S2" s="891" t="s">
        <v>538</v>
      </c>
      <c r="T2" s="891" t="s">
        <v>538</v>
      </c>
      <c r="U2" s="891" t="s">
        <v>538</v>
      </c>
      <c r="V2" s="911" t="s">
        <v>538</v>
      </c>
    </row>
    <row r="3" spans="1:23" s="442" customFormat="1" ht="12.75" customHeight="1" x14ac:dyDescent="0.3">
      <c r="A3" s="560"/>
      <c r="B3" s="273"/>
      <c r="C3" s="943"/>
      <c r="D3" s="615"/>
      <c r="E3" s="883"/>
      <c r="F3" s="883"/>
      <c r="G3" s="883"/>
      <c r="H3" s="1579"/>
      <c r="I3" s="63"/>
      <c r="J3" s="1579"/>
      <c r="K3" s="63"/>
      <c r="L3" s="1579"/>
      <c r="M3" s="63"/>
      <c r="N3" s="63"/>
      <c r="O3" s="63"/>
      <c r="P3" s="482"/>
      <c r="Q3" s="63"/>
      <c r="R3" s="63"/>
      <c r="S3" s="63"/>
      <c r="T3" s="63"/>
      <c r="U3" s="63"/>
      <c r="V3" s="325"/>
    </row>
    <row r="4" spans="1:23" s="442" customFormat="1" ht="15" customHeight="1" x14ac:dyDescent="0.3">
      <c r="A4" s="73"/>
      <c r="B4" s="67"/>
      <c r="C4" s="942"/>
      <c r="D4" s="73"/>
      <c r="E4" s="73"/>
      <c r="F4" s="73"/>
      <c r="G4" s="63"/>
      <c r="H4" s="1579"/>
      <c r="I4" s="63"/>
      <c r="J4" s="1579"/>
      <c r="K4" s="63"/>
      <c r="L4" s="1579"/>
      <c r="M4" s="63"/>
      <c r="N4" s="63"/>
      <c r="O4" s="63"/>
      <c r="P4" s="483"/>
      <c r="Q4" s="63"/>
      <c r="R4" s="63"/>
      <c r="S4" s="63"/>
      <c r="T4" s="63"/>
      <c r="U4" s="63"/>
      <c r="V4" s="325"/>
    </row>
    <row r="5" spans="1:23" s="442" customFormat="1" ht="16.5" customHeight="1" x14ac:dyDescent="0.3">
      <c r="A5" s="1577" t="s">
        <v>343</v>
      </c>
      <c r="B5" s="1578"/>
      <c r="C5" s="1578"/>
      <c r="D5" s="1578"/>
      <c r="E5" s="728" t="s">
        <v>469</v>
      </c>
      <c r="F5" s="729"/>
      <c r="G5" s="912"/>
      <c r="H5" s="1579"/>
      <c r="I5" s="484"/>
      <c r="J5" s="1579"/>
      <c r="K5" s="484"/>
      <c r="L5" s="1579"/>
      <c r="M5" s="485"/>
      <c r="N5" s="485"/>
      <c r="O5" s="485"/>
      <c r="P5" s="486"/>
      <c r="Q5" s="484"/>
      <c r="R5" s="484"/>
      <c r="S5" s="484"/>
      <c r="T5" s="485"/>
      <c r="U5" s="485"/>
      <c r="V5" s="487"/>
    </row>
    <row r="6" spans="1:23" s="490" customFormat="1" ht="14.25" customHeight="1" x14ac:dyDescent="0.3">
      <c r="A6" s="25"/>
      <c r="B6" s="256" t="s">
        <v>116</v>
      </c>
      <c r="C6" s="944"/>
      <c r="D6" s="25"/>
      <c r="E6" s="730"/>
      <c r="F6" s="730"/>
      <c r="G6" s="488"/>
      <c r="H6" s="1579"/>
      <c r="I6" s="488"/>
      <c r="J6" s="1579"/>
      <c r="K6" s="488"/>
      <c r="L6" s="1579"/>
      <c r="M6" s="489"/>
      <c r="N6" s="489"/>
      <c r="P6" s="491"/>
      <c r="Q6" s="488"/>
      <c r="R6" s="488"/>
      <c r="S6" s="488"/>
      <c r="T6" s="489"/>
      <c r="U6" s="489"/>
      <c r="V6" s="492"/>
    </row>
    <row r="7" spans="1:23" s="442" customFormat="1" ht="18.75" customHeight="1" x14ac:dyDescent="0.35">
      <c r="A7" s="641"/>
      <c r="B7" s="67"/>
      <c r="C7" s="945"/>
      <c r="D7" s="641"/>
      <c r="E7" s="798" t="str">
        <f>HYPERLINK("#DropDownLists!K6","Add to this list")</f>
        <v>Add to this list</v>
      </c>
      <c r="F7" s="798" t="str">
        <f>HYPERLINK("#DropDownLists!I6","Add to this list")</f>
        <v>Add to this list</v>
      </c>
      <c r="G7" s="65" t="s">
        <v>98</v>
      </c>
      <c r="H7" s="1579"/>
      <c r="I7" s="65" t="s">
        <v>99</v>
      </c>
      <c r="J7" s="1579"/>
      <c r="K7" s="65" t="s">
        <v>99</v>
      </c>
      <c r="L7" s="1579"/>
      <c r="M7" s="1583" t="s">
        <v>100</v>
      </c>
      <c r="N7" s="1584"/>
      <c r="O7" s="493" t="s">
        <v>181</v>
      </c>
      <c r="P7" s="494" t="s">
        <v>46</v>
      </c>
      <c r="Q7" s="495" t="s">
        <v>98</v>
      </c>
      <c r="R7" s="65" t="s">
        <v>99</v>
      </c>
      <c r="S7" s="65" t="s">
        <v>99</v>
      </c>
      <c r="T7" s="1580" t="s">
        <v>1758</v>
      </c>
      <c r="U7" s="1581"/>
      <c r="V7" s="496" t="s">
        <v>181</v>
      </c>
    </row>
    <row r="8" spans="1:23" s="442" customFormat="1" ht="39.75" customHeight="1" thickBot="1" x14ac:dyDescent="0.35">
      <c r="A8" s="18" t="s">
        <v>1637</v>
      </c>
      <c r="B8" s="20" t="s">
        <v>35</v>
      </c>
      <c r="C8" s="946" t="s">
        <v>198</v>
      </c>
      <c r="D8" s="7" t="s">
        <v>1598</v>
      </c>
      <c r="E8" s="7" t="s">
        <v>77</v>
      </c>
      <c r="F8" s="7" t="s">
        <v>1749</v>
      </c>
      <c r="G8" s="39" t="s">
        <v>1926</v>
      </c>
      <c r="H8" s="6" t="s">
        <v>2370</v>
      </c>
      <c r="I8" s="6" t="s">
        <v>1928</v>
      </c>
      <c r="J8" s="6" t="s">
        <v>1981</v>
      </c>
      <c r="K8" s="6" t="s">
        <v>1930</v>
      </c>
      <c r="L8" s="6" t="s">
        <v>1982</v>
      </c>
      <c r="M8" s="6" t="s">
        <v>1750</v>
      </c>
      <c r="N8" s="6" t="s">
        <v>1751</v>
      </c>
      <c r="O8" s="6" t="s">
        <v>1752</v>
      </c>
      <c r="P8" s="469" t="s">
        <v>1753</v>
      </c>
      <c r="Q8" s="6" t="s">
        <v>1932</v>
      </c>
      <c r="R8" s="6" t="s">
        <v>1983</v>
      </c>
      <c r="S8" s="6" t="s">
        <v>1984</v>
      </c>
      <c r="T8" s="6" t="s">
        <v>1754</v>
      </c>
      <c r="U8" s="6" t="s">
        <v>1755</v>
      </c>
      <c r="V8" s="6" t="s">
        <v>1756</v>
      </c>
      <c r="W8" s="954"/>
    </row>
  </sheetData>
  <dataConsolidate/>
  <mergeCells count="6">
    <mergeCell ref="A5:D5"/>
    <mergeCell ref="H2:H7"/>
    <mergeCell ref="J2:J7"/>
    <mergeCell ref="T7:U7"/>
    <mergeCell ref="L2:L7"/>
    <mergeCell ref="M7:N7"/>
  </mergeCells>
  <phoneticPr fontId="0" type="noConversion"/>
  <conditionalFormatting sqref="A8:V8">
    <cfRule type="expression" dxfId="33"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CZ459"/>
  <sheetViews>
    <sheetView workbookViewId="0">
      <pane xSplit="6" ySplit="8" topLeftCell="G9" activePane="bottomRight" state="frozen"/>
      <selection pane="topRight" activeCell="G1" sqref="G1"/>
      <selection pane="bottomLeft" activeCell="A9" sqref="A9"/>
      <selection pane="bottomRight" activeCell="H9" sqref="H9"/>
    </sheetView>
  </sheetViews>
  <sheetFormatPr defaultColWidth="8.88671875" defaultRowHeight="13.2" x14ac:dyDescent="0.25"/>
  <cols>
    <col min="1" max="1" width="12.44140625" style="316" customWidth="1"/>
    <col min="2" max="2" width="13" style="313" customWidth="1"/>
    <col min="3" max="3" width="7.5546875" style="316" customWidth="1"/>
    <col min="4" max="4" width="9.5546875" style="316" customWidth="1"/>
    <col min="5" max="5" width="15.33203125" style="316" customWidth="1"/>
    <col min="6" max="6" width="27" style="316" customWidth="1"/>
    <col min="7" max="7" width="10" style="314" customWidth="1"/>
    <col min="8" max="8" width="16.6640625" style="316" customWidth="1"/>
    <col min="9" max="9" width="20.5546875" style="316" customWidth="1"/>
    <col min="10" max="10" width="21.88671875" style="1274" customWidth="1"/>
    <col min="11" max="11" width="10.6640625" style="314" customWidth="1"/>
    <col min="12" max="12" width="10.6640625" style="1274" customWidth="1"/>
    <col min="13" max="13" width="10.6640625" style="314" customWidth="1"/>
    <col min="14" max="27" width="10.6640625" style="1274" customWidth="1"/>
    <col min="28" max="28" width="10.6640625" style="314" customWidth="1"/>
    <col min="29" max="29" width="10.6640625" style="1274" customWidth="1"/>
    <col min="30" max="41" width="10.6640625" style="1171" customWidth="1"/>
    <col min="42" max="104" width="10.6640625" style="314" customWidth="1"/>
    <col min="105" max="16384" width="8.88671875" style="314"/>
  </cols>
  <sheetData>
    <row r="1" spans="1:104" s="442" customFormat="1" ht="17.399999999999999" x14ac:dyDescent="0.3">
      <c r="A1" s="1294" t="s">
        <v>2971</v>
      </c>
      <c r="B1" s="1295"/>
      <c r="C1" s="1296"/>
      <c r="D1" s="1296"/>
      <c r="E1" s="1296"/>
      <c r="F1" s="1296"/>
      <c r="G1" s="497"/>
      <c r="H1" s="497"/>
      <c r="I1" s="497"/>
      <c r="J1" s="497"/>
      <c r="K1" s="497"/>
      <c r="L1" s="497"/>
      <c r="M1" s="497"/>
      <c r="N1" s="497"/>
      <c r="O1" s="497"/>
      <c r="P1" s="497"/>
      <c r="Q1" s="497"/>
      <c r="R1" s="497"/>
      <c r="S1" s="497"/>
      <c r="T1" s="497"/>
      <c r="U1" s="497"/>
      <c r="V1" s="497"/>
      <c r="W1" s="497"/>
      <c r="X1" s="497"/>
      <c r="Y1" s="497"/>
      <c r="Z1" s="497"/>
      <c r="AA1" s="497"/>
      <c r="AB1" s="497"/>
      <c r="AC1" s="497"/>
      <c r="AD1" s="497"/>
      <c r="AE1" s="497"/>
      <c r="AF1" s="497"/>
      <c r="AG1" s="497"/>
      <c r="AH1" s="497"/>
      <c r="AI1" s="497"/>
      <c r="AJ1" s="497"/>
      <c r="AK1" s="497"/>
      <c r="AL1" s="497"/>
      <c r="AM1" s="497"/>
      <c r="AN1" s="497"/>
      <c r="AO1" s="497"/>
      <c r="AP1" s="497"/>
      <c r="AQ1" s="497"/>
      <c r="AR1" s="497"/>
      <c r="AS1" s="497"/>
      <c r="AT1" s="497"/>
      <c r="AU1" s="497"/>
      <c r="AV1" s="497"/>
      <c r="AW1" s="497"/>
      <c r="AX1" s="497"/>
      <c r="AY1" s="497"/>
      <c r="AZ1" s="497"/>
      <c r="BA1" s="497"/>
      <c r="BB1" s="497"/>
      <c r="BC1" s="497"/>
      <c r="BD1" s="497"/>
      <c r="BE1" s="498"/>
      <c r="BF1" s="498"/>
      <c r="BG1" s="498"/>
      <c r="BH1" s="498"/>
      <c r="BI1" s="498"/>
      <c r="BJ1" s="498"/>
      <c r="BK1" s="498"/>
      <c r="BL1" s="498"/>
      <c r="BM1" s="498"/>
      <c r="BN1" s="498"/>
      <c r="BO1" s="498"/>
      <c r="BP1" s="498"/>
      <c r="BQ1" s="498"/>
      <c r="BR1" s="498"/>
      <c r="BS1" s="498"/>
      <c r="BT1" s="498"/>
      <c r="BU1" s="498"/>
      <c r="BV1" s="498"/>
      <c r="BW1" s="498"/>
      <c r="BX1" s="498"/>
      <c r="BY1" s="498"/>
      <c r="BZ1" s="498"/>
      <c r="CA1" s="498"/>
      <c r="CB1" s="498"/>
      <c r="CC1" s="498"/>
      <c r="CD1" s="498"/>
      <c r="CE1" s="498"/>
      <c r="CF1" s="498"/>
      <c r="CG1" s="498"/>
      <c r="CH1" s="498"/>
      <c r="CI1" s="498"/>
      <c r="CJ1" s="498"/>
      <c r="CK1" s="498"/>
      <c r="CL1" s="498"/>
      <c r="CM1" s="498"/>
      <c r="CN1" s="498"/>
      <c r="CO1" s="498"/>
      <c r="CP1" s="498"/>
      <c r="CQ1" s="498"/>
      <c r="CR1" s="498"/>
      <c r="CS1" s="498"/>
      <c r="CT1" s="498"/>
      <c r="CU1" s="498"/>
      <c r="CV1" s="498"/>
      <c r="CW1" s="498"/>
      <c r="CX1" s="498"/>
      <c r="CY1" s="498"/>
      <c r="CZ1" s="1315"/>
    </row>
    <row r="2" spans="1:104" s="442" customFormat="1" ht="15.75" customHeight="1" x14ac:dyDescent="0.3">
      <c r="A2" s="887" t="s">
        <v>3427</v>
      </c>
      <c r="B2" s="1146"/>
      <c r="C2" s="1146"/>
      <c r="D2" s="1146"/>
      <c r="E2" s="1146"/>
      <c r="F2" s="73"/>
      <c r="G2" s="63"/>
      <c r="H2" s="73"/>
      <c r="I2" s="73"/>
      <c r="J2" s="1579" t="s">
        <v>1295</v>
      </c>
      <c r="K2" s="113"/>
      <c r="L2" s="63"/>
      <c r="M2" s="63"/>
      <c r="N2" s="63"/>
      <c r="O2" s="63"/>
      <c r="P2" s="63"/>
      <c r="Q2" s="63"/>
      <c r="R2" s="63"/>
      <c r="S2" s="63"/>
      <c r="T2" s="63"/>
      <c r="U2" s="63"/>
      <c r="V2" s="63"/>
      <c r="W2" s="63"/>
      <c r="X2" s="63"/>
      <c r="Y2" s="63"/>
      <c r="Z2" s="63"/>
      <c r="AA2" s="499"/>
      <c r="AB2" s="63"/>
      <c r="AC2" s="63"/>
      <c r="AD2" s="63"/>
      <c r="AE2" s="63"/>
      <c r="AF2" s="63"/>
      <c r="AG2" s="63"/>
      <c r="AH2" s="63"/>
      <c r="AI2" s="63"/>
      <c r="AJ2" s="63"/>
      <c r="AK2" s="63"/>
      <c r="AL2" s="63"/>
      <c r="AM2" s="63"/>
      <c r="AN2" s="63"/>
      <c r="AO2" s="63"/>
      <c r="AP2" s="499"/>
      <c r="AQ2" s="63"/>
      <c r="AR2" s="63"/>
      <c r="AS2" s="63"/>
      <c r="AT2" s="63"/>
      <c r="AU2" s="63"/>
      <c r="AV2" s="63"/>
      <c r="AW2" s="63"/>
      <c r="AX2" s="63"/>
      <c r="AY2" s="63"/>
      <c r="AZ2" s="63"/>
      <c r="BA2" s="63"/>
      <c r="BB2" s="63"/>
      <c r="BC2" s="63"/>
      <c r="BD2" s="1316"/>
      <c r="BE2" s="891" t="s">
        <v>538</v>
      </c>
      <c r="BF2" s="891" t="s">
        <v>538</v>
      </c>
      <c r="BG2" s="891" t="s">
        <v>538</v>
      </c>
      <c r="BH2" s="891" t="s">
        <v>538</v>
      </c>
      <c r="BI2" s="891" t="s">
        <v>538</v>
      </c>
      <c r="BJ2" s="891" t="s">
        <v>538</v>
      </c>
      <c r="BK2" s="891" t="s">
        <v>538</v>
      </c>
      <c r="BL2" s="891" t="s">
        <v>538</v>
      </c>
      <c r="BM2" s="891" t="s">
        <v>538</v>
      </c>
      <c r="BN2" s="891" t="s">
        <v>538</v>
      </c>
      <c r="BO2" s="891" t="s">
        <v>538</v>
      </c>
      <c r="BP2" s="1136" t="s">
        <v>538</v>
      </c>
      <c r="BQ2" s="1136" t="s">
        <v>538</v>
      </c>
      <c r="BR2" s="1136" t="s">
        <v>538</v>
      </c>
      <c r="BS2" s="1136" t="s">
        <v>538</v>
      </c>
      <c r="BT2" s="1136" t="s">
        <v>538</v>
      </c>
      <c r="BU2" s="1136" t="s">
        <v>538</v>
      </c>
      <c r="BV2" s="1136" t="s">
        <v>538</v>
      </c>
      <c r="BW2" s="1136" t="s">
        <v>538</v>
      </c>
      <c r="BX2" s="1136" t="s">
        <v>538</v>
      </c>
      <c r="BY2" s="1136" t="s">
        <v>538</v>
      </c>
      <c r="BZ2" s="1136" t="s">
        <v>538</v>
      </c>
      <c r="CA2" s="1136" t="s">
        <v>538</v>
      </c>
      <c r="CB2" s="1136" t="s">
        <v>538</v>
      </c>
      <c r="CC2" s="1136" t="s">
        <v>538</v>
      </c>
      <c r="CD2" s="1136" t="s">
        <v>538</v>
      </c>
      <c r="CE2" s="1136" t="s">
        <v>538</v>
      </c>
      <c r="CF2" s="1136" t="s">
        <v>538</v>
      </c>
      <c r="CG2" s="1136" t="s">
        <v>538</v>
      </c>
      <c r="CH2" s="1136" t="s">
        <v>538</v>
      </c>
      <c r="CI2" s="1136" t="s">
        <v>538</v>
      </c>
      <c r="CJ2" s="1136" t="s">
        <v>538</v>
      </c>
      <c r="CK2" s="1136" t="s">
        <v>538</v>
      </c>
      <c r="CL2" s="1136" t="s">
        <v>538</v>
      </c>
      <c r="CM2" s="1136" t="s">
        <v>538</v>
      </c>
      <c r="CN2" s="1136" t="s">
        <v>538</v>
      </c>
      <c r="CO2" s="1136" t="s">
        <v>538</v>
      </c>
      <c r="CP2" s="1136" t="s">
        <v>538</v>
      </c>
      <c r="CQ2" s="1136" t="s">
        <v>538</v>
      </c>
      <c r="CR2" s="1136" t="s">
        <v>538</v>
      </c>
      <c r="CS2" s="1136" t="s">
        <v>538</v>
      </c>
      <c r="CT2" s="1136" t="s">
        <v>538</v>
      </c>
      <c r="CU2" s="1136" t="s">
        <v>538</v>
      </c>
      <c r="CV2" s="1136" t="s">
        <v>538</v>
      </c>
      <c r="CW2" s="1136" t="s">
        <v>538</v>
      </c>
      <c r="CX2" s="1136" t="s">
        <v>538</v>
      </c>
      <c r="CY2" s="1136" t="s">
        <v>538</v>
      </c>
      <c r="CZ2" s="1137" t="s">
        <v>538</v>
      </c>
    </row>
    <row r="3" spans="1:104" s="442" customFormat="1" ht="48" customHeight="1" x14ac:dyDescent="0.3">
      <c r="A3" s="1591" t="s">
        <v>3435</v>
      </c>
      <c r="B3" s="1591"/>
      <c r="C3" s="1591"/>
      <c r="D3" s="1591"/>
      <c r="E3" s="1591"/>
      <c r="F3" s="1592" t="s">
        <v>1294</v>
      </c>
      <c r="G3" s="500"/>
      <c r="H3" s="1251"/>
      <c r="I3" s="1251"/>
      <c r="J3" s="1579"/>
      <c r="K3" s="339"/>
      <c r="L3" s="1579" t="s">
        <v>1517</v>
      </c>
      <c r="M3" s="1579" t="s">
        <v>1516</v>
      </c>
      <c r="N3" s="501"/>
      <c r="O3" s="502"/>
      <c r="P3" s="501"/>
      <c r="Q3" s="501"/>
      <c r="R3" s="501"/>
      <c r="S3" s="501"/>
      <c r="T3" s="501"/>
      <c r="U3" s="501"/>
      <c r="V3" s="501"/>
      <c r="W3" s="501"/>
      <c r="X3" s="501"/>
      <c r="Y3" s="501"/>
      <c r="Z3" s="501"/>
      <c r="AA3" s="502"/>
      <c r="AB3" s="502"/>
      <c r="AC3" s="502"/>
      <c r="AD3" s="502"/>
      <c r="AE3" s="502"/>
      <c r="AF3" s="502"/>
      <c r="AG3" s="502"/>
      <c r="AH3" s="502"/>
      <c r="AI3" s="502"/>
      <c r="AJ3" s="502"/>
      <c r="AK3" s="502"/>
      <c r="AL3" s="502"/>
      <c r="AM3" s="502"/>
      <c r="AN3" s="502"/>
      <c r="AO3" s="502"/>
      <c r="AP3" s="502"/>
      <c r="AQ3" s="502"/>
      <c r="AR3" s="502"/>
      <c r="AS3" s="502"/>
      <c r="AT3" s="502"/>
      <c r="AU3" s="502"/>
      <c r="AV3" s="502"/>
      <c r="AW3" s="502"/>
      <c r="AX3" s="502"/>
      <c r="AY3" s="502"/>
      <c r="AZ3" s="502"/>
      <c r="BA3" s="502"/>
      <c r="BB3" s="502"/>
      <c r="BC3" s="502"/>
      <c r="BD3" s="503"/>
      <c r="BE3" s="500"/>
      <c r="BF3" s="504"/>
      <c r="BG3" s="1145"/>
      <c r="BH3" s="500"/>
      <c r="BI3" s="500"/>
      <c r="BJ3" s="502"/>
      <c r="BK3" s="502"/>
      <c r="BL3" s="502"/>
      <c r="BM3" s="502"/>
      <c r="BN3" s="502"/>
      <c r="BO3" s="502"/>
      <c r="BP3" s="502"/>
      <c r="BQ3" s="502"/>
      <c r="BR3" s="502"/>
      <c r="BS3" s="502"/>
      <c r="BT3" s="502"/>
      <c r="BU3" s="502"/>
      <c r="BV3" s="502"/>
      <c r="BW3" s="502"/>
      <c r="BX3" s="502"/>
      <c r="BY3" s="502"/>
      <c r="BZ3" s="502"/>
      <c r="CA3" s="502"/>
      <c r="CB3" s="502"/>
      <c r="CC3" s="502"/>
      <c r="CD3" s="502"/>
      <c r="CE3" s="502"/>
      <c r="CF3" s="502"/>
      <c r="CG3" s="502"/>
      <c r="CH3" s="502"/>
      <c r="CI3" s="502"/>
      <c r="CJ3" s="502"/>
      <c r="CK3" s="502"/>
      <c r="CL3" s="502"/>
      <c r="CM3" s="502"/>
      <c r="CN3" s="502"/>
      <c r="CO3" s="502"/>
      <c r="CP3" s="502"/>
      <c r="CQ3" s="502"/>
      <c r="CR3" s="502"/>
      <c r="CS3" s="502"/>
      <c r="CT3" s="502"/>
      <c r="CU3" s="502"/>
      <c r="CV3" s="502"/>
      <c r="CW3" s="502"/>
      <c r="CX3" s="502"/>
      <c r="CY3" s="502"/>
      <c r="CZ3" s="503"/>
    </row>
    <row r="4" spans="1:104" s="442" customFormat="1" ht="27.75" customHeight="1" x14ac:dyDescent="0.3">
      <c r="A4" s="1594" t="s">
        <v>393</v>
      </c>
      <c r="B4" s="1594"/>
      <c r="C4" s="1594"/>
      <c r="D4" s="1594"/>
      <c r="E4" s="1594"/>
      <c r="F4" s="1592"/>
      <c r="G4" s="63"/>
      <c r="H4" s="63"/>
      <c r="I4" s="63"/>
      <c r="J4" s="1579"/>
      <c r="K4" s="63"/>
      <c r="L4" s="1579"/>
      <c r="M4" s="1579"/>
      <c r="N4" s="63"/>
      <c r="O4" s="63"/>
      <c r="P4" s="63"/>
      <c r="Q4" s="63"/>
      <c r="R4" s="63"/>
      <c r="S4" s="63"/>
      <c r="T4" s="63"/>
      <c r="U4" s="63"/>
      <c r="V4" s="63"/>
      <c r="W4" s="63"/>
      <c r="X4" s="63"/>
      <c r="Y4" s="63"/>
      <c r="Z4" s="63"/>
      <c r="AA4" s="401"/>
      <c r="AB4" s="63"/>
      <c r="AC4" s="63"/>
      <c r="AD4" s="63"/>
      <c r="AE4" s="63"/>
      <c r="AF4" s="63"/>
      <c r="AG4" s="63"/>
      <c r="AH4" s="63"/>
      <c r="AI4" s="63"/>
      <c r="AJ4" s="63"/>
      <c r="AK4" s="63"/>
      <c r="AL4" s="63"/>
      <c r="AM4" s="63"/>
      <c r="AN4" s="63"/>
      <c r="AO4" s="63"/>
      <c r="AP4" s="401"/>
      <c r="AQ4" s="63"/>
      <c r="AR4" s="63"/>
      <c r="AS4" s="63"/>
      <c r="AT4" s="63"/>
      <c r="AU4" s="63"/>
      <c r="AV4" s="63"/>
      <c r="AW4" s="63"/>
      <c r="AX4" s="63"/>
      <c r="AY4" s="63"/>
      <c r="AZ4" s="63"/>
      <c r="BA4" s="63"/>
      <c r="BB4" s="63"/>
      <c r="BC4" s="63"/>
      <c r="BD4" s="460"/>
      <c r="BE4" s="63"/>
      <c r="BF4" s="505"/>
      <c r="BG4" s="505"/>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460"/>
    </row>
    <row r="5" spans="1:104" s="442" customFormat="1" ht="16.5" customHeight="1" x14ac:dyDescent="0.3">
      <c r="A5" s="1302" t="s">
        <v>343</v>
      </c>
      <c r="B5" s="1160"/>
      <c r="C5" s="1161"/>
      <c r="D5" s="1162" t="s">
        <v>394</v>
      </c>
      <c r="E5" s="1120"/>
      <c r="F5" s="1593"/>
      <c r="G5" s="506"/>
      <c r="H5" s="659"/>
      <c r="I5" s="659"/>
      <c r="J5" s="1590"/>
      <c r="K5" s="507"/>
      <c r="L5" s="1590"/>
      <c r="M5" s="1590"/>
      <c r="N5" s="402"/>
      <c r="O5" s="402"/>
      <c r="P5" s="402"/>
      <c r="Q5" s="402"/>
      <c r="R5" s="402"/>
      <c r="S5" s="402"/>
      <c r="T5" s="402"/>
      <c r="U5" s="402"/>
      <c r="V5" s="402"/>
      <c r="W5" s="402"/>
      <c r="X5" s="402"/>
      <c r="Y5" s="402"/>
      <c r="Z5" s="402"/>
      <c r="AA5" s="508" t="s">
        <v>2972</v>
      </c>
      <c r="AB5" s="402"/>
      <c r="AC5" s="402"/>
      <c r="AD5" s="402"/>
      <c r="AE5" s="402"/>
      <c r="AF5" s="402"/>
      <c r="AG5" s="402"/>
      <c r="AH5" s="402"/>
      <c r="AI5" s="402"/>
      <c r="AJ5" s="402"/>
      <c r="AK5" s="402"/>
      <c r="AL5" s="402"/>
      <c r="AM5" s="402"/>
      <c r="AN5" s="402"/>
      <c r="AO5" s="402"/>
      <c r="AP5" s="508" t="s">
        <v>392</v>
      </c>
      <c r="AQ5" s="509"/>
      <c r="AR5" s="509"/>
      <c r="AS5" s="509"/>
      <c r="AT5" s="509"/>
      <c r="AU5" s="509"/>
      <c r="AV5" s="509"/>
      <c r="AW5" s="509"/>
      <c r="AX5" s="509"/>
      <c r="AY5" s="509"/>
      <c r="AZ5" s="509"/>
      <c r="BA5" s="509"/>
      <c r="BB5" s="509"/>
      <c r="BC5" s="509"/>
      <c r="BD5" s="510"/>
      <c r="BE5" s="402"/>
      <c r="BF5" s="511"/>
      <c r="BG5" s="402"/>
      <c r="BH5" s="402"/>
      <c r="BI5" s="402"/>
      <c r="BJ5" s="402"/>
      <c r="BK5" s="402"/>
      <c r="BL5" s="402"/>
      <c r="BM5" s="402"/>
      <c r="BN5" s="402"/>
      <c r="BO5" s="402"/>
      <c r="BP5" s="1585"/>
      <c r="BQ5" s="1585"/>
      <c r="BR5" s="1585"/>
      <c r="BS5" s="1585"/>
      <c r="BT5" s="509"/>
      <c r="BU5" s="509"/>
      <c r="BV5" s="509"/>
      <c r="BW5" s="509"/>
      <c r="BX5" s="509"/>
      <c r="BY5" s="509"/>
      <c r="BZ5" s="509"/>
      <c r="CA5" s="509"/>
      <c r="CB5" s="509"/>
      <c r="CC5" s="509"/>
      <c r="CD5" s="509"/>
      <c r="CE5" s="509"/>
      <c r="CF5" s="509"/>
      <c r="CG5" s="509"/>
      <c r="CH5" s="509"/>
      <c r="CI5" s="509"/>
      <c r="CJ5" s="509"/>
      <c r="CK5" s="509"/>
      <c r="CL5" s="509"/>
      <c r="CM5" s="509"/>
      <c r="CN5" s="509"/>
      <c r="CO5" s="509"/>
      <c r="CP5" s="509"/>
      <c r="CQ5" s="509"/>
      <c r="CR5" s="509"/>
      <c r="CS5" s="509"/>
      <c r="CT5" s="509"/>
      <c r="CU5" s="509"/>
      <c r="CV5" s="509"/>
      <c r="CW5" s="509"/>
      <c r="CX5" s="509"/>
      <c r="CY5" s="509"/>
      <c r="CZ5" s="510"/>
    </row>
    <row r="6" spans="1:104" s="490" customFormat="1" ht="16.2" x14ac:dyDescent="0.35">
      <c r="A6" s="667"/>
      <c r="B6" s="274" t="s">
        <v>116</v>
      </c>
      <c r="C6" s="641"/>
      <c r="D6" s="798" t="str">
        <f>HYPERLINK("#DropDownLists!O6","Add to this list")</f>
        <v>Add to this list</v>
      </c>
      <c r="E6" s="798" t="str">
        <f>HYPERLINK("#DropDownLists!K6","Add to this list")</f>
        <v>Add to this list</v>
      </c>
      <c r="F6" s="798" t="str">
        <f>HYPERLINK("#DropDownLists!P6","Add to this list")</f>
        <v>Add to this list</v>
      </c>
      <c r="G6" s="65" t="s">
        <v>46</v>
      </c>
      <c r="H6" s="1317"/>
      <c r="I6" s="1317"/>
      <c r="J6" s="1186" t="s">
        <v>118</v>
      </c>
      <c r="K6" s="1186" t="s">
        <v>1549</v>
      </c>
      <c r="L6" s="1186" t="s">
        <v>118</v>
      </c>
      <c r="M6" s="1318" t="s">
        <v>40</v>
      </c>
      <c r="N6" s="1319" t="s">
        <v>119</v>
      </c>
      <c r="O6" s="1320" t="s">
        <v>91</v>
      </c>
      <c r="P6" s="1321" t="s">
        <v>185</v>
      </c>
      <c r="Q6" s="1321" t="s">
        <v>186</v>
      </c>
      <c r="R6" s="1321" t="s">
        <v>2873</v>
      </c>
      <c r="S6" s="1321" t="s">
        <v>2874</v>
      </c>
      <c r="T6" s="1321" t="s">
        <v>2875</v>
      </c>
      <c r="U6" s="1321" t="s">
        <v>2876</v>
      </c>
      <c r="V6" s="1321" t="s">
        <v>2877</v>
      </c>
      <c r="W6" s="1321" t="s">
        <v>2878</v>
      </c>
      <c r="X6" s="1321" t="s">
        <v>2879</v>
      </c>
      <c r="Y6" s="1321" t="s">
        <v>2880</v>
      </c>
      <c r="Z6" s="1321" t="s">
        <v>2881</v>
      </c>
      <c r="AA6" s="1140" t="s">
        <v>118</v>
      </c>
      <c r="AB6" s="1138" t="s">
        <v>40</v>
      </c>
      <c r="AC6" s="1138" t="s">
        <v>119</v>
      </c>
      <c r="AD6" s="1216" t="s">
        <v>91</v>
      </c>
      <c r="AE6" s="1321" t="s">
        <v>185</v>
      </c>
      <c r="AF6" s="1321" t="s">
        <v>186</v>
      </c>
      <c r="AG6" s="1321" t="s">
        <v>2873</v>
      </c>
      <c r="AH6" s="1321" t="s">
        <v>2874</v>
      </c>
      <c r="AI6" s="1321" t="s">
        <v>2875</v>
      </c>
      <c r="AJ6" s="1321" t="s">
        <v>2876</v>
      </c>
      <c r="AK6" s="1321" t="s">
        <v>2877</v>
      </c>
      <c r="AL6" s="1321" t="s">
        <v>2878</v>
      </c>
      <c r="AM6" s="1321" t="s">
        <v>2879</v>
      </c>
      <c r="AN6" s="1321" t="s">
        <v>2880</v>
      </c>
      <c r="AO6" s="1321" t="s">
        <v>2881</v>
      </c>
      <c r="AP6" s="512" t="s">
        <v>118</v>
      </c>
      <c r="AQ6" s="1138" t="s">
        <v>40</v>
      </c>
      <c r="AR6" s="1216" t="s">
        <v>119</v>
      </c>
      <c r="AS6" s="1216" t="s">
        <v>91</v>
      </c>
      <c r="AT6" s="1321" t="s">
        <v>185</v>
      </c>
      <c r="AU6" s="1321" t="s">
        <v>186</v>
      </c>
      <c r="AV6" s="1321" t="s">
        <v>2873</v>
      </c>
      <c r="AW6" s="1321" t="s">
        <v>2874</v>
      </c>
      <c r="AX6" s="1321" t="s">
        <v>2875</v>
      </c>
      <c r="AY6" s="1321" t="s">
        <v>2876</v>
      </c>
      <c r="AZ6" s="1321" t="s">
        <v>2877</v>
      </c>
      <c r="BA6" s="1321" t="s">
        <v>2878</v>
      </c>
      <c r="BB6" s="1321" t="s">
        <v>2879</v>
      </c>
      <c r="BC6" s="1321" t="s">
        <v>2880</v>
      </c>
      <c r="BD6" s="1322" t="s">
        <v>2881</v>
      </c>
      <c r="BE6" s="248" t="s">
        <v>46</v>
      </c>
      <c r="BF6" s="1319" t="s">
        <v>118</v>
      </c>
      <c r="BG6" s="1138" t="s">
        <v>1549</v>
      </c>
      <c r="BH6" s="1138" t="s">
        <v>118</v>
      </c>
      <c r="BI6" s="1318" t="s">
        <v>40</v>
      </c>
      <c r="BJ6" s="1319" t="s">
        <v>119</v>
      </c>
      <c r="BK6" s="1320" t="s">
        <v>91</v>
      </c>
      <c r="BL6" s="1321" t="s">
        <v>185</v>
      </c>
      <c r="BM6" s="1321" t="s">
        <v>186</v>
      </c>
      <c r="BN6" s="1321" t="s">
        <v>2873</v>
      </c>
      <c r="BO6" s="1321" t="s">
        <v>2874</v>
      </c>
      <c r="BP6" s="1321" t="s">
        <v>2875</v>
      </c>
      <c r="BQ6" s="1321" t="s">
        <v>2876</v>
      </c>
      <c r="BR6" s="1321" t="s">
        <v>2877</v>
      </c>
      <c r="BS6" s="1321" t="s">
        <v>2878</v>
      </c>
      <c r="BT6" s="1321" t="s">
        <v>2879</v>
      </c>
      <c r="BU6" s="1321" t="s">
        <v>2880</v>
      </c>
      <c r="BV6" s="1321" t="s">
        <v>2881</v>
      </c>
      <c r="BW6" s="1138" t="s">
        <v>118</v>
      </c>
      <c r="BX6" s="1138" t="s">
        <v>40</v>
      </c>
      <c r="BY6" s="1138" t="s">
        <v>119</v>
      </c>
      <c r="BZ6" s="1216" t="s">
        <v>91</v>
      </c>
      <c r="CA6" s="1321" t="s">
        <v>185</v>
      </c>
      <c r="CB6" s="1321" t="s">
        <v>186</v>
      </c>
      <c r="CC6" s="1321" t="s">
        <v>2873</v>
      </c>
      <c r="CD6" s="1321" t="s">
        <v>2874</v>
      </c>
      <c r="CE6" s="1321" t="s">
        <v>2875</v>
      </c>
      <c r="CF6" s="1321" t="s">
        <v>2876</v>
      </c>
      <c r="CG6" s="1321" t="s">
        <v>2877</v>
      </c>
      <c r="CH6" s="1321" t="s">
        <v>2878</v>
      </c>
      <c r="CI6" s="1321" t="s">
        <v>2879</v>
      </c>
      <c r="CJ6" s="1321" t="s">
        <v>2880</v>
      </c>
      <c r="CK6" s="1321" t="s">
        <v>2881</v>
      </c>
      <c r="CL6" s="514" t="s">
        <v>118</v>
      </c>
      <c r="CM6" s="1138" t="s">
        <v>40</v>
      </c>
      <c r="CN6" s="1216" t="s">
        <v>119</v>
      </c>
      <c r="CO6" s="1216" t="s">
        <v>91</v>
      </c>
      <c r="CP6" s="1321" t="s">
        <v>185</v>
      </c>
      <c r="CQ6" s="1321" t="s">
        <v>186</v>
      </c>
      <c r="CR6" s="1321" t="s">
        <v>2873</v>
      </c>
      <c r="CS6" s="1321" t="s">
        <v>2874</v>
      </c>
      <c r="CT6" s="1321" t="s">
        <v>2875</v>
      </c>
      <c r="CU6" s="1321" t="s">
        <v>2876</v>
      </c>
      <c r="CV6" s="1321" t="s">
        <v>2877</v>
      </c>
      <c r="CW6" s="1321" t="s">
        <v>2878</v>
      </c>
      <c r="CX6" s="1321" t="s">
        <v>2879</v>
      </c>
      <c r="CY6" s="1321" t="s">
        <v>2880</v>
      </c>
      <c r="CZ6" s="1322" t="s">
        <v>2881</v>
      </c>
    </row>
    <row r="7" spans="1:104" s="442" customFormat="1" ht="14.4" x14ac:dyDescent="0.3">
      <c r="A7" s="1506" t="s">
        <v>390</v>
      </c>
      <c r="B7" s="1506"/>
      <c r="C7" s="1506"/>
      <c r="D7" s="1506"/>
      <c r="E7" s="1506"/>
      <c r="F7" s="1506"/>
      <c r="G7" s="1144"/>
      <c r="H7" s="1144"/>
      <c r="I7" s="1144"/>
      <c r="J7" s="1323"/>
      <c r="K7" s="1586" t="s">
        <v>182</v>
      </c>
      <c r="L7" s="1587"/>
      <c r="M7" s="1587"/>
      <c r="N7" s="1587"/>
      <c r="O7" s="1586" t="s">
        <v>182</v>
      </c>
      <c r="P7" s="1587"/>
      <c r="Q7" s="1587"/>
      <c r="R7" s="1587"/>
      <c r="S7" s="1586" t="s">
        <v>182</v>
      </c>
      <c r="T7" s="1587"/>
      <c r="U7" s="1587"/>
      <c r="V7" s="1587"/>
      <c r="W7" s="1586" t="s">
        <v>182</v>
      </c>
      <c r="X7" s="1587"/>
      <c r="Y7" s="1587"/>
      <c r="Z7" s="1587"/>
      <c r="AA7" s="1555" t="s">
        <v>78</v>
      </c>
      <c r="AB7" s="1566"/>
      <c r="AC7" s="1566"/>
      <c r="AD7" s="1566"/>
      <c r="AE7" s="1555" t="s">
        <v>78</v>
      </c>
      <c r="AF7" s="1566"/>
      <c r="AG7" s="1566"/>
      <c r="AH7" s="1566"/>
      <c r="AI7" s="1555" t="s">
        <v>78</v>
      </c>
      <c r="AJ7" s="1566"/>
      <c r="AK7" s="1566"/>
      <c r="AL7" s="1566"/>
      <c r="AM7" s="1588" t="s">
        <v>78</v>
      </c>
      <c r="AN7" s="1588"/>
      <c r="AO7" s="1589"/>
      <c r="AP7" s="1595" t="s">
        <v>180</v>
      </c>
      <c r="AQ7" s="1596"/>
      <c r="AR7" s="1596"/>
      <c r="AS7" s="1596"/>
      <c r="AT7" s="1595" t="s">
        <v>180</v>
      </c>
      <c r="AU7" s="1596"/>
      <c r="AV7" s="1596"/>
      <c r="AW7" s="1596"/>
      <c r="AX7" s="1595" t="s">
        <v>180</v>
      </c>
      <c r="AY7" s="1596"/>
      <c r="AZ7" s="1596"/>
      <c r="BA7" s="1596"/>
      <c r="BB7" s="1597" t="s">
        <v>180</v>
      </c>
      <c r="BC7" s="1597"/>
      <c r="BD7" s="1598"/>
      <c r="BE7" s="1141"/>
      <c r="BF7" s="1324"/>
      <c r="BG7" s="1536" t="s">
        <v>182</v>
      </c>
      <c r="BH7" s="1535"/>
      <c r="BI7" s="1535"/>
      <c r="BJ7" s="1536" t="s">
        <v>182</v>
      </c>
      <c r="BK7" s="1535"/>
      <c r="BL7" s="1535"/>
      <c r="BM7" s="1536" t="s">
        <v>182</v>
      </c>
      <c r="BN7" s="1535"/>
      <c r="BO7" s="1535"/>
      <c r="BP7" s="1536" t="s">
        <v>182</v>
      </c>
      <c r="BQ7" s="1535"/>
      <c r="BR7" s="1535"/>
      <c r="BS7" s="1536" t="s">
        <v>182</v>
      </c>
      <c r="BT7" s="1535"/>
      <c r="BU7" s="1535"/>
      <c r="BV7" s="1537"/>
      <c r="BW7" s="1536" t="s">
        <v>78</v>
      </c>
      <c r="BX7" s="1535"/>
      <c r="BY7" s="1535"/>
      <c r="BZ7" s="1537"/>
      <c r="CA7" s="1536" t="s">
        <v>78</v>
      </c>
      <c r="CB7" s="1535"/>
      <c r="CC7" s="1535"/>
      <c r="CD7" s="1537"/>
      <c r="CE7" s="1536" t="s">
        <v>78</v>
      </c>
      <c r="CF7" s="1535"/>
      <c r="CG7" s="1535"/>
      <c r="CH7" s="1537"/>
      <c r="CI7" s="1536" t="s">
        <v>78</v>
      </c>
      <c r="CJ7" s="1535"/>
      <c r="CK7" s="1537"/>
      <c r="CL7" s="1599" t="s">
        <v>180</v>
      </c>
      <c r="CM7" s="1600"/>
      <c r="CN7" s="1600"/>
      <c r="CO7" s="1601"/>
      <c r="CP7" s="1599" t="s">
        <v>180</v>
      </c>
      <c r="CQ7" s="1600"/>
      <c r="CR7" s="1600"/>
      <c r="CS7" s="1601"/>
      <c r="CT7" s="1599" t="s">
        <v>180</v>
      </c>
      <c r="CU7" s="1600"/>
      <c r="CV7" s="1600"/>
      <c r="CW7" s="1601"/>
      <c r="CX7" s="1599" t="s">
        <v>180</v>
      </c>
      <c r="CY7" s="1600"/>
      <c r="CZ7" s="1601"/>
    </row>
    <row r="8" spans="1:104" s="442" customFormat="1" ht="48" customHeight="1" thickBot="1" x14ac:dyDescent="0.35">
      <c r="A8" s="1037" t="s">
        <v>3474</v>
      </c>
      <c r="B8" s="1167" t="s">
        <v>35</v>
      </c>
      <c r="C8" s="625" t="s">
        <v>152</v>
      </c>
      <c r="D8" s="625" t="s">
        <v>1659</v>
      </c>
      <c r="E8" s="556" t="s">
        <v>77</v>
      </c>
      <c r="F8" s="1168" t="s">
        <v>3638</v>
      </c>
      <c r="G8" s="114" t="s">
        <v>3832</v>
      </c>
      <c r="H8" s="1200" t="s">
        <v>2918</v>
      </c>
      <c r="I8" s="1200" t="s">
        <v>3430</v>
      </c>
      <c r="J8" s="114" t="s">
        <v>3833</v>
      </c>
      <c r="K8" s="114" t="s">
        <v>3834</v>
      </c>
      <c r="L8" s="114" t="s">
        <v>3835</v>
      </c>
      <c r="M8" s="114" t="s">
        <v>3836</v>
      </c>
      <c r="N8" s="114" t="s">
        <v>3837</v>
      </c>
      <c r="O8" s="114" t="s">
        <v>3838</v>
      </c>
      <c r="P8" s="1268" t="s">
        <v>3839</v>
      </c>
      <c r="Q8" s="1268" t="s">
        <v>3840</v>
      </c>
      <c r="R8" s="1268" t="s">
        <v>3841</v>
      </c>
      <c r="S8" s="1268" t="s">
        <v>3842</v>
      </c>
      <c r="T8" s="1268" t="s">
        <v>3843</v>
      </c>
      <c r="U8" s="1268" t="s">
        <v>3846</v>
      </c>
      <c r="V8" s="1268" t="s">
        <v>3847</v>
      </c>
      <c r="W8" s="1268" t="s">
        <v>3848</v>
      </c>
      <c r="X8" s="1268" t="s">
        <v>3849</v>
      </c>
      <c r="Y8" s="1268" t="s">
        <v>3844</v>
      </c>
      <c r="Z8" s="1268" t="s">
        <v>3845</v>
      </c>
      <c r="AA8" s="516" t="s">
        <v>3850</v>
      </c>
      <c r="AB8" s="114" t="s">
        <v>3851</v>
      </c>
      <c r="AC8" s="114" t="s">
        <v>3852</v>
      </c>
      <c r="AD8" s="114" t="s">
        <v>3853</v>
      </c>
      <c r="AE8" s="1268" t="s">
        <v>3860</v>
      </c>
      <c r="AF8" s="1268" t="s">
        <v>3861</v>
      </c>
      <c r="AG8" s="1268" t="s">
        <v>3862</v>
      </c>
      <c r="AH8" s="1268" t="s">
        <v>3863</v>
      </c>
      <c r="AI8" s="1268" t="s">
        <v>3864</v>
      </c>
      <c r="AJ8" s="1268" t="s">
        <v>3865</v>
      </c>
      <c r="AK8" s="1268" t="s">
        <v>3866</v>
      </c>
      <c r="AL8" s="1268" t="s">
        <v>3867</v>
      </c>
      <c r="AM8" s="1268" t="s">
        <v>3868</v>
      </c>
      <c r="AN8" s="1268" t="s">
        <v>3869</v>
      </c>
      <c r="AO8" s="1268" t="s">
        <v>3870</v>
      </c>
      <c r="AP8" s="516" t="s">
        <v>3854</v>
      </c>
      <c r="AQ8" s="114" t="s">
        <v>3855</v>
      </c>
      <c r="AR8" s="114" t="s">
        <v>3856</v>
      </c>
      <c r="AS8" s="114" t="s">
        <v>3857</v>
      </c>
      <c r="AT8" s="1268" t="s">
        <v>3858</v>
      </c>
      <c r="AU8" s="1268" t="s">
        <v>3859</v>
      </c>
      <c r="AV8" s="1268" t="s">
        <v>3871</v>
      </c>
      <c r="AW8" s="1268" t="s">
        <v>3872</v>
      </c>
      <c r="AX8" s="1268" t="s">
        <v>3873</v>
      </c>
      <c r="AY8" s="1268" t="s">
        <v>3874</v>
      </c>
      <c r="AZ8" s="1268" t="s">
        <v>3875</v>
      </c>
      <c r="BA8" s="1268" t="s">
        <v>3876</v>
      </c>
      <c r="BB8" s="1268" t="s">
        <v>3877</v>
      </c>
      <c r="BC8" s="1268" t="s">
        <v>3878</v>
      </c>
      <c r="BD8" s="1245" t="s">
        <v>3879</v>
      </c>
      <c r="BE8" s="1108" t="s">
        <v>3639</v>
      </c>
      <c r="BF8" s="978" t="s">
        <v>3640</v>
      </c>
      <c r="BG8" s="978" t="s">
        <v>3637</v>
      </c>
      <c r="BH8" s="978" t="s">
        <v>3641</v>
      </c>
      <c r="BI8" s="978" t="s">
        <v>3642</v>
      </c>
      <c r="BJ8" s="978" t="s">
        <v>3643</v>
      </c>
      <c r="BK8" s="1109" t="s">
        <v>3644</v>
      </c>
      <c r="BL8" s="1325" t="s">
        <v>3645</v>
      </c>
      <c r="BM8" s="1325" t="s">
        <v>3646</v>
      </c>
      <c r="BN8" s="1325" t="s">
        <v>3647</v>
      </c>
      <c r="BO8" s="1325" t="s">
        <v>3648</v>
      </c>
      <c r="BP8" s="1325" t="s">
        <v>3649</v>
      </c>
      <c r="BQ8" s="1325" t="s">
        <v>3650</v>
      </c>
      <c r="BR8" s="1325" t="s">
        <v>3651</v>
      </c>
      <c r="BS8" s="1325" t="s">
        <v>3652</v>
      </c>
      <c r="BT8" s="1325" t="s">
        <v>3653</v>
      </c>
      <c r="BU8" s="1325" t="s">
        <v>3654</v>
      </c>
      <c r="BV8" s="1325" t="s">
        <v>3655</v>
      </c>
      <c r="BW8" s="978" t="s">
        <v>3656</v>
      </c>
      <c r="BX8" s="978" t="s">
        <v>3657</v>
      </c>
      <c r="BY8" s="978" t="s">
        <v>3658</v>
      </c>
      <c r="BZ8" s="978" t="s">
        <v>3659</v>
      </c>
      <c r="CA8" s="1325" t="s">
        <v>3660</v>
      </c>
      <c r="CB8" s="1325" t="s">
        <v>3661</v>
      </c>
      <c r="CC8" s="1325" t="s">
        <v>3662</v>
      </c>
      <c r="CD8" s="1325" t="s">
        <v>3663</v>
      </c>
      <c r="CE8" s="1325" t="s">
        <v>3664</v>
      </c>
      <c r="CF8" s="1325" t="s">
        <v>3665</v>
      </c>
      <c r="CG8" s="1325" t="s">
        <v>3666</v>
      </c>
      <c r="CH8" s="1325" t="s">
        <v>3667</v>
      </c>
      <c r="CI8" s="1325" t="s">
        <v>3668</v>
      </c>
      <c r="CJ8" s="1325" t="s">
        <v>3669</v>
      </c>
      <c r="CK8" s="1325" t="s">
        <v>3670</v>
      </c>
      <c r="CL8" s="978" t="s">
        <v>3671</v>
      </c>
      <c r="CM8" s="978" t="s">
        <v>3672</v>
      </c>
      <c r="CN8" s="978" t="s">
        <v>3673</v>
      </c>
      <c r="CO8" s="1109" t="s">
        <v>3674</v>
      </c>
      <c r="CP8" s="1325" t="s">
        <v>3675</v>
      </c>
      <c r="CQ8" s="1325" t="s">
        <v>3676</v>
      </c>
      <c r="CR8" s="1325" t="s">
        <v>3677</v>
      </c>
      <c r="CS8" s="1325" t="s">
        <v>3678</v>
      </c>
      <c r="CT8" s="1325" t="s">
        <v>3679</v>
      </c>
      <c r="CU8" s="1325" t="s">
        <v>3680</v>
      </c>
      <c r="CV8" s="1325" t="s">
        <v>3681</v>
      </c>
      <c r="CW8" s="1325" t="s">
        <v>3682</v>
      </c>
      <c r="CX8" s="1325" t="s">
        <v>3683</v>
      </c>
      <c r="CY8" s="1325" t="s">
        <v>3684</v>
      </c>
      <c r="CZ8" s="1326" t="s">
        <v>3685</v>
      </c>
    </row>
    <row r="9" spans="1:104" ht="14.4" x14ac:dyDescent="0.3">
      <c r="A9" s="316" t="s">
        <v>2842</v>
      </c>
      <c r="B9" s="313">
        <v>36775</v>
      </c>
      <c r="C9" s="316" t="s">
        <v>2843</v>
      </c>
      <c r="D9" s="316" t="s">
        <v>102</v>
      </c>
      <c r="E9" s="316" t="s">
        <v>1372</v>
      </c>
      <c r="F9" s="316" t="s">
        <v>500</v>
      </c>
      <c r="H9" s="1208"/>
      <c r="I9" s="1208"/>
      <c r="J9" s="1274">
        <v>9099.6</v>
      </c>
      <c r="L9" s="1274">
        <v>4671</v>
      </c>
      <c r="N9" s="1274">
        <v>1988.6503106689454</v>
      </c>
      <c r="O9" s="1274">
        <v>74.337558277845389</v>
      </c>
      <c r="AA9" s="1274">
        <v>1264</v>
      </c>
      <c r="AC9" s="1274">
        <v>557.15299682617183</v>
      </c>
      <c r="AD9" s="1327">
        <v>7.738998594284058</v>
      </c>
      <c r="AE9" s="1328"/>
      <c r="AF9" s="1328"/>
      <c r="AG9" s="1328"/>
      <c r="AH9" s="1328"/>
      <c r="AI9" s="1328"/>
      <c r="AJ9" s="1328"/>
      <c r="AK9" s="1328"/>
      <c r="AL9" s="1328"/>
      <c r="AM9" s="1328"/>
      <c r="AN9" s="1328"/>
      <c r="AO9" s="1328"/>
    </row>
    <row r="10" spans="1:104" ht="14.4" x14ac:dyDescent="0.3">
      <c r="A10" s="316" t="s">
        <v>2844</v>
      </c>
      <c r="B10" s="313">
        <v>36775</v>
      </c>
      <c r="C10" s="316" t="s">
        <v>2843</v>
      </c>
      <c r="D10" s="316" t="s">
        <v>102</v>
      </c>
      <c r="E10" s="316" t="s">
        <v>1372</v>
      </c>
      <c r="F10" s="316" t="s">
        <v>500</v>
      </c>
      <c r="H10" s="1208"/>
      <c r="I10" s="1208"/>
      <c r="J10" s="1274">
        <v>8333.1</v>
      </c>
      <c r="L10" s="1274">
        <v>4167.8</v>
      </c>
      <c r="N10" s="1274">
        <v>1772.3191742248537</v>
      </c>
      <c r="O10" s="1274">
        <v>52.469886905908588</v>
      </c>
      <c r="AA10" s="1274">
        <v>1800</v>
      </c>
      <c r="AC10" s="1274">
        <v>786.07685852050781</v>
      </c>
      <c r="AD10" s="1171">
        <v>6.9111471176147461</v>
      </c>
    </row>
    <row r="11" spans="1:104" ht="14.4" x14ac:dyDescent="0.3">
      <c r="A11" s="316" t="s">
        <v>2845</v>
      </c>
      <c r="B11" s="313">
        <v>36775</v>
      </c>
      <c r="C11" s="316" t="s">
        <v>2843</v>
      </c>
      <c r="D11" s="316" t="s">
        <v>102</v>
      </c>
      <c r="E11" s="316" t="s">
        <v>1372</v>
      </c>
      <c r="F11" s="316" t="s">
        <v>500</v>
      </c>
      <c r="H11" s="1208"/>
      <c r="I11" s="1208"/>
      <c r="J11" s="1274">
        <v>14353.8</v>
      </c>
      <c r="L11" s="1274">
        <v>6280.8</v>
      </c>
      <c r="N11" s="1274">
        <v>2700.4121629943852</v>
      </c>
      <c r="O11" s="1274">
        <v>73.315919772148135</v>
      </c>
      <c r="AA11" s="1274">
        <v>2145</v>
      </c>
      <c r="AC11" s="1274">
        <v>935.4771440505981</v>
      </c>
      <c r="AD11" s="1171">
        <v>8.7957669362425808</v>
      </c>
    </row>
    <row r="12" spans="1:104" ht="14.4" x14ac:dyDescent="0.3">
      <c r="A12" s="316" t="s">
        <v>2846</v>
      </c>
      <c r="B12" s="313">
        <v>36775</v>
      </c>
      <c r="C12" s="316" t="s">
        <v>2847</v>
      </c>
      <c r="D12" s="316" t="s">
        <v>102</v>
      </c>
      <c r="E12" s="316" t="s">
        <v>1372</v>
      </c>
      <c r="F12" s="316" t="s">
        <v>495</v>
      </c>
      <c r="H12" s="1208"/>
      <c r="I12" s="1208"/>
      <c r="J12" s="1274">
        <v>9099.6</v>
      </c>
      <c r="L12" s="1274">
        <v>4671</v>
      </c>
      <c r="N12" s="1274">
        <v>1988.6503106689454</v>
      </c>
      <c r="O12" s="1274">
        <v>74.337558277845389</v>
      </c>
      <c r="AA12" s="1274">
        <v>0</v>
      </c>
      <c r="AC12" s="1274">
        <v>0</v>
      </c>
      <c r="AD12" s="1171">
        <v>0</v>
      </c>
    </row>
    <row r="13" spans="1:104" ht="14.4" x14ac:dyDescent="0.3">
      <c r="A13" s="316" t="s">
        <v>2848</v>
      </c>
      <c r="B13" s="313">
        <v>36775</v>
      </c>
      <c r="C13" s="316" t="s">
        <v>2847</v>
      </c>
      <c r="D13" s="316" t="s">
        <v>102</v>
      </c>
      <c r="E13" s="316" t="s">
        <v>1372</v>
      </c>
      <c r="F13" s="316" t="s">
        <v>495</v>
      </c>
      <c r="H13" s="1208"/>
      <c r="I13" s="1208"/>
      <c r="J13" s="1274">
        <v>8333.1</v>
      </c>
      <c r="L13" s="1274">
        <v>4167.8</v>
      </c>
      <c r="N13" s="1274">
        <v>1772.3191742248537</v>
      </c>
      <c r="O13" s="1274">
        <v>52.469886905908588</v>
      </c>
      <c r="AA13" s="1274">
        <v>0</v>
      </c>
      <c r="AC13" s="1274">
        <v>0</v>
      </c>
      <c r="AD13" s="1171">
        <v>0</v>
      </c>
    </row>
    <row r="14" spans="1:104" ht="14.4" x14ac:dyDescent="0.3">
      <c r="A14" s="316" t="s">
        <v>2849</v>
      </c>
      <c r="B14" s="313">
        <v>36775</v>
      </c>
      <c r="C14" s="316" t="s">
        <v>2847</v>
      </c>
      <c r="D14" s="316" t="s">
        <v>102</v>
      </c>
      <c r="E14" s="316" t="s">
        <v>1372</v>
      </c>
      <c r="F14" s="316" t="s">
        <v>495</v>
      </c>
      <c r="H14" s="1208"/>
      <c r="I14" s="1208"/>
      <c r="J14" s="1274">
        <v>14353.8</v>
      </c>
      <c r="L14" s="1274">
        <v>6280.8</v>
      </c>
      <c r="N14" s="1274">
        <v>2700.4121629943852</v>
      </c>
      <c r="O14" s="1274">
        <v>73.315919772148135</v>
      </c>
      <c r="AA14" s="1274">
        <v>0</v>
      </c>
      <c r="AC14" s="1274">
        <v>0</v>
      </c>
      <c r="AD14" s="1171">
        <v>0</v>
      </c>
    </row>
    <row r="15" spans="1:104" ht="14.4" x14ac:dyDescent="0.3">
      <c r="A15" s="316" t="s">
        <v>2850</v>
      </c>
      <c r="B15" s="313">
        <v>36775</v>
      </c>
      <c r="C15" s="316" t="s">
        <v>2851</v>
      </c>
      <c r="D15" s="316" t="s">
        <v>102</v>
      </c>
      <c r="E15" s="316" t="s">
        <v>1372</v>
      </c>
      <c r="F15" s="316" t="s">
        <v>500</v>
      </c>
      <c r="H15" s="1208"/>
      <c r="I15" s="1208"/>
      <c r="J15" s="1274">
        <v>11612</v>
      </c>
      <c r="L15" s="1274">
        <v>5752</v>
      </c>
      <c r="N15" s="1274">
        <v>2441.0339636230469</v>
      </c>
      <c r="O15" s="1274">
        <v>92.650783395767206</v>
      </c>
      <c r="AA15" s="1274">
        <v>2278</v>
      </c>
      <c r="AC15" s="1274">
        <v>971.91923561096189</v>
      </c>
      <c r="AD15" s="1171">
        <v>22.258494480848313</v>
      </c>
    </row>
    <row r="16" spans="1:104" ht="14.4" x14ac:dyDescent="0.3">
      <c r="A16" s="316" t="s">
        <v>2852</v>
      </c>
      <c r="B16" s="313">
        <v>36775</v>
      </c>
      <c r="C16" s="316" t="s">
        <v>2851</v>
      </c>
      <c r="D16" s="316" t="s">
        <v>102</v>
      </c>
      <c r="E16" s="316" t="s">
        <v>1372</v>
      </c>
      <c r="F16" s="316" t="s">
        <v>500</v>
      </c>
      <c r="H16" s="1208"/>
      <c r="I16" s="1208"/>
      <c r="J16" s="1274">
        <v>7687.1</v>
      </c>
      <c r="L16" s="1274">
        <v>4150.6000000000004</v>
      </c>
      <c r="N16" s="1274">
        <v>1778.4042620773316</v>
      </c>
      <c r="O16" s="1274">
        <v>71.719222995519644</v>
      </c>
      <c r="AA16" s="1274">
        <v>1662</v>
      </c>
      <c r="AC16" s="1274">
        <v>739.67692176818844</v>
      </c>
      <c r="AD16" s="1171">
        <v>13.009313099384308</v>
      </c>
    </row>
    <row r="17" spans="1:30" ht="14.4" x14ac:dyDescent="0.3">
      <c r="A17" s="316" t="s">
        <v>2853</v>
      </c>
      <c r="B17" s="313">
        <v>36775</v>
      </c>
      <c r="C17" s="316" t="s">
        <v>2851</v>
      </c>
      <c r="D17" s="316" t="s">
        <v>102</v>
      </c>
      <c r="E17" s="316" t="s">
        <v>1372</v>
      </c>
      <c r="F17" s="316" t="s">
        <v>500</v>
      </c>
      <c r="H17" s="1208"/>
      <c r="I17" s="1208"/>
      <c r="J17" s="1274">
        <v>13718.4</v>
      </c>
      <c r="L17" s="1274">
        <v>6938.1</v>
      </c>
      <c r="N17" s="1274">
        <v>2985.8121184158326</v>
      </c>
      <c r="O17" s="1274">
        <v>101.56295651829242</v>
      </c>
      <c r="AA17" s="1274">
        <v>3150</v>
      </c>
      <c r="AC17" s="1274">
        <v>1400.2818489074707</v>
      </c>
      <c r="AD17" s="1171">
        <v>16.043058693408966</v>
      </c>
    </row>
    <row r="18" spans="1:30" ht="14.4" x14ac:dyDescent="0.3">
      <c r="A18" s="316" t="s">
        <v>2854</v>
      </c>
      <c r="B18" s="313">
        <v>36775</v>
      </c>
      <c r="C18" s="316" t="s">
        <v>2855</v>
      </c>
      <c r="D18" s="316" t="s">
        <v>102</v>
      </c>
      <c r="E18" s="316" t="s">
        <v>1372</v>
      </c>
      <c r="F18" s="316" t="s">
        <v>495</v>
      </c>
      <c r="H18" s="1208"/>
      <c r="I18" s="1208"/>
      <c r="J18" s="1274">
        <v>11612</v>
      </c>
      <c r="L18" s="1274">
        <v>5752</v>
      </c>
      <c r="N18" s="1274">
        <v>2441.0339636230469</v>
      </c>
      <c r="O18" s="1274">
        <v>92.650783395767206</v>
      </c>
      <c r="AA18" s="1274">
        <v>0</v>
      </c>
      <c r="AC18" s="1274">
        <v>0</v>
      </c>
      <c r="AD18" s="1171">
        <v>0</v>
      </c>
    </row>
    <row r="19" spans="1:30" ht="14.4" x14ac:dyDescent="0.3">
      <c r="A19" s="316" t="s">
        <v>2856</v>
      </c>
      <c r="B19" s="313">
        <v>36775</v>
      </c>
      <c r="C19" s="316" t="s">
        <v>2855</v>
      </c>
      <c r="D19" s="316" t="s">
        <v>102</v>
      </c>
      <c r="E19" s="316" t="s">
        <v>1372</v>
      </c>
      <c r="F19" s="316" t="s">
        <v>495</v>
      </c>
      <c r="H19" s="1208"/>
      <c r="I19" s="1208"/>
      <c r="J19" s="1274">
        <v>7687.1</v>
      </c>
      <c r="L19" s="1274">
        <v>4150.6000000000004</v>
      </c>
      <c r="N19" s="1274">
        <v>1778.4042620773316</v>
      </c>
      <c r="O19" s="1274">
        <v>71.719222995519644</v>
      </c>
      <c r="AA19" s="1274">
        <v>0</v>
      </c>
      <c r="AC19" s="1274">
        <v>0</v>
      </c>
      <c r="AD19" s="1171">
        <v>0</v>
      </c>
    </row>
    <row r="20" spans="1:30" ht="14.4" x14ac:dyDescent="0.3">
      <c r="A20" s="316" t="s">
        <v>2857</v>
      </c>
      <c r="B20" s="313">
        <v>36775</v>
      </c>
      <c r="C20" s="316" t="s">
        <v>2855</v>
      </c>
      <c r="D20" s="316" t="s">
        <v>102</v>
      </c>
      <c r="E20" s="316" t="s">
        <v>1372</v>
      </c>
      <c r="F20" s="316" t="s">
        <v>495</v>
      </c>
      <c r="H20" s="1208"/>
      <c r="I20" s="1208"/>
      <c r="J20" s="1274">
        <v>13718.4</v>
      </c>
      <c r="L20" s="1274">
        <v>6938.1</v>
      </c>
      <c r="N20" s="1274">
        <v>2985.8121184158326</v>
      </c>
      <c r="O20" s="1274">
        <v>101.56295651829242</v>
      </c>
      <c r="AA20" s="1274">
        <v>0</v>
      </c>
      <c r="AC20" s="1274">
        <v>0</v>
      </c>
      <c r="AD20" s="1171">
        <v>0</v>
      </c>
    </row>
    <row r="21" spans="1:30" ht="14.4" x14ac:dyDescent="0.3">
      <c r="A21" s="316" t="s">
        <v>2858</v>
      </c>
      <c r="B21" s="313">
        <v>36775</v>
      </c>
      <c r="C21" s="316" t="s">
        <v>2859</v>
      </c>
      <c r="D21" s="316" t="s">
        <v>102</v>
      </c>
      <c r="E21" s="316" t="s">
        <v>1372</v>
      </c>
      <c r="F21" s="316" t="s">
        <v>500</v>
      </c>
      <c r="H21" s="1208"/>
      <c r="I21" s="1208"/>
      <c r="J21" s="1274">
        <v>15427.3</v>
      </c>
      <c r="L21" s="1274">
        <v>6740.6</v>
      </c>
      <c r="N21" s="1274">
        <v>2869.1149553527835</v>
      </c>
      <c r="O21" s="1274">
        <v>99.901878824472419</v>
      </c>
      <c r="AA21" s="1274">
        <v>7718</v>
      </c>
      <c r="AC21" s="1274">
        <v>3400.0783645629881</v>
      </c>
      <c r="AD21" s="1171">
        <v>37.705300505161283</v>
      </c>
    </row>
    <row r="22" spans="1:30" ht="14.4" x14ac:dyDescent="0.3">
      <c r="A22" s="316" t="s">
        <v>2860</v>
      </c>
      <c r="B22" s="313">
        <v>36775</v>
      </c>
      <c r="C22" s="316" t="s">
        <v>2859</v>
      </c>
      <c r="D22" s="316" t="s">
        <v>102</v>
      </c>
      <c r="E22" s="316" t="s">
        <v>1372</v>
      </c>
      <c r="F22" s="316" t="s">
        <v>500</v>
      </c>
      <c r="H22" s="1208"/>
      <c r="I22" s="1208"/>
      <c r="J22" s="1274">
        <v>10263.299999999999</v>
      </c>
      <c r="L22" s="1274">
        <v>4817.8999999999996</v>
      </c>
      <c r="N22" s="1274">
        <v>2058.2968112907406</v>
      </c>
      <c r="O22" s="1274">
        <v>75.854479663491247</v>
      </c>
      <c r="AA22" s="1274">
        <v>602</v>
      </c>
      <c r="AC22" s="1274">
        <v>261.45843063354494</v>
      </c>
      <c r="AD22" s="1171">
        <v>4.551483737230301</v>
      </c>
    </row>
    <row r="23" spans="1:30" ht="14.4" x14ac:dyDescent="0.3">
      <c r="A23" s="316" t="s">
        <v>2861</v>
      </c>
      <c r="B23" s="313">
        <v>36775</v>
      </c>
      <c r="C23" s="316" t="s">
        <v>2859</v>
      </c>
      <c r="D23" s="316" t="s">
        <v>102</v>
      </c>
      <c r="E23" s="316" t="s">
        <v>1372</v>
      </c>
      <c r="F23" s="316" t="s">
        <v>500</v>
      </c>
      <c r="H23" s="1208"/>
      <c r="I23" s="1208"/>
      <c r="J23" s="1274">
        <v>12137.6</v>
      </c>
      <c r="L23" s="1274">
        <v>6471</v>
      </c>
      <c r="N23" s="1274">
        <v>2752.3250553131102</v>
      </c>
      <c r="O23" s="1274">
        <v>95.912963150739671</v>
      </c>
      <c r="AA23" s="1274">
        <v>2154</v>
      </c>
      <c r="AC23" s="1274">
        <v>941.02899650573727</v>
      </c>
      <c r="AD23" s="1171">
        <v>15.400991588830948</v>
      </c>
    </row>
    <row r="24" spans="1:30" ht="14.4" x14ac:dyDescent="0.3">
      <c r="A24" s="316" t="s">
        <v>2888</v>
      </c>
      <c r="B24" s="313">
        <v>36775</v>
      </c>
      <c r="C24" s="316" t="s">
        <v>2889</v>
      </c>
      <c r="D24" s="316" t="s">
        <v>102</v>
      </c>
      <c r="E24" s="316" t="s">
        <v>1372</v>
      </c>
      <c r="F24" s="316" t="s">
        <v>495</v>
      </c>
      <c r="H24" s="1208"/>
      <c r="I24" s="1208"/>
      <c r="J24" s="1274">
        <v>15427.3</v>
      </c>
      <c r="L24" s="1274">
        <v>6740.6</v>
      </c>
      <c r="N24" s="1274">
        <v>2869.1149553527835</v>
      </c>
      <c r="O24" s="1274">
        <v>99.901878824472419</v>
      </c>
      <c r="AA24" s="1274">
        <v>0</v>
      </c>
      <c r="AC24" s="1274">
        <v>0</v>
      </c>
      <c r="AD24" s="1171">
        <v>0</v>
      </c>
    </row>
    <row r="25" spans="1:30" ht="14.4" x14ac:dyDescent="0.3">
      <c r="A25" s="316" t="s">
        <v>2890</v>
      </c>
      <c r="B25" s="313">
        <v>36775</v>
      </c>
      <c r="C25" s="316" t="s">
        <v>2889</v>
      </c>
      <c r="D25" s="316" t="s">
        <v>102</v>
      </c>
      <c r="E25" s="316" t="s">
        <v>1372</v>
      </c>
      <c r="F25" s="316" t="s">
        <v>495</v>
      </c>
      <c r="H25" s="1208"/>
      <c r="I25" s="1208"/>
      <c r="J25" s="1274">
        <v>10263.299999999999</v>
      </c>
      <c r="L25" s="1274">
        <v>4817.8999999999996</v>
      </c>
      <c r="N25" s="1274">
        <v>2058.2968112907406</v>
      </c>
      <c r="O25" s="1274">
        <v>75.854479663491247</v>
      </c>
      <c r="AA25" s="1274">
        <v>0</v>
      </c>
      <c r="AC25" s="1274">
        <v>0</v>
      </c>
      <c r="AD25" s="1171">
        <v>0</v>
      </c>
    </row>
    <row r="26" spans="1:30" ht="14.4" x14ac:dyDescent="0.3">
      <c r="A26" s="316" t="s">
        <v>2892</v>
      </c>
      <c r="B26" s="313">
        <v>36775</v>
      </c>
      <c r="C26" s="316" t="s">
        <v>2889</v>
      </c>
      <c r="D26" s="316" t="s">
        <v>102</v>
      </c>
      <c r="E26" s="316" t="s">
        <v>1372</v>
      </c>
      <c r="F26" s="316" t="s">
        <v>495</v>
      </c>
      <c r="H26" s="1208"/>
      <c r="I26" s="1208"/>
      <c r="J26" s="1274">
        <v>12137.6</v>
      </c>
      <c r="L26" s="1274">
        <v>6471</v>
      </c>
      <c r="N26" s="1274">
        <v>2752.3250553131102</v>
      </c>
      <c r="O26" s="1274">
        <v>95.912963150739671</v>
      </c>
      <c r="AA26" s="1274">
        <v>0</v>
      </c>
      <c r="AC26" s="1274">
        <v>0</v>
      </c>
      <c r="AD26" s="1171">
        <v>0</v>
      </c>
    </row>
    <row r="27" spans="1:30" ht="14.4" x14ac:dyDescent="0.3">
      <c r="A27" s="316" t="s">
        <v>2842</v>
      </c>
      <c r="B27" s="313">
        <v>37146</v>
      </c>
      <c r="C27" s="316" t="s">
        <v>2843</v>
      </c>
      <c r="D27" s="316" t="s">
        <v>102</v>
      </c>
      <c r="E27" s="316" t="s">
        <v>1372</v>
      </c>
      <c r="F27" s="316" t="s">
        <v>500</v>
      </c>
      <c r="H27" s="1208"/>
      <c r="I27" s="1208"/>
      <c r="J27" s="1274">
        <v>7593.8</v>
      </c>
      <c r="L27" s="1274">
        <v>3681</v>
      </c>
      <c r="N27" s="1274">
        <v>1489.1654676818848</v>
      </c>
      <c r="O27" s="1274">
        <v>32.660482331514359</v>
      </c>
      <c r="AA27" s="1274">
        <v>3180</v>
      </c>
      <c r="AC27" s="1274">
        <v>1251.6953292846679</v>
      </c>
      <c r="AD27" s="1171">
        <v>16.985331380367278</v>
      </c>
    </row>
    <row r="28" spans="1:30" ht="14.4" x14ac:dyDescent="0.3">
      <c r="A28" s="316" t="s">
        <v>2844</v>
      </c>
      <c r="B28" s="313">
        <v>37146</v>
      </c>
      <c r="C28" s="316" t="s">
        <v>2843</v>
      </c>
      <c r="D28" s="316" t="s">
        <v>102</v>
      </c>
      <c r="E28" s="316" t="s">
        <v>1372</v>
      </c>
      <c r="F28" s="316" t="s">
        <v>500</v>
      </c>
      <c r="H28" s="1208"/>
      <c r="I28" s="1208"/>
      <c r="J28" s="1274">
        <v>6985.7</v>
      </c>
      <c r="L28" s="1274">
        <v>3074.9</v>
      </c>
      <c r="N28" s="1274">
        <v>1243.2698183822631</v>
      </c>
      <c r="O28" s="1274">
        <v>29.034808848977089</v>
      </c>
      <c r="AA28" s="1274">
        <v>2296</v>
      </c>
      <c r="AC28" s="1274">
        <v>933.98390380859371</v>
      </c>
      <c r="AD28" s="1171">
        <v>9.0824509668350224</v>
      </c>
    </row>
    <row r="29" spans="1:30" ht="14.4" x14ac:dyDescent="0.3">
      <c r="A29" s="316" t="s">
        <v>2845</v>
      </c>
      <c r="B29" s="313">
        <v>37146</v>
      </c>
      <c r="C29" s="316" t="s">
        <v>2843</v>
      </c>
      <c r="D29" s="316" t="s">
        <v>102</v>
      </c>
      <c r="E29" s="316" t="s">
        <v>1372</v>
      </c>
      <c r="F29" s="316" t="s">
        <v>500</v>
      </c>
      <c r="H29" s="1208"/>
      <c r="I29" s="1208"/>
      <c r="J29" s="1274">
        <v>8258.4</v>
      </c>
      <c r="L29" s="1274">
        <v>3914.8</v>
      </c>
      <c r="N29" s="1274">
        <v>1619.4941777801514</v>
      </c>
      <c r="O29" s="1274">
        <v>54.264052935600283</v>
      </c>
      <c r="AA29" s="1274">
        <v>3892</v>
      </c>
      <c r="AC29" s="1274">
        <v>1651.2938059997559</v>
      </c>
      <c r="AD29" s="1171">
        <v>18.507671619653703</v>
      </c>
    </row>
    <row r="30" spans="1:30" ht="14.4" x14ac:dyDescent="0.3">
      <c r="A30" s="316" t="s">
        <v>2846</v>
      </c>
      <c r="B30" s="313">
        <v>37146</v>
      </c>
      <c r="C30" s="316" t="s">
        <v>2847</v>
      </c>
      <c r="D30" s="316" t="s">
        <v>102</v>
      </c>
      <c r="E30" s="316" t="s">
        <v>1372</v>
      </c>
      <c r="F30" s="316" t="s">
        <v>495</v>
      </c>
      <c r="H30" s="1208"/>
      <c r="I30" s="1208"/>
      <c r="J30" s="1274">
        <v>11505.4</v>
      </c>
      <c r="L30" s="1274">
        <v>5951.1</v>
      </c>
      <c r="N30" s="1274">
        <v>2402.1103091697696</v>
      </c>
      <c r="O30" s="1274">
        <v>54.858407839357859</v>
      </c>
      <c r="AA30" s="1274">
        <v>0</v>
      </c>
      <c r="AC30" s="1274">
        <v>0</v>
      </c>
      <c r="AD30" s="1171">
        <v>0</v>
      </c>
    </row>
    <row r="31" spans="1:30" ht="14.4" x14ac:dyDescent="0.3">
      <c r="A31" s="316" t="s">
        <v>2848</v>
      </c>
      <c r="B31" s="313">
        <v>37146</v>
      </c>
      <c r="C31" s="316" t="s">
        <v>2847</v>
      </c>
      <c r="D31" s="316" t="s">
        <v>102</v>
      </c>
      <c r="E31" s="316" t="s">
        <v>1372</v>
      </c>
      <c r="F31" s="316" t="s">
        <v>495</v>
      </c>
      <c r="H31" s="1208"/>
      <c r="I31" s="1208"/>
      <c r="J31" s="1274">
        <v>7367.4</v>
      </c>
      <c r="L31" s="1274">
        <v>3322.1</v>
      </c>
      <c r="N31" s="1274">
        <v>1387.5765538978576</v>
      </c>
      <c r="O31" s="1274">
        <v>35.717554620623588</v>
      </c>
      <c r="AA31" s="1274">
        <v>0</v>
      </c>
      <c r="AC31" s="1274">
        <v>0</v>
      </c>
      <c r="AD31" s="1171">
        <v>0</v>
      </c>
    </row>
    <row r="32" spans="1:30" ht="14.4" x14ac:dyDescent="0.3">
      <c r="A32" s="316" t="s">
        <v>2849</v>
      </c>
      <c r="B32" s="313">
        <v>37146</v>
      </c>
      <c r="C32" s="316" t="s">
        <v>2847</v>
      </c>
      <c r="D32" s="316" t="s">
        <v>102</v>
      </c>
      <c r="E32" s="316" t="s">
        <v>1372</v>
      </c>
      <c r="F32" s="316" t="s">
        <v>495</v>
      </c>
      <c r="H32" s="1208"/>
      <c r="I32" s="1208"/>
      <c r="J32" s="1274">
        <v>8725</v>
      </c>
      <c r="L32" s="1274">
        <v>3562.2</v>
      </c>
      <c r="N32" s="1274">
        <v>1473.1369227218629</v>
      </c>
      <c r="O32" s="1274">
        <v>46.678814337730408</v>
      </c>
      <c r="AA32" s="1274">
        <v>0</v>
      </c>
      <c r="AC32" s="1274">
        <v>0</v>
      </c>
      <c r="AD32" s="1171">
        <v>0</v>
      </c>
    </row>
    <row r="33" spans="1:30" ht="14.4" x14ac:dyDescent="0.3">
      <c r="A33" s="316" t="s">
        <v>2850</v>
      </c>
      <c r="B33" s="313">
        <v>37146</v>
      </c>
      <c r="C33" s="316" t="s">
        <v>2851</v>
      </c>
      <c r="D33" s="316" t="s">
        <v>102</v>
      </c>
      <c r="E33" s="316" t="s">
        <v>1372</v>
      </c>
      <c r="F33" s="316" t="s">
        <v>500</v>
      </c>
      <c r="H33" s="1208"/>
      <c r="I33" s="1208"/>
      <c r="J33" s="1274">
        <v>11933.2</v>
      </c>
      <c r="L33" s="1274">
        <v>5448.7</v>
      </c>
      <c r="N33" s="1274">
        <v>2206.309875694275</v>
      </c>
      <c r="O33" s="1274">
        <v>66.997894635081295</v>
      </c>
      <c r="AA33" s="1274">
        <v>3621</v>
      </c>
      <c r="AC33" s="1274">
        <v>1445.4597608184815</v>
      </c>
      <c r="AD33" s="1171">
        <v>30.946857821345329</v>
      </c>
    </row>
    <row r="34" spans="1:30" ht="14.4" x14ac:dyDescent="0.3">
      <c r="A34" s="316" t="s">
        <v>2852</v>
      </c>
      <c r="B34" s="313">
        <v>37146</v>
      </c>
      <c r="C34" s="316" t="s">
        <v>2851</v>
      </c>
      <c r="D34" s="316" t="s">
        <v>102</v>
      </c>
      <c r="E34" s="316" t="s">
        <v>1372</v>
      </c>
      <c r="F34" s="316" t="s">
        <v>500</v>
      </c>
      <c r="H34" s="1208"/>
      <c r="I34" s="1208"/>
      <c r="J34" s="1274">
        <v>8158.6</v>
      </c>
      <c r="L34" s="1274">
        <v>4413.3999999999996</v>
      </c>
      <c r="N34" s="1274">
        <v>1848.0311116638184</v>
      </c>
      <c r="O34" s="1274">
        <v>62.195614195108412</v>
      </c>
      <c r="AA34" s="1274">
        <v>2813</v>
      </c>
      <c r="AC34" s="1274">
        <v>1127.2354074096679</v>
      </c>
      <c r="AD34" s="1171">
        <v>20.161460605859755</v>
      </c>
    </row>
    <row r="35" spans="1:30" ht="14.4" x14ac:dyDescent="0.3">
      <c r="A35" s="316" t="s">
        <v>2853</v>
      </c>
      <c r="B35" s="313">
        <v>37146</v>
      </c>
      <c r="C35" s="316" t="s">
        <v>2851</v>
      </c>
      <c r="D35" s="316" t="s">
        <v>102</v>
      </c>
      <c r="E35" s="316" t="s">
        <v>1372</v>
      </c>
      <c r="F35" s="316" t="s">
        <v>500</v>
      </c>
      <c r="H35" s="1208"/>
      <c r="I35" s="1208"/>
      <c r="J35" s="1274">
        <v>8686.7999999999993</v>
      </c>
      <c r="L35" s="1274">
        <v>3537.5</v>
      </c>
      <c r="N35" s="1274">
        <v>1475.1719379425049</v>
      </c>
      <c r="O35" s="1274">
        <v>57.768931657075882</v>
      </c>
      <c r="AA35" s="1274">
        <v>3124</v>
      </c>
      <c r="AC35" s="1274">
        <v>1292.1959373474122</v>
      </c>
      <c r="AD35" s="1171">
        <v>21.508653943538665</v>
      </c>
    </row>
    <row r="36" spans="1:30" ht="14.4" x14ac:dyDescent="0.3">
      <c r="A36" s="316" t="s">
        <v>2854</v>
      </c>
      <c r="B36" s="313">
        <v>37146</v>
      </c>
      <c r="C36" s="316" t="s">
        <v>2855</v>
      </c>
      <c r="D36" s="316" t="s">
        <v>102</v>
      </c>
      <c r="E36" s="316" t="s">
        <v>1372</v>
      </c>
      <c r="F36" s="316" t="s">
        <v>495</v>
      </c>
      <c r="H36" s="1208"/>
      <c r="I36" s="1208"/>
      <c r="J36" s="1274">
        <v>9823.9</v>
      </c>
      <c r="L36" s="1274">
        <v>4708</v>
      </c>
      <c r="N36" s="1274">
        <v>1906.6945622253418</v>
      </c>
      <c r="O36" s="1274">
        <v>58.332202434539795</v>
      </c>
      <c r="AA36" s="1274">
        <v>0</v>
      </c>
      <c r="AC36" s="1274">
        <v>0</v>
      </c>
      <c r="AD36" s="1171">
        <v>0</v>
      </c>
    </row>
    <row r="37" spans="1:30" ht="14.4" x14ac:dyDescent="0.3">
      <c r="A37" s="316" t="s">
        <v>2856</v>
      </c>
      <c r="B37" s="313">
        <v>37146</v>
      </c>
      <c r="C37" s="316" t="s">
        <v>2855</v>
      </c>
      <c r="D37" s="316" t="s">
        <v>102</v>
      </c>
      <c r="E37" s="316" t="s">
        <v>1372</v>
      </c>
      <c r="F37" s="316" t="s">
        <v>495</v>
      </c>
      <c r="H37" s="1208"/>
      <c r="I37" s="1208"/>
      <c r="J37" s="1274">
        <v>10176.299999999999</v>
      </c>
      <c r="L37" s="1274">
        <v>5359.9</v>
      </c>
      <c r="N37" s="1274">
        <v>2197.234720161438</v>
      </c>
      <c r="O37" s="1274">
        <v>72.386605334758755</v>
      </c>
      <c r="AA37" s="1274">
        <v>0</v>
      </c>
      <c r="AC37" s="1274">
        <v>0</v>
      </c>
      <c r="AD37" s="1171">
        <v>0</v>
      </c>
    </row>
    <row r="38" spans="1:30" ht="14.4" x14ac:dyDescent="0.3">
      <c r="A38" s="316" t="s">
        <v>2857</v>
      </c>
      <c r="B38" s="313">
        <v>37146</v>
      </c>
      <c r="C38" s="316" t="s">
        <v>2855</v>
      </c>
      <c r="D38" s="316" t="s">
        <v>102</v>
      </c>
      <c r="E38" s="316" t="s">
        <v>1372</v>
      </c>
      <c r="F38" s="316" t="s">
        <v>495</v>
      </c>
      <c r="H38" s="1208"/>
      <c r="I38" s="1208"/>
      <c r="J38" s="1274">
        <v>8352.6</v>
      </c>
      <c r="L38" s="1274">
        <v>3458.5</v>
      </c>
      <c r="N38" s="1274">
        <v>1447.0729502487184</v>
      </c>
      <c r="O38" s="1274">
        <v>55.918502272963522</v>
      </c>
      <c r="AA38" s="1274">
        <v>0</v>
      </c>
      <c r="AC38" s="1274">
        <v>0</v>
      </c>
      <c r="AD38" s="1171">
        <v>0</v>
      </c>
    </row>
    <row r="39" spans="1:30" ht="14.4" x14ac:dyDescent="0.3">
      <c r="A39" s="316" t="s">
        <v>2858</v>
      </c>
      <c r="B39" s="313">
        <v>37146</v>
      </c>
      <c r="C39" s="316" t="s">
        <v>2859</v>
      </c>
      <c r="D39" s="316" t="s">
        <v>102</v>
      </c>
      <c r="E39" s="316" t="s">
        <v>1372</v>
      </c>
      <c r="F39" s="316" t="s">
        <v>500</v>
      </c>
      <c r="H39" s="1208"/>
      <c r="I39" s="1208"/>
      <c r="J39" s="1274">
        <v>9391.2000000000007</v>
      </c>
      <c r="L39" s="1274">
        <v>4666.6000000000004</v>
      </c>
      <c r="N39" s="1274">
        <v>1876.4615353088382</v>
      </c>
      <c r="O39" s="1274">
        <v>73.076329542160039</v>
      </c>
      <c r="AA39" s="1274">
        <v>1829</v>
      </c>
      <c r="AC39" s="1274">
        <v>736.38502189636233</v>
      </c>
      <c r="AD39" s="1171">
        <v>20.684285743236543</v>
      </c>
    </row>
    <row r="40" spans="1:30" ht="14.4" x14ac:dyDescent="0.3">
      <c r="A40" s="316" t="s">
        <v>2860</v>
      </c>
      <c r="B40" s="313">
        <v>37146</v>
      </c>
      <c r="C40" s="316" t="s">
        <v>2859</v>
      </c>
      <c r="D40" s="316" t="s">
        <v>102</v>
      </c>
      <c r="E40" s="316" t="s">
        <v>1372</v>
      </c>
      <c r="F40" s="316" t="s">
        <v>500</v>
      </c>
      <c r="H40" s="1208"/>
      <c r="I40" s="1208"/>
      <c r="J40" s="1274">
        <v>12591.8</v>
      </c>
      <c r="L40" s="1274">
        <v>6647.3</v>
      </c>
      <c r="N40" s="1274">
        <v>2742.1098904304504</v>
      </c>
      <c r="O40" s="1274">
        <v>90.014757468819624</v>
      </c>
      <c r="AA40" s="1274">
        <v>3274</v>
      </c>
      <c r="AC40" s="1274">
        <v>1311.698954925537</v>
      </c>
      <c r="AD40" s="1171">
        <v>26.572807527780533</v>
      </c>
    </row>
    <row r="41" spans="1:30" ht="14.4" x14ac:dyDescent="0.3">
      <c r="A41" s="316" t="s">
        <v>2861</v>
      </c>
      <c r="B41" s="313">
        <v>37146</v>
      </c>
      <c r="C41" s="316" t="s">
        <v>2859</v>
      </c>
      <c r="D41" s="316" t="s">
        <v>102</v>
      </c>
      <c r="E41" s="316" t="s">
        <v>1372</v>
      </c>
      <c r="F41" s="316" t="s">
        <v>500</v>
      </c>
      <c r="H41" s="1208"/>
      <c r="I41" s="1208"/>
      <c r="J41" s="1274">
        <v>10981.9</v>
      </c>
      <c r="L41" s="1274">
        <v>5288.8</v>
      </c>
      <c r="N41" s="1274">
        <v>2246.1449509887698</v>
      </c>
      <c r="O41" s="1274">
        <v>76.140704076766966</v>
      </c>
      <c r="AA41" s="1274">
        <v>2830</v>
      </c>
      <c r="AC41" s="1274">
        <v>1142.6327957153321</v>
      </c>
      <c r="AD41" s="1171">
        <v>27.379159510135651</v>
      </c>
    </row>
    <row r="42" spans="1:30" ht="14.4" x14ac:dyDescent="0.3">
      <c r="A42" s="316" t="s">
        <v>2888</v>
      </c>
      <c r="B42" s="313">
        <v>37146</v>
      </c>
      <c r="C42" s="316" t="s">
        <v>2889</v>
      </c>
      <c r="D42" s="316" t="s">
        <v>102</v>
      </c>
      <c r="E42" s="316" t="s">
        <v>1372</v>
      </c>
      <c r="F42" s="316" t="s">
        <v>495</v>
      </c>
      <c r="H42" s="1208"/>
      <c r="I42" s="1208"/>
      <c r="J42" s="1274">
        <v>12713</v>
      </c>
      <c r="L42" s="1274">
        <v>6140.1</v>
      </c>
      <c r="N42" s="1274">
        <v>2471.7781286315922</v>
      </c>
      <c r="O42" s="1274">
        <v>75.524797559022915</v>
      </c>
      <c r="AA42" s="1274">
        <v>0</v>
      </c>
      <c r="AC42" s="1274">
        <v>0</v>
      </c>
      <c r="AD42" s="1171">
        <v>0</v>
      </c>
    </row>
    <row r="43" spans="1:30" ht="14.4" x14ac:dyDescent="0.3">
      <c r="A43" s="316" t="s">
        <v>2890</v>
      </c>
      <c r="B43" s="313">
        <v>37146</v>
      </c>
      <c r="C43" s="316" t="s">
        <v>2889</v>
      </c>
      <c r="D43" s="316" t="s">
        <v>102</v>
      </c>
      <c r="E43" s="316" t="s">
        <v>1372</v>
      </c>
      <c r="F43" s="316" t="s">
        <v>495</v>
      </c>
      <c r="H43" s="1208"/>
      <c r="I43" s="1208"/>
      <c r="J43" s="1274">
        <v>13252.8</v>
      </c>
      <c r="L43" s="1274">
        <v>6792.7</v>
      </c>
      <c r="N43" s="1274">
        <v>2783.4737813911433</v>
      </c>
      <c r="O43" s="1274">
        <v>88.597984399795536</v>
      </c>
      <c r="AA43" s="1274">
        <v>0</v>
      </c>
      <c r="AC43" s="1274">
        <v>0</v>
      </c>
      <c r="AD43" s="1171">
        <v>0</v>
      </c>
    </row>
    <row r="44" spans="1:30" ht="14.4" x14ac:dyDescent="0.3">
      <c r="A44" s="316" t="s">
        <v>2892</v>
      </c>
      <c r="B44" s="313">
        <v>37146</v>
      </c>
      <c r="C44" s="316" t="s">
        <v>2889</v>
      </c>
      <c r="D44" s="316" t="s">
        <v>102</v>
      </c>
      <c r="E44" s="316" t="s">
        <v>1372</v>
      </c>
      <c r="F44" s="316" t="s">
        <v>495</v>
      </c>
      <c r="H44" s="1208"/>
      <c r="I44" s="1208"/>
      <c r="J44" s="1274">
        <v>8277.7000000000007</v>
      </c>
      <c r="L44" s="1274">
        <v>3939.7</v>
      </c>
      <c r="N44" s="1274">
        <v>1627.6832437057494</v>
      </c>
      <c r="O44" s="1274">
        <v>56.21121741199493</v>
      </c>
      <c r="AA44" s="1274">
        <v>0</v>
      </c>
      <c r="AC44" s="1274">
        <v>0</v>
      </c>
      <c r="AD44" s="1171">
        <v>0</v>
      </c>
    </row>
    <row r="45" spans="1:30" ht="14.4" x14ac:dyDescent="0.3">
      <c r="A45" s="316" t="s">
        <v>2842</v>
      </c>
      <c r="B45" s="313">
        <v>37504</v>
      </c>
      <c r="C45" s="316" t="s">
        <v>2843</v>
      </c>
      <c r="D45" s="316" t="s">
        <v>102</v>
      </c>
      <c r="E45" s="316" t="s">
        <v>1372</v>
      </c>
      <c r="F45" s="316" t="s">
        <v>500</v>
      </c>
      <c r="H45" s="1208"/>
      <c r="I45" s="1208"/>
      <c r="J45" s="1274">
        <v>5233.2</v>
      </c>
      <c r="L45" s="1274">
        <v>1986.7</v>
      </c>
      <c r="N45" s="1274">
        <v>838.63917821121208</v>
      </c>
      <c r="O45" s="1274">
        <v>24.01881915986538</v>
      </c>
      <c r="AA45" s="1274">
        <v>1761</v>
      </c>
      <c r="AC45" s="1274">
        <v>762.10864929199215</v>
      </c>
      <c r="AD45" s="1171">
        <v>8.7394632402062413</v>
      </c>
    </row>
    <row r="46" spans="1:30" ht="14.4" x14ac:dyDescent="0.3">
      <c r="A46" s="316" t="s">
        <v>2844</v>
      </c>
      <c r="B46" s="313">
        <v>37504</v>
      </c>
      <c r="C46" s="316" t="s">
        <v>2843</v>
      </c>
      <c r="D46" s="316" t="s">
        <v>102</v>
      </c>
      <c r="E46" s="316" t="s">
        <v>1372</v>
      </c>
      <c r="F46" s="316" t="s">
        <v>500</v>
      </c>
      <c r="H46" s="1208"/>
      <c r="I46" s="1208"/>
      <c r="J46" s="1274">
        <v>6292.6</v>
      </c>
      <c r="L46" s="1274">
        <v>2902.4</v>
      </c>
      <c r="N46" s="1274">
        <v>1243.5206936035156</v>
      </c>
      <c r="O46" s="1274">
        <v>35.959440906524662</v>
      </c>
      <c r="AA46" s="1274">
        <v>1549</v>
      </c>
      <c r="AC46" s="1274">
        <v>682.32190208435054</v>
      </c>
      <c r="AD46" s="1171">
        <v>11.034388456344605</v>
      </c>
    </row>
    <row r="47" spans="1:30" ht="14.4" x14ac:dyDescent="0.3">
      <c r="A47" s="316" t="s">
        <v>2845</v>
      </c>
      <c r="B47" s="313">
        <v>37504</v>
      </c>
      <c r="C47" s="316" t="s">
        <v>2843</v>
      </c>
      <c r="D47" s="316" t="s">
        <v>102</v>
      </c>
      <c r="E47" s="316" t="s">
        <v>1372</v>
      </c>
      <c r="F47" s="316" t="s">
        <v>500</v>
      </c>
      <c r="H47" s="1208"/>
      <c r="I47" s="1208"/>
      <c r="J47" s="1274">
        <v>7768.6</v>
      </c>
      <c r="L47" s="1274">
        <v>3382.1</v>
      </c>
      <c r="N47" s="1274">
        <v>1431.3534780578611</v>
      </c>
      <c r="O47" s="1274">
        <v>43.514259658217426</v>
      </c>
      <c r="AA47" s="1274">
        <v>2080.1</v>
      </c>
      <c r="AC47" s="1274">
        <v>918.65404552841176</v>
      </c>
      <c r="AD47" s="1171">
        <v>11.67587984061241</v>
      </c>
    </row>
    <row r="48" spans="1:30" ht="14.4" x14ac:dyDescent="0.3">
      <c r="A48" s="316" t="s">
        <v>2846</v>
      </c>
      <c r="B48" s="313">
        <v>37504</v>
      </c>
      <c r="C48" s="316" t="s">
        <v>2847</v>
      </c>
      <c r="D48" s="316" t="s">
        <v>102</v>
      </c>
      <c r="E48" s="316" t="s">
        <v>1372</v>
      </c>
      <c r="F48" s="316" t="s">
        <v>495</v>
      </c>
      <c r="H48" s="1208"/>
      <c r="I48" s="1208"/>
      <c r="J48" s="1274">
        <v>8636.6</v>
      </c>
      <c r="L48" s="1274">
        <v>4122.8</v>
      </c>
      <c r="N48" s="1274">
        <v>1733.273125808716</v>
      </c>
      <c r="O48" s="1274">
        <v>43.983843875885015</v>
      </c>
      <c r="AA48" s="1274">
        <v>0</v>
      </c>
      <c r="AC48" s="1274">
        <v>0</v>
      </c>
      <c r="AD48" s="1171">
        <v>0</v>
      </c>
    </row>
    <row r="49" spans="1:30" ht="14.4" x14ac:dyDescent="0.3">
      <c r="A49" s="316" t="s">
        <v>2848</v>
      </c>
      <c r="B49" s="313">
        <v>37504</v>
      </c>
      <c r="C49" s="316" t="s">
        <v>2847</v>
      </c>
      <c r="D49" s="316" t="s">
        <v>102</v>
      </c>
      <c r="E49" s="316" t="s">
        <v>1372</v>
      </c>
      <c r="F49" s="316" t="s">
        <v>495</v>
      </c>
      <c r="H49" s="1208"/>
      <c r="I49" s="1208"/>
      <c r="J49" s="1274">
        <v>7217.6</v>
      </c>
      <c r="L49" s="1274">
        <v>3599.7</v>
      </c>
      <c r="N49" s="1274">
        <v>1526.8431351585386</v>
      </c>
      <c r="O49" s="1274">
        <v>47.457844948410987</v>
      </c>
      <c r="AA49" s="1274">
        <v>0</v>
      </c>
      <c r="AC49" s="1274">
        <v>0</v>
      </c>
      <c r="AD49" s="1171">
        <v>0</v>
      </c>
    </row>
    <row r="50" spans="1:30" ht="14.4" x14ac:dyDescent="0.3">
      <c r="A50" s="316" t="s">
        <v>2849</v>
      </c>
      <c r="B50" s="313">
        <v>37504</v>
      </c>
      <c r="C50" s="316" t="s">
        <v>2847</v>
      </c>
      <c r="D50" s="316" t="s">
        <v>102</v>
      </c>
      <c r="E50" s="316" t="s">
        <v>1372</v>
      </c>
      <c r="F50" s="316" t="s">
        <v>495</v>
      </c>
      <c r="H50" s="1208"/>
      <c r="I50" s="1208"/>
      <c r="J50" s="1274">
        <v>9518.6</v>
      </c>
      <c r="L50" s="1274">
        <v>4309.6000000000004</v>
      </c>
      <c r="N50" s="1274">
        <v>1825.7869364624025</v>
      </c>
      <c r="O50" s="1274">
        <v>62.272771833419803</v>
      </c>
      <c r="AA50" s="1274">
        <v>0</v>
      </c>
      <c r="AC50" s="1274">
        <v>0</v>
      </c>
      <c r="AD50" s="1171">
        <v>0</v>
      </c>
    </row>
    <row r="51" spans="1:30" ht="14.4" x14ac:dyDescent="0.3">
      <c r="A51" s="316" t="s">
        <v>2850</v>
      </c>
      <c r="B51" s="313">
        <v>37504</v>
      </c>
      <c r="C51" s="316" t="s">
        <v>2851</v>
      </c>
      <c r="D51" s="316" t="s">
        <v>102</v>
      </c>
      <c r="E51" s="316" t="s">
        <v>1372</v>
      </c>
      <c r="F51" s="316" t="s">
        <v>500</v>
      </c>
      <c r="H51" s="1208"/>
      <c r="I51" s="1208"/>
      <c r="J51" s="1274">
        <v>8309</v>
      </c>
      <c r="L51" s="1274">
        <v>4087.2</v>
      </c>
      <c r="N51" s="1274">
        <v>1738.9280093078612</v>
      </c>
      <c r="O51" s="1274">
        <v>58.222416893005366</v>
      </c>
      <c r="AA51" s="1274">
        <v>1455.1</v>
      </c>
      <c r="AC51" s="1274">
        <v>640.12471403884888</v>
      </c>
      <c r="AD51" s="1171">
        <v>10.445241501986979</v>
      </c>
    </row>
    <row r="52" spans="1:30" ht="14.4" x14ac:dyDescent="0.3">
      <c r="A52" s="316" t="s">
        <v>2852</v>
      </c>
      <c r="B52" s="313">
        <v>37504</v>
      </c>
      <c r="C52" s="316" t="s">
        <v>2851</v>
      </c>
      <c r="D52" s="316" t="s">
        <v>102</v>
      </c>
      <c r="E52" s="316" t="s">
        <v>1372</v>
      </c>
      <c r="F52" s="316" t="s">
        <v>500</v>
      </c>
      <c r="H52" s="1208"/>
      <c r="I52" s="1208"/>
      <c r="J52" s="1274">
        <v>12190.8</v>
      </c>
      <c r="L52" s="1274">
        <v>6326.9</v>
      </c>
      <c r="N52" s="1274">
        <v>2683.3135821952815</v>
      </c>
      <c r="O52" s="1274">
        <v>90.128070008158687</v>
      </c>
      <c r="AA52" s="1274">
        <v>1700.9</v>
      </c>
      <c r="AC52" s="1274">
        <v>748.50273448562632</v>
      </c>
      <c r="AD52" s="1171">
        <v>14.006599877476692</v>
      </c>
    </row>
    <row r="53" spans="1:30" ht="14.4" x14ac:dyDescent="0.3">
      <c r="A53" s="316" t="s">
        <v>2853</v>
      </c>
      <c r="B53" s="313">
        <v>37504</v>
      </c>
      <c r="C53" s="316" t="s">
        <v>2851</v>
      </c>
      <c r="D53" s="316" t="s">
        <v>102</v>
      </c>
      <c r="E53" s="316" t="s">
        <v>1372</v>
      </c>
      <c r="F53" s="316" t="s">
        <v>500</v>
      </c>
      <c r="H53" s="1208"/>
      <c r="I53" s="1208"/>
      <c r="J53" s="1274">
        <v>4724.8999999999996</v>
      </c>
      <c r="L53" s="1274">
        <v>1737.7</v>
      </c>
      <c r="N53" s="1274">
        <v>735.22420826339726</v>
      </c>
      <c r="O53" s="1274">
        <v>25.929543323516846</v>
      </c>
      <c r="AA53" s="1274">
        <v>1548.7</v>
      </c>
      <c r="AC53" s="1274">
        <v>667.57362651443486</v>
      </c>
      <c r="AD53" s="1171">
        <v>12.918974236428737</v>
      </c>
    </row>
    <row r="54" spans="1:30" ht="14.4" x14ac:dyDescent="0.3">
      <c r="A54" s="316" t="s">
        <v>2854</v>
      </c>
      <c r="B54" s="313">
        <v>37504</v>
      </c>
      <c r="C54" s="316" t="s">
        <v>2855</v>
      </c>
      <c r="D54" s="316" t="s">
        <v>102</v>
      </c>
      <c r="E54" s="316" t="s">
        <v>1372</v>
      </c>
      <c r="F54" s="316" t="s">
        <v>495</v>
      </c>
      <c r="H54" s="1208"/>
      <c r="I54" s="1208"/>
      <c r="J54" s="1274">
        <v>8087.3</v>
      </c>
      <c r="L54" s="1274">
        <v>3345.1</v>
      </c>
      <c r="N54" s="1274">
        <v>1422.0757097969056</v>
      </c>
      <c r="O54" s="1274">
        <v>55.805618511795991</v>
      </c>
      <c r="AA54" s="1274">
        <v>0</v>
      </c>
      <c r="AC54" s="1274">
        <v>0</v>
      </c>
      <c r="AD54" s="1171">
        <v>0</v>
      </c>
    </row>
    <row r="55" spans="1:30" ht="14.4" x14ac:dyDescent="0.3">
      <c r="A55" s="316" t="s">
        <v>2856</v>
      </c>
      <c r="B55" s="313">
        <v>37504</v>
      </c>
      <c r="C55" s="316" t="s">
        <v>2855</v>
      </c>
      <c r="D55" s="316" t="s">
        <v>102</v>
      </c>
      <c r="E55" s="316" t="s">
        <v>1372</v>
      </c>
      <c r="F55" s="316" t="s">
        <v>495</v>
      </c>
      <c r="H55" s="1208"/>
      <c r="I55" s="1208"/>
      <c r="J55" s="1274">
        <v>10301.1</v>
      </c>
      <c r="L55" s="1274">
        <v>4866.8</v>
      </c>
      <c r="N55" s="1274">
        <v>2056.2354387969972</v>
      </c>
      <c r="O55" s="1274">
        <v>80.926581195831304</v>
      </c>
      <c r="AA55" s="1274">
        <v>0</v>
      </c>
      <c r="AC55" s="1274">
        <v>0</v>
      </c>
      <c r="AD55" s="1171">
        <v>0</v>
      </c>
    </row>
    <row r="56" spans="1:30" ht="14.4" x14ac:dyDescent="0.3">
      <c r="A56" s="316" t="s">
        <v>2857</v>
      </c>
      <c r="B56" s="313">
        <v>37504</v>
      </c>
      <c r="C56" s="316" t="s">
        <v>2855</v>
      </c>
      <c r="D56" s="316" t="s">
        <v>102</v>
      </c>
      <c r="E56" s="316" t="s">
        <v>1372</v>
      </c>
      <c r="F56" s="316" t="s">
        <v>495</v>
      </c>
      <c r="H56" s="1208"/>
      <c r="I56" s="1208"/>
      <c r="J56" s="1274">
        <v>10766.5</v>
      </c>
      <c r="L56" s="1274">
        <v>5152.8999999999996</v>
      </c>
      <c r="N56" s="1274">
        <v>2202.1474750633238</v>
      </c>
      <c r="O56" s="1274">
        <v>68.992747831344602</v>
      </c>
      <c r="AA56" s="1274">
        <v>0</v>
      </c>
      <c r="AC56" s="1274">
        <v>0</v>
      </c>
      <c r="AD56" s="1171">
        <v>0</v>
      </c>
    </row>
    <row r="57" spans="1:30" ht="14.4" x14ac:dyDescent="0.3">
      <c r="A57" s="316" t="s">
        <v>2858</v>
      </c>
      <c r="B57" s="313">
        <v>37504</v>
      </c>
      <c r="C57" s="316" t="s">
        <v>2859</v>
      </c>
      <c r="D57" s="316" t="s">
        <v>102</v>
      </c>
      <c r="E57" s="316" t="s">
        <v>1372</v>
      </c>
      <c r="F57" s="316" t="s">
        <v>500</v>
      </c>
      <c r="H57" s="1208"/>
      <c r="I57" s="1208"/>
      <c r="J57" s="1274">
        <v>9953.9</v>
      </c>
      <c r="L57" s="1274">
        <v>3691</v>
      </c>
      <c r="N57" s="1274">
        <v>1562.9462510299682</v>
      </c>
      <c r="O57" s="1274">
        <v>50.153367178440092</v>
      </c>
      <c r="AA57" s="1274">
        <v>1374.3</v>
      </c>
      <c r="AC57" s="1274">
        <v>597.623957233429</v>
      </c>
      <c r="AD57" s="1171">
        <v>16.083334696769715</v>
      </c>
    </row>
    <row r="58" spans="1:30" ht="14.4" x14ac:dyDescent="0.3">
      <c r="A58" s="316" t="s">
        <v>2860</v>
      </c>
      <c r="B58" s="313">
        <v>37504</v>
      </c>
      <c r="C58" s="316" t="s">
        <v>2859</v>
      </c>
      <c r="D58" s="316" t="s">
        <v>102</v>
      </c>
      <c r="E58" s="316" t="s">
        <v>1372</v>
      </c>
      <c r="F58" s="316" t="s">
        <v>500</v>
      </c>
      <c r="H58" s="1208"/>
      <c r="I58" s="1208"/>
      <c r="J58" s="1274">
        <v>11132.4</v>
      </c>
      <c r="L58" s="1274">
        <v>5532.8</v>
      </c>
      <c r="N58" s="1274">
        <v>2350.9302911376953</v>
      </c>
      <c r="O58" s="1274">
        <v>85.831489929199222</v>
      </c>
      <c r="AA58" s="1274">
        <v>1525.4</v>
      </c>
      <c r="AC58" s="1274">
        <v>665.55304266357427</v>
      </c>
      <c r="AD58" s="1171">
        <v>17.117468002796173</v>
      </c>
    </row>
    <row r="59" spans="1:30" ht="14.4" x14ac:dyDescent="0.3">
      <c r="A59" s="316" t="s">
        <v>2861</v>
      </c>
      <c r="B59" s="313">
        <v>37504</v>
      </c>
      <c r="C59" s="316" t="s">
        <v>2859</v>
      </c>
      <c r="D59" s="316" t="s">
        <v>102</v>
      </c>
      <c r="E59" s="316" t="s">
        <v>1372</v>
      </c>
      <c r="F59" s="316" t="s">
        <v>500</v>
      </c>
      <c r="H59" s="1208"/>
      <c r="I59" s="1208"/>
      <c r="J59" s="1274">
        <v>7510.7</v>
      </c>
      <c r="L59" s="1274">
        <v>3750.9</v>
      </c>
      <c r="N59" s="1274">
        <v>1584.5361861305239</v>
      </c>
      <c r="O59" s="1274">
        <v>64.255123628497117</v>
      </c>
      <c r="AA59" s="1274">
        <v>1828.5</v>
      </c>
      <c r="AC59" s="1274">
        <v>801.46917966842648</v>
      </c>
      <c r="AD59" s="1171">
        <v>20.059610677957536</v>
      </c>
    </row>
    <row r="60" spans="1:30" ht="14.4" x14ac:dyDescent="0.3">
      <c r="A60" s="316" t="s">
        <v>2888</v>
      </c>
      <c r="B60" s="313">
        <v>37504</v>
      </c>
      <c r="C60" s="316" t="s">
        <v>2889</v>
      </c>
      <c r="D60" s="316" t="s">
        <v>102</v>
      </c>
      <c r="E60" s="316" t="s">
        <v>1372</v>
      </c>
      <c r="F60" s="316" t="s">
        <v>495</v>
      </c>
      <c r="H60" s="1208"/>
      <c r="I60" s="1208"/>
      <c r="J60" s="1274">
        <v>9791.7999999999993</v>
      </c>
      <c r="L60" s="1274">
        <v>4113.6000000000004</v>
      </c>
      <c r="N60" s="1274">
        <v>1745.1673073730469</v>
      </c>
      <c r="O60" s="1274">
        <v>69.362479625701909</v>
      </c>
      <c r="AA60" s="1274">
        <v>0</v>
      </c>
      <c r="AC60" s="1274">
        <v>0</v>
      </c>
      <c r="AD60" s="1171">
        <v>0</v>
      </c>
    </row>
    <row r="61" spans="1:30" ht="14.4" x14ac:dyDescent="0.3">
      <c r="A61" s="316" t="s">
        <v>2890</v>
      </c>
      <c r="B61" s="313">
        <v>37504</v>
      </c>
      <c r="C61" s="316" t="s">
        <v>2889</v>
      </c>
      <c r="D61" s="316" t="s">
        <v>102</v>
      </c>
      <c r="E61" s="316" t="s">
        <v>1372</v>
      </c>
      <c r="F61" s="316" t="s">
        <v>495</v>
      </c>
      <c r="H61" s="1208"/>
      <c r="I61" s="1208"/>
      <c r="J61" s="1274">
        <v>13785.9</v>
      </c>
      <c r="L61" s="1274">
        <v>7551.5</v>
      </c>
      <c r="N61" s="1274">
        <v>3204.6548494911194</v>
      </c>
      <c r="O61" s="1274">
        <v>114.75135426104069</v>
      </c>
      <c r="AA61" s="1274">
        <v>0</v>
      </c>
      <c r="AC61" s="1274">
        <v>0</v>
      </c>
      <c r="AD61" s="1171">
        <v>0</v>
      </c>
    </row>
    <row r="62" spans="1:30" ht="14.4" x14ac:dyDescent="0.3">
      <c r="A62" s="316" t="s">
        <v>2892</v>
      </c>
      <c r="B62" s="313">
        <v>37504</v>
      </c>
      <c r="C62" s="316" t="s">
        <v>2889</v>
      </c>
      <c r="D62" s="316" t="s">
        <v>102</v>
      </c>
      <c r="E62" s="316" t="s">
        <v>1372</v>
      </c>
      <c r="F62" s="316" t="s">
        <v>495</v>
      </c>
      <c r="H62" s="1208"/>
      <c r="I62" s="1208"/>
      <c r="J62" s="1274">
        <v>7131.8</v>
      </c>
      <c r="L62" s="1274">
        <v>3682.7</v>
      </c>
      <c r="N62" s="1274">
        <v>1561.5391721534729</v>
      </c>
      <c r="O62" s="1274">
        <v>57.367026081919668</v>
      </c>
      <c r="AA62" s="1274">
        <v>0</v>
      </c>
      <c r="AC62" s="1274">
        <v>0</v>
      </c>
      <c r="AD62" s="1171">
        <v>0</v>
      </c>
    </row>
    <row r="63" spans="1:30" ht="14.4" x14ac:dyDescent="0.3">
      <c r="A63" s="316" t="s">
        <v>2842</v>
      </c>
      <c r="B63" s="313">
        <v>37880</v>
      </c>
      <c r="C63" s="316" t="s">
        <v>2843</v>
      </c>
      <c r="D63" s="316" t="s">
        <v>102</v>
      </c>
      <c r="E63" s="316" t="s">
        <v>1372</v>
      </c>
      <c r="F63" s="316" t="s">
        <v>500</v>
      </c>
      <c r="H63" s="1208"/>
      <c r="I63" s="1208"/>
      <c r="J63" s="1274">
        <v>8509.7000000000007</v>
      </c>
      <c r="L63" s="1274">
        <v>3336.8</v>
      </c>
      <c r="N63" s="1274">
        <v>1411.1729738159181</v>
      </c>
      <c r="O63" s="1274">
        <v>32.540838474988938</v>
      </c>
      <c r="AA63" s="1274">
        <v>1449.4</v>
      </c>
      <c r="AC63" s="1274">
        <v>598.74749164581306</v>
      </c>
      <c r="AD63" s="1171">
        <v>5.7080329501628873</v>
      </c>
    </row>
    <row r="64" spans="1:30" ht="14.4" x14ac:dyDescent="0.3">
      <c r="A64" s="316" t="s">
        <v>2844</v>
      </c>
      <c r="B64" s="313">
        <v>37880</v>
      </c>
      <c r="C64" s="316" t="s">
        <v>2843</v>
      </c>
      <c r="D64" s="316" t="s">
        <v>102</v>
      </c>
      <c r="E64" s="316" t="s">
        <v>1372</v>
      </c>
      <c r="F64" s="316" t="s">
        <v>500</v>
      </c>
      <c r="H64" s="1208"/>
      <c r="I64" s="1208"/>
      <c r="J64" s="1274">
        <v>9352.1</v>
      </c>
      <c r="L64" s="1274">
        <v>4158.1000000000004</v>
      </c>
      <c r="N64" s="1274">
        <v>1787.2556529102326</v>
      </c>
      <c r="O64" s="1274">
        <v>52.246829105257994</v>
      </c>
      <c r="AA64" s="1274">
        <v>1995.3</v>
      </c>
      <c r="AC64" s="1274">
        <v>826.94302126693731</v>
      </c>
      <c r="AD64" s="1171">
        <v>14.530374370157718</v>
      </c>
    </row>
    <row r="65" spans="1:30" ht="14.4" x14ac:dyDescent="0.3">
      <c r="A65" s="316" t="s">
        <v>2845</v>
      </c>
      <c r="B65" s="313">
        <v>37880</v>
      </c>
      <c r="C65" s="316" t="s">
        <v>2843</v>
      </c>
      <c r="D65" s="316" t="s">
        <v>102</v>
      </c>
      <c r="E65" s="316" t="s">
        <v>1372</v>
      </c>
      <c r="F65" s="316" t="s">
        <v>500</v>
      </c>
      <c r="H65" s="1208"/>
      <c r="I65" s="1208"/>
      <c r="J65" s="1274">
        <v>8901.2999999999993</v>
      </c>
      <c r="L65" s="1274">
        <v>3809</v>
      </c>
      <c r="N65" s="1274">
        <v>1639.6899052810668</v>
      </c>
      <c r="O65" s="1274">
        <v>46.74105688214302</v>
      </c>
      <c r="AA65" s="1274">
        <v>2596.6999999999998</v>
      </c>
      <c r="AC65" s="1274">
        <v>1077.3284775123595</v>
      </c>
      <c r="AD65" s="1171">
        <v>13.926566517770288</v>
      </c>
    </row>
    <row r="66" spans="1:30" ht="14.4" x14ac:dyDescent="0.3">
      <c r="A66" s="316" t="s">
        <v>2846</v>
      </c>
      <c r="B66" s="313">
        <v>37880</v>
      </c>
      <c r="C66" s="316" t="s">
        <v>2847</v>
      </c>
      <c r="D66" s="316" t="s">
        <v>102</v>
      </c>
      <c r="E66" s="316" t="s">
        <v>1372</v>
      </c>
      <c r="F66" s="316" t="s">
        <v>495</v>
      </c>
      <c r="H66" s="1208"/>
      <c r="I66" s="1208"/>
      <c r="J66" s="1274">
        <v>11653.6</v>
      </c>
      <c r="L66" s="1274">
        <v>5333.5</v>
      </c>
      <c r="N66" s="1274">
        <v>2261.3498601245878</v>
      </c>
      <c r="O66" s="1274">
        <v>50.829151965081692</v>
      </c>
      <c r="AA66" s="1274">
        <v>0</v>
      </c>
      <c r="AC66" s="1274">
        <v>0</v>
      </c>
      <c r="AD66" s="1171">
        <v>0</v>
      </c>
    </row>
    <row r="67" spans="1:30" ht="14.4" x14ac:dyDescent="0.3">
      <c r="A67" s="316" t="s">
        <v>2848</v>
      </c>
      <c r="B67" s="313">
        <v>37880</v>
      </c>
      <c r="C67" s="316" t="s">
        <v>2847</v>
      </c>
      <c r="D67" s="316" t="s">
        <v>102</v>
      </c>
      <c r="E67" s="316" t="s">
        <v>1372</v>
      </c>
      <c r="F67" s="316" t="s">
        <v>495</v>
      </c>
      <c r="H67" s="1208"/>
      <c r="I67" s="1208"/>
      <c r="J67" s="1274">
        <v>12439.5</v>
      </c>
      <c r="L67" s="1274">
        <v>5072.7</v>
      </c>
      <c r="N67" s="1274">
        <v>2160.708015810013</v>
      </c>
      <c r="O67" s="1274">
        <v>52.790625316500666</v>
      </c>
      <c r="AA67" s="1274">
        <v>0</v>
      </c>
      <c r="AC67" s="1274">
        <v>0</v>
      </c>
      <c r="AD67" s="1171">
        <v>0</v>
      </c>
    </row>
    <row r="68" spans="1:30" ht="14.4" x14ac:dyDescent="0.3">
      <c r="A68" s="316" t="s">
        <v>2849</v>
      </c>
      <c r="B68" s="313">
        <v>37880</v>
      </c>
      <c r="C68" s="316" t="s">
        <v>2847</v>
      </c>
      <c r="D68" s="316" t="s">
        <v>102</v>
      </c>
      <c r="E68" s="316" t="s">
        <v>1372</v>
      </c>
      <c r="F68" s="316" t="s">
        <v>495</v>
      </c>
      <c r="H68" s="1208"/>
      <c r="I68" s="1208"/>
      <c r="J68" s="1274">
        <v>7999</v>
      </c>
      <c r="L68" s="1274">
        <v>3481.9</v>
      </c>
      <c r="N68" s="1274">
        <v>1494.3270166244506</v>
      </c>
      <c r="O68" s="1274">
        <v>49.619505678176886</v>
      </c>
      <c r="AA68" s="1274">
        <v>0</v>
      </c>
      <c r="AC68" s="1274">
        <v>0</v>
      </c>
      <c r="AD68" s="1171">
        <v>0</v>
      </c>
    </row>
    <row r="69" spans="1:30" ht="14.4" x14ac:dyDescent="0.3">
      <c r="A69" s="316" t="s">
        <v>2850</v>
      </c>
      <c r="B69" s="313">
        <v>37880</v>
      </c>
      <c r="C69" s="316" t="s">
        <v>2851</v>
      </c>
      <c r="D69" s="316" t="s">
        <v>102</v>
      </c>
      <c r="E69" s="316" t="s">
        <v>1372</v>
      </c>
      <c r="F69" s="316" t="s">
        <v>500</v>
      </c>
      <c r="H69" s="1208"/>
      <c r="I69" s="1208"/>
      <c r="J69" s="1274">
        <v>11910.2</v>
      </c>
      <c r="L69" s="1274">
        <v>5322.5</v>
      </c>
      <c r="N69" s="1274">
        <v>2269.8612627506254</v>
      </c>
      <c r="O69" s="1274">
        <v>70.566092126071453</v>
      </c>
      <c r="AA69" s="1274">
        <v>3534.3</v>
      </c>
      <c r="AC69" s="1274">
        <v>1427.9932901802063</v>
      </c>
      <c r="AD69" s="1171">
        <v>27.25968366086483</v>
      </c>
    </row>
    <row r="70" spans="1:30" ht="14.4" x14ac:dyDescent="0.3">
      <c r="A70" s="316" t="s">
        <v>2852</v>
      </c>
      <c r="B70" s="313">
        <v>37880</v>
      </c>
      <c r="C70" s="316" t="s">
        <v>2851</v>
      </c>
      <c r="D70" s="316" t="s">
        <v>102</v>
      </c>
      <c r="E70" s="316" t="s">
        <v>1372</v>
      </c>
      <c r="F70" s="316" t="s">
        <v>500</v>
      </c>
      <c r="H70" s="1208"/>
      <c r="I70" s="1208"/>
      <c r="J70" s="1274">
        <v>12698.2</v>
      </c>
      <c r="L70" s="1274">
        <v>6143.1</v>
      </c>
      <c r="N70" s="1274">
        <v>2648.2311593055724</v>
      </c>
      <c r="O70" s="1274">
        <v>83.250170307576667</v>
      </c>
      <c r="AA70" s="1274">
        <v>3022.9</v>
      </c>
      <c r="AC70" s="1274">
        <v>1259.3588163337708</v>
      </c>
      <c r="AD70" s="1171">
        <v>26.449394826889037</v>
      </c>
    </row>
    <row r="71" spans="1:30" ht="14.4" x14ac:dyDescent="0.3">
      <c r="A71" s="316" t="s">
        <v>2853</v>
      </c>
      <c r="B71" s="313">
        <v>37880</v>
      </c>
      <c r="C71" s="316" t="s">
        <v>2851</v>
      </c>
      <c r="D71" s="316" t="s">
        <v>102</v>
      </c>
      <c r="E71" s="316" t="s">
        <v>1372</v>
      </c>
      <c r="F71" s="316" t="s">
        <v>500</v>
      </c>
      <c r="H71" s="1208"/>
      <c r="I71" s="1208"/>
      <c r="J71" s="1274">
        <v>9088.6</v>
      </c>
      <c r="L71" s="1274">
        <v>3541.1</v>
      </c>
      <c r="N71" s="1274">
        <v>1515.9216569423675</v>
      </c>
      <c r="O71" s="1274">
        <v>51.764265519678595</v>
      </c>
      <c r="AA71" s="1274">
        <v>2558.1999999999998</v>
      </c>
      <c r="AC71" s="1274">
        <v>1064.3780357360838</v>
      </c>
      <c r="AD71" s="1171">
        <v>21.302764555573461</v>
      </c>
    </row>
    <row r="72" spans="1:30" ht="14.4" x14ac:dyDescent="0.3">
      <c r="A72" s="316" t="s">
        <v>2854</v>
      </c>
      <c r="B72" s="313">
        <v>37880</v>
      </c>
      <c r="C72" s="316" t="s">
        <v>2855</v>
      </c>
      <c r="D72" s="316" t="s">
        <v>102</v>
      </c>
      <c r="E72" s="316" t="s">
        <v>1372</v>
      </c>
      <c r="F72" s="316" t="s">
        <v>495</v>
      </c>
      <c r="H72" s="1208"/>
      <c r="I72" s="1208"/>
      <c r="J72" s="1274">
        <v>14785.6</v>
      </c>
      <c r="L72" s="1274">
        <v>6992.2</v>
      </c>
      <c r="N72" s="1274">
        <v>2973.565988861084</v>
      </c>
      <c r="O72" s="1274">
        <v>90.205816392064094</v>
      </c>
      <c r="AA72" s="1274">
        <v>0</v>
      </c>
      <c r="AC72" s="1274">
        <v>0</v>
      </c>
      <c r="AD72" s="1171">
        <v>0</v>
      </c>
    </row>
    <row r="73" spans="1:30" ht="14.4" x14ac:dyDescent="0.3">
      <c r="A73" s="316" t="s">
        <v>2856</v>
      </c>
      <c r="B73" s="313">
        <v>37880</v>
      </c>
      <c r="C73" s="316" t="s">
        <v>2855</v>
      </c>
      <c r="D73" s="316" t="s">
        <v>102</v>
      </c>
      <c r="E73" s="316" t="s">
        <v>1372</v>
      </c>
      <c r="F73" s="316" t="s">
        <v>495</v>
      </c>
      <c r="H73" s="1208"/>
      <c r="I73" s="1208"/>
      <c r="J73" s="1274">
        <v>14286.2</v>
      </c>
      <c r="L73" s="1274">
        <v>5910.4</v>
      </c>
      <c r="N73" s="1274">
        <v>2513.1962382202146</v>
      </c>
      <c r="O73" s="1274">
        <v>88.673417083740219</v>
      </c>
      <c r="AA73" s="1274">
        <v>0</v>
      </c>
      <c r="AC73" s="1274">
        <v>0</v>
      </c>
      <c r="AD73" s="1171">
        <v>0</v>
      </c>
    </row>
    <row r="74" spans="1:30" ht="14.4" x14ac:dyDescent="0.3">
      <c r="A74" s="316" t="s">
        <v>2857</v>
      </c>
      <c r="B74" s="313">
        <v>37880</v>
      </c>
      <c r="C74" s="316" t="s">
        <v>2855</v>
      </c>
      <c r="D74" s="316" t="s">
        <v>102</v>
      </c>
      <c r="E74" s="316" t="s">
        <v>1372</v>
      </c>
      <c r="F74" s="316" t="s">
        <v>495</v>
      </c>
      <c r="H74" s="1208"/>
      <c r="I74" s="1208"/>
      <c r="J74" s="1274">
        <v>9148.7000000000007</v>
      </c>
      <c r="L74" s="1274">
        <v>4506.3999999999996</v>
      </c>
      <c r="N74" s="1274">
        <v>1922.0305527954101</v>
      </c>
      <c r="O74" s="1274">
        <v>66.291188773155213</v>
      </c>
      <c r="AA74" s="1274">
        <v>0</v>
      </c>
      <c r="AC74" s="1274">
        <v>0</v>
      </c>
      <c r="AD74" s="1171">
        <v>0</v>
      </c>
    </row>
    <row r="75" spans="1:30" ht="14.4" x14ac:dyDescent="0.3">
      <c r="A75" s="316" t="s">
        <v>2858</v>
      </c>
      <c r="B75" s="313">
        <v>37880</v>
      </c>
      <c r="C75" s="316" t="s">
        <v>2859</v>
      </c>
      <c r="D75" s="316" t="s">
        <v>102</v>
      </c>
      <c r="E75" s="316" t="s">
        <v>1372</v>
      </c>
      <c r="F75" s="316" t="s">
        <v>500</v>
      </c>
      <c r="H75" s="1208"/>
      <c r="I75" s="1208"/>
      <c r="J75" s="1274">
        <v>12765</v>
      </c>
      <c r="L75" s="1274">
        <v>5977.4</v>
      </c>
      <c r="N75" s="1274">
        <v>2544.4433760185238</v>
      </c>
      <c r="O75" s="1274">
        <v>79.537843887090673</v>
      </c>
      <c r="AA75" s="1274">
        <v>2763.6</v>
      </c>
      <c r="AC75" s="1274">
        <v>1149.8825304565428</v>
      </c>
      <c r="AD75" s="1171">
        <v>25.248764298677443</v>
      </c>
    </row>
    <row r="76" spans="1:30" ht="14.4" x14ac:dyDescent="0.3">
      <c r="A76" s="316" t="s">
        <v>2860</v>
      </c>
      <c r="B76" s="313">
        <v>37880</v>
      </c>
      <c r="C76" s="316" t="s">
        <v>2859</v>
      </c>
      <c r="D76" s="316" t="s">
        <v>102</v>
      </c>
      <c r="E76" s="316" t="s">
        <v>1372</v>
      </c>
      <c r="F76" s="316" t="s">
        <v>500</v>
      </c>
      <c r="H76" s="1208"/>
      <c r="I76" s="1208"/>
      <c r="J76" s="1274">
        <v>12558.4</v>
      </c>
      <c r="L76" s="1274">
        <v>5213.1000000000004</v>
      </c>
      <c r="N76" s="1274">
        <v>2195.0389698829654</v>
      </c>
      <c r="O76" s="1274">
        <v>68.705831372201445</v>
      </c>
      <c r="AA76" s="1274">
        <v>4222.7</v>
      </c>
      <c r="AC76" s="1274">
        <v>1736.5761932563782</v>
      </c>
      <c r="AD76" s="1171">
        <v>47.922449663400648</v>
      </c>
    </row>
    <row r="77" spans="1:30" ht="14.4" x14ac:dyDescent="0.3">
      <c r="A77" s="316" t="s">
        <v>2861</v>
      </c>
      <c r="B77" s="313">
        <v>37880</v>
      </c>
      <c r="C77" s="316" t="s">
        <v>2859</v>
      </c>
      <c r="D77" s="316" t="s">
        <v>102</v>
      </c>
      <c r="E77" s="316" t="s">
        <v>1372</v>
      </c>
      <c r="F77" s="316" t="s">
        <v>500</v>
      </c>
      <c r="H77" s="1208"/>
      <c r="I77" s="1208"/>
      <c r="J77" s="1274">
        <v>11491.3</v>
      </c>
      <c r="L77" s="1274">
        <v>5929.2</v>
      </c>
      <c r="N77" s="1274">
        <v>2559.6366623382569</v>
      </c>
      <c r="O77" s="1274">
        <v>92.061588300704955</v>
      </c>
      <c r="AA77" s="1274">
        <v>2410.1999999999998</v>
      </c>
      <c r="AC77" s="1274">
        <v>1003.9456112365722</v>
      </c>
      <c r="AD77" s="1171">
        <v>24.871774381399156</v>
      </c>
    </row>
    <row r="78" spans="1:30" ht="14.4" x14ac:dyDescent="0.3">
      <c r="A78" s="316" t="s">
        <v>2888</v>
      </c>
      <c r="B78" s="313">
        <v>37880</v>
      </c>
      <c r="C78" s="316" t="s">
        <v>2889</v>
      </c>
      <c r="D78" s="316" t="s">
        <v>102</v>
      </c>
      <c r="E78" s="316" t="s">
        <v>1372</v>
      </c>
      <c r="F78" s="316" t="s">
        <v>495</v>
      </c>
      <c r="H78" s="1208"/>
      <c r="I78" s="1208"/>
      <c r="J78" s="1274">
        <v>12677.6</v>
      </c>
      <c r="L78" s="1274">
        <v>5921</v>
      </c>
      <c r="N78" s="1274">
        <v>2524.4756211471558</v>
      </c>
      <c r="O78" s="1274">
        <v>77.987805466055875</v>
      </c>
      <c r="AA78" s="1274">
        <v>0</v>
      </c>
      <c r="AC78" s="1274">
        <v>0</v>
      </c>
      <c r="AD78" s="1171">
        <v>0</v>
      </c>
    </row>
    <row r="79" spans="1:30" ht="14.4" x14ac:dyDescent="0.3">
      <c r="A79" s="316" t="s">
        <v>2890</v>
      </c>
      <c r="B79" s="313">
        <v>37880</v>
      </c>
      <c r="C79" s="316" t="s">
        <v>2889</v>
      </c>
      <c r="D79" s="316" t="s">
        <v>102</v>
      </c>
      <c r="E79" s="316" t="s">
        <v>1372</v>
      </c>
      <c r="F79" s="316" t="s">
        <v>495</v>
      </c>
      <c r="H79" s="1208"/>
      <c r="I79" s="1208"/>
      <c r="J79" s="1274">
        <v>15868.5</v>
      </c>
      <c r="L79" s="1274">
        <v>7652.1</v>
      </c>
      <c r="N79" s="1274">
        <v>3266.9566508102416</v>
      </c>
      <c r="O79" s="1274">
        <v>111.54197634690999</v>
      </c>
      <c r="AA79" s="1274">
        <v>0</v>
      </c>
      <c r="AC79" s="1274">
        <v>0</v>
      </c>
      <c r="AD79" s="1171">
        <v>0</v>
      </c>
    </row>
    <row r="80" spans="1:30" ht="14.4" x14ac:dyDescent="0.3">
      <c r="A80" s="316" t="s">
        <v>2892</v>
      </c>
      <c r="B80" s="313">
        <v>37880</v>
      </c>
      <c r="C80" s="316" t="s">
        <v>2889</v>
      </c>
      <c r="D80" s="316" t="s">
        <v>102</v>
      </c>
      <c r="E80" s="316" t="s">
        <v>1372</v>
      </c>
      <c r="F80" s="316" t="s">
        <v>495</v>
      </c>
      <c r="H80" s="1208"/>
      <c r="I80" s="1208"/>
      <c r="J80" s="1274">
        <v>13874.2</v>
      </c>
      <c r="L80" s="1274">
        <v>5762.3</v>
      </c>
      <c r="N80" s="1274">
        <v>2473.3513889007572</v>
      </c>
      <c r="O80" s="1274">
        <v>84.423676559269424</v>
      </c>
      <c r="AA80" s="1274">
        <v>0</v>
      </c>
      <c r="AC80" s="1274">
        <v>0</v>
      </c>
      <c r="AD80" s="1171">
        <v>0</v>
      </c>
    </row>
    <row r="81" spans="1:30" ht="14.4" x14ac:dyDescent="0.3">
      <c r="A81" s="316" t="s">
        <v>2842</v>
      </c>
      <c r="B81" s="313">
        <v>38251</v>
      </c>
      <c r="C81" s="316" t="s">
        <v>2843</v>
      </c>
      <c r="D81" s="316" t="s">
        <v>102</v>
      </c>
      <c r="E81" s="316" t="s">
        <v>1372</v>
      </c>
      <c r="F81" s="316" t="s">
        <v>500</v>
      </c>
      <c r="H81" s="1208"/>
      <c r="I81" s="1208"/>
      <c r="J81" s="1274">
        <v>11396.5</v>
      </c>
      <c r="L81" s="1274">
        <v>6479.4</v>
      </c>
      <c r="N81" s="1274">
        <v>2759.247487289429</v>
      </c>
      <c r="O81" s="1274">
        <v>67.409447179555897</v>
      </c>
      <c r="AA81" s="1274">
        <v>4180</v>
      </c>
      <c r="AC81" s="1274">
        <v>1824.8720703125</v>
      </c>
      <c r="AD81" s="1171">
        <v>15.595551872253418</v>
      </c>
    </row>
    <row r="82" spans="1:30" ht="14.4" x14ac:dyDescent="0.3">
      <c r="A82" s="316" t="s">
        <v>2844</v>
      </c>
      <c r="B82" s="313">
        <v>38251</v>
      </c>
      <c r="C82" s="316" t="s">
        <v>2843</v>
      </c>
      <c r="D82" s="316" t="s">
        <v>102</v>
      </c>
      <c r="E82" s="316" t="s">
        <v>1372</v>
      </c>
      <c r="F82" s="316" t="s">
        <v>500</v>
      </c>
      <c r="H82" s="1208"/>
      <c r="I82" s="1208"/>
      <c r="J82" s="1274">
        <v>12358.3</v>
      </c>
      <c r="L82" s="1274">
        <v>7283.5</v>
      </c>
      <c r="N82" s="1274">
        <v>3091.7166083526613</v>
      </c>
      <c r="O82" s="1274">
        <v>88.732274619936945</v>
      </c>
      <c r="AA82" s="1274">
        <v>4230</v>
      </c>
      <c r="AC82" s="1274">
        <v>1837.7144508361816</v>
      </c>
      <c r="AD82" s="1171">
        <v>18.48330638408661</v>
      </c>
    </row>
    <row r="83" spans="1:30" ht="14.4" x14ac:dyDescent="0.3">
      <c r="A83" s="316" t="s">
        <v>2845</v>
      </c>
      <c r="B83" s="313">
        <v>38251</v>
      </c>
      <c r="C83" s="316" t="s">
        <v>2843</v>
      </c>
      <c r="D83" s="316" t="s">
        <v>102</v>
      </c>
      <c r="E83" s="316" t="s">
        <v>1372</v>
      </c>
      <c r="F83" s="316" t="s">
        <v>500</v>
      </c>
      <c r="H83" s="1208"/>
      <c r="I83" s="1208"/>
      <c r="J83" s="1274">
        <v>13598.6</v>
      </c>
      <c r="L83" s="1274">
        <v>8046.7</v>
      </c>
      <c r="N83" s="1274">
        <v>3216.3139735565182</v>
      </c>
      <c r="O83" s="1274">
        <v>107.46560672867298</v>
      </c>
      <c r="AA83" s="1274">
        <v>4350</v>
      </c>
      <c r="AC83" s="1274">
        <v>1878.7131671905518</v>
      </c>
      <c r="AD83" s="1171">
        <v>22.740621507167816</v>
      </c>
    </row>
    <row r="84" spans="1:30" ht="14.4" x14ac:dyDescent="0.3">
      <c r="A84" s="316" t="s">
        <v>2846</v>
      </c>
      <c r="B84" s="313">
        <v>38251</v>
      </c>
      <c r="C84" s="316" t="s">
        <v>2847</v>
      </c>
      <c r="D84" s="316" t="s">
        <v>102</v>
      </c>
      <c r="E84" s="316" t="s">
        <v>1372</v>
      </c>
      <c r="F84" s="316" t="s">
        <v>495</v>
      </c>
      <c r="H84" s="1208"/>
      <c r="I84" s="1208"/>
      <c r="J84" s="1274">
        <v>11749.3</v>
      </c>
      <c r="L84" s="1274">
        <v>6561.2</v>
      </c>
      <c r="N84" s="1274">
        <v>2762.814986831665</v>
      </c>
      <c r="O84" s="1274">
        <v>66.181964891910553</v>
      </c>
      <c r="AA84" s="1274">
        <v>0</v>
      </c>
      <c r="AC84" s="1274">
        <v>0</v>
      </c>
      <c r="AD84" s="1171">
        <v>0</v>
      </c>
    </row>
    <row r="85" spans="1:30" ht="14.4" x14ac:dyDescent="0.3">
      <c r="A85" s="316" t="s">
        <v>2848</v>
      </c>
      <c r="B85" s="313">
        <v>38251</v>
      </c>
      <c r="C85" s="316" t="s">
        <v>2847</v>
      </c>
      <c r="D85" s="316" t="s">
        <v>102</v>
      </c>
      <c r="E85" s="316" t="s">
        <v>1372</v>
      </c>
      <c r="F85" s="316" t="s">
        <v>495</v>
      </c>
      <c r="H85" s="1208"/>
      <c r="I85" s="1208"/>
      <c r="J85" s="1274">
        <v>12692.9</v>
      </c>
      <c r="L85" s="1274">
        <v>7134.4</v>
      </c>
      <c r="N85" s="1274">
        <v>3050.7343654785154</v>
      </c>
      <c r="O85" s="1274">
        <v>72.592208381652824</v>
      </c>
      <c r="AA85" s="1274">
        <v>0</v>
      </c>
      <c r="AC85" s="1274">
        <v>0</v>
      </c>
      <c r="AD85" s="1171">
        <v>0</v>
      </c>
    </row>
    <row r="86" spans="1:30" ht="14.4" x14ac:dyDescent="0.3">
      <c r="A86" s="316" t="s">
        <v>2849</v>
      </c>
      <c r="B86" s="313">
        <v>38251</v>
      </c>
      <c r="C86" s="316" t="s">
        <v>2847</v>
      </c>
      <c r="D86" s="316" t="s">
        <v>102</v>
      </c>
      <c r="E86" s="316" t="s">
        <v>1372</v>
      </c>
      <c r="F86" s="316" t="s">
        <v>495</v>
      </c>
      <c r="H86" s="1208"/>
      <c r="I86" s="1208"/>
      <c r="J86" s="1274">
        <v>15649.2</v>
      </c>
      <c r="L86" s="1274">
        <v>9204.1</v>
      </c>
      <c r="N86" s="1274">
        <v>3878.3085393371584</v>
      </c>
      <c r="O86" s="1274">
        <v>103.94119892489911</v>
      </c>
      <c r="AA86" s="1274">
        <v>0</v>
      </c>
      <c r="AC86" s="1274">
        <v>0</v>
      </c>
      <c r="AD86" s="1171">
        <v>0</v>
      </c>
    </row>
    <row r="87" spans="1:30" ht="14.4" x14ac:dyDescent="0.3">
      <c r="A87" s="316" t="s">
        <v>2850</v>
      </c>
      <c r="B87" s="313">
        <v>38251</v>
      </c>
      <c r="C87" s="316" t="s">
        <v>2851</v>
      </c>
      <c r="D87" s="316" t="s">
        <v>102</v>
      </c>
      <c r="E87" s="316" t="s">
        <v>1372</v>
      </c>
      <c r="F87" s="316" t="s">
        <v>500</v>
      </c>
      <c r="H87" s="1208"/>
      <c r="I87" s="1208"/>
      <c r="J87" s="1274">
        <v>17507.8</v>
      </c>
      <c r="L87" s="1274">
        <v>9329.5</v>
      </c>
      <c r="N87" s="1274">
        <v>3949.3273514366151</v>
      </c>
      <c r="O87" s="1274">
        <v>110.33360510349274</v>
      </c>
      <c r="AA87" s="1274">
        <v>4790</v>
      </c>
      <c r="AC87" s="1274">
        <v>2071.7557640075684</v>
      </c>
      <c r="AD87" s="1171">
        <v>27.082514601945878</v>
      </c>
    </row>
    <row r="88" spans="1:30" ht="14.4" x14ac:dyDescent="0.3">
      <c r="A88" s="316" t="s">
        <v>2852</v>
      </c>
      <c r="B88" s="313">
        <v>38251</v>
      </c>
      <c r="C88" s="316" t="s">
        <v>2851</v>
      </c>
      <c r="D88" s="316" t="s">
        <v>102</v>
      </c>
      <c r="E88" s="316" t="s">
        <v>1372</v>
      </c>
      <c r="F88" s="316" t="s">
        <v>500</v>
      </c>
      <c r="H88" s="1208"/>
      <c r="I88" s="1208"/>
      <c r="J88" s="1274">
        <v>18494.5</v>
      </c>
      <c r="L88" s="1274">
        <v>9622.2999999999993</v>
      </c>
      <c r="N88" s="1274">
        <v>4024.2484486465455</v>
      </c>
      <c r="O88" s="1274">
        <v>137.71216934382915</v>
      </c>
      <c r="AA88" s="1274">
        <v>4360</v>
      </c>
      <c r="AC88" s="1274">
        <v>1869.7170700073243</v>
      </c>
      <c r="AD88" s="1171">
        <v>34.394159269332889</v>
      </c>
    </row>
    <row r="89" spans="1:30" ht="14.4" x14ac:dyDescent="0.3">
      <c r="A89" s="316" t="s">
        <v>2853</v>
      </c>
      <c r="B89" s="313">
        <v>38251</v>
      </c>
      <c r="C89" s="316" t="s">
        <v>2851</v>
      </c>
      <c r="D89" s="316" t="s">
        <v>102</v>
      </c>
      <c r="E89" s="316" t="s">
        <v>1372</v>
      </c>
      <c r="F89" s="316" t="s">
        <v>500</v>
      </c>
      <c r="H89" s="1208"/>
      <c r="I89" s="1208"/>
      <c r="J89" s="1274">
        <v>17055.400000000001</v>
      </c>
      <c r="L89" s="1274">
        <v>8695.4</v>
      </c>
      <c r="N89" s="1274">
        <v>3687.3731603088377</v>
      </c>
      <c r="O89" s="1274">
        <v>116.11879531764984</v>
      </c>
      <c r="AA89" s="1274">
        <v>5960</v>
      </c>
      <c r="AC89" s="1274">
        <v>2564.6802337646486</v>
      </c>
      <c r="AD89" s="1171">
        <v>47.234986948966977</v>
      </c>
    </row>
    <row r="90" spans="1:30" ht="14.4" x14ac:dyDescent="0.3">
      <c r="A90" s="316" t="s">
        <v>2854</v>
      </c>
      <c r="B90" s="313">
        <v>38251</v>
      </c>
      <c r="C90" s="316" t="s">
        <v>2855</v>
      </c>
      <c r="D90" s="316" t="s">
        <v>102</v>
      </c>
      <c r="E90" s="316" t="s">
        <v>1372</v>
      </c>
      <c r="F90" s="316" t="s">
        <v>495</v>
      </c>
      <c r="H90" s="1208"/>
      <c r="I90" s="1208"/>
      <c r="J90" s="1274">
        <v>17619.599999999999</v>
      </c>
      <c r="L90" s="1274">
        <v>10153.299999999999</v>
      </c>
      <c r="N90" s="1274">
        <v>4302.4771423416132</v>
      </c>
      <c r="O90" s="1274">
        <v>146.18175708186627</v>
      </c>
      <c r="AA90" s="1274">
        <v>0</v>
      </c>
      <c r="AC90" s="1274">
        <v>0</v>
      </c>
      <c r="AD90" s="1171">
        <v>0</v>
      </c>
    </row>
    <row r="91" spans="1:30" ht="14.4" x14ac:dyDescent="0.3">
      <c r="A91" s="316" t="s">
        <v>2856</v>
      </c>
      <c r="B91" s="313">
        <v>38251</v>
      </c>
      <c r="C91" s="316" t="s">
        <v>2855</v>
      </c>
      <c r="D91" s="316" t="s">
        <v>102</v>
      </c>
      <c r="E91" s="316" t="s">
        <v>1372</v>
      </c>
      <c r="F91" s="316" t="s">
        <v>495</v>
      </c>
      <c r="H91" s="1208"/>
      <c r="I91" s="1208"/>
      <c r="J91" s="1274">
        <v>17438.5</v>
      </c>
      <c r="L91" s="1274">
        <v>9623</v>
      </c>
      <c r="N91" s="1274">
        <v>4110.0566295623776</v>
      </c>
      <c r="O91" s="1274">
        <v>119.87648727059364</v>
      </c>
      <c r="AA91" s="1274">
        <v>0</v>
      </c>
      <c r="AC91" s="1274">
        <v>0</v>
      </c>
      <c r="AD91" s="1171">
        <v>0</v>
      </c>
    </row>
    <row r="92" spans="1:30" ht="14.4" x14ac:dyDescent="0.3">
      <c r="A92" s="316" t="s">
        <v>2857</v>
      </c>
      <c r="B92" s="313">
        <v>38251</v>
      </c>
      <c r="C92" s="316" t="s">
        <v>2855</v>
      </c>
      <c r="D92" s="316" t="s">
        <v>102</v>
      </c>
      <c r="E92" s="316" t="s">
        <v>1372</v>
      </c>
      <c r="F92" s="316" t="s">
        <v>495</v>
      </c>
      <c r="H92" s="1208"/>
      <c r="I92" s="1208"/>
      <c r="J92" s="1274">
        <v>20295.5</v>
      </c>
      <c r="L92" s="1274">
        <v>11559.5</v>
      </c>
      <c r="N92" s="1274">
        <v>4526.92815864563</v>
      </c>
      <c r="O92" s="1274">
        <v>136.06735022962093</v>
      </c>
      <c r="AA92" s="1274">
        <v>0</v>
      </c>
      <c r="AC92" s="1274">
        <v>0</v>
      </c>
      <c r="AD92" s="1171">
        <v>0</v>
      </c>
    </row>
    <row r="93" spans="1:30" ht="14.4" x14ac:dyDescent="0.3">
      <c r="A93" s="316" t="s">
        <v>2858</v>
      </c>
      <c r="B93" s="313">
        <v>38251</v>
      </c>
      <c r="C93" s="316" t="s">
        <v>2859</v>
      </c>
      <c r="D93" s="316" t="s">
        <v>102</v>
      </c>
      <c r="E93" s="316" t="s">
        <v>1372</v>
      </c>
      <c r="F93" s="316" t="s">
        <v>500</v>
      </c>
      <c r="H93" s="1208"/>
      <c r="I93" s="1208"/>
      <c r="J93" s="1274">
        <v>14627.4</v>
      </c>
      <c r="L93" s="1274">
        <v>7718.8</v>
      </c>
      <c r="N93" s="1274">
        <v>3296.6885147247317</v>
      </c>
      <c r="O93" s="1274">
        <v>101.81699944162368</v>
      </c>
      <c r="AA93" s="1274">
        <v>3870</v>
      </c>
      <c r="AC93" s="1274">
        <v>1681.053394317627</v>
      </c>
      <c r="AD93" s="1171">
        <v>36.734878653287886</v>
      </c>
    </row>
    <row r="94" spans="1:30" ht="14.4" x14ac:dyDescent="0.3">
      <c r="A94" s="316" t="s">
        <v>2860</v>
      </c>
      <c r="B94" s="313">
        <v>38251</v>
      </c>
      <c r="C94" s="316" t="s">
        <v>2859</v>
      </c>
      <c r="D94" s="316" t="s">
        <v>102</v>
      </c>
      <c r="E94" s="316" t="s">
        <v>1372</v>
      </c>
      <c r="F94" s="316" t="s">
        <v>500</v>
      </c>
      <c r="H94" s="1208"/>
      <c r="I94" s="1208"/>
      <c r="J94" s="1274">
        <v>19361.7</v>
      </c>
      <c r="L94" s="1274">
        <v>10907.6</v>
      </c>
      <c r="N94" s="1274">
        <v>4824.4443289184574</v>
      </c>
      <c r="O94" s="1274">
        <v>172.54720743656159</v>
      </c>
      <c r="AA94" s="1274">
        <v>5020</v>
      </c>
      <c r="AC94" s="1274">
        <v>2127.8707305908201</v>
      </c>
      <c r="AD94" s="1171">
        <v>38.827920937538146</v>
      </c>
    </row>
    <row r="95" spans="1:30" ht="14.4" x14ac:dyDescent="0.3">
      <c r="A95" s="316" t="s">
        <v>2861</v>
      </c>
      <c r="B95" s="313">
        <v>38251</v>
      </c>
      <c r="C95" s="316" t="s">
        <v>2859</v>
      </c>
      <c r="D95" s="316" t="s">
        <v>102</v>
      </c>
      <c r="E95" s="316" t="s">
        <v>1372</v>
      </c>
      <c r="F95" s="316" t="s">
        <v>500</v>
      </c>
      <c r="H95" s="1208"/>
      <c r="I95" s="1208"/>
      <c r="J95" s="1274">
        <v>15570.9</v>
      </c>
      <c r="L95" s="1274">
        <v>8844.6</v>
      </c>
      <c r="N95" s="1274">
        <v>3784.6934931793216</v>
      </c>
      <c r="O95" s="1274">
        <v>128.8389690077305</v>
      </c>
      <c r="AA95" s="1274">
        <v>4760</v>
      </c>
      <c r="AC95" s="1274">
        <v>2030.3830261230469</v>
      </c>
      <c r="AD95" s="1171">
        <v>38.571630144119261</v>
      </c>
    </row>
    <row r="96" spans="1:30" ht="14.4" x14ac:dyDescent="0.3">
      <c r="A96" s="316" t="s">
        <v>2888</v>
      </c>
      <c r="B96" s="313">
        <v>38251</v>
      </c>
      <c r="C96" s="316" t="s">
        <v>2889</v>
      </c>
      <c r="D96" s="316" t="s">
        <v>102</v>
      </c>
      <c r="E96" s="316" t="s">
        <v>1372</v>
      </c>
      <c r="F96" s="316" t="s">
        <v>495</v>
      </c>
      <c r="H96" s="1208"/>
      <c r="I96" s="1208"/>
      <c r="J96" s="1274">
        <v>15634.4</v>
      </c>
      <c r="L96" s="1274">
        <v>8276.9</v>
      </c>
      <c r="N96" s="1274">
        <v>3517.2537268753053</v>
      </c>
      <c r="O96" s="1274">
        <v>106.64263291931152</v>
      </c>
      <c r="AA96" s="1274">
        <v>0</v>
      </c>
      <c r="AC96" s="1274">
        <v>0</v>
      </c>
      <c r="AD96" s="1171">
        <v>0</v>
      </c>
    </row>
    <row r="97" spans="1:30" ht="14.4" x14ac:dyDescent="0.3">
      <c r="A97" s="316" t="s">
        <v>2890</v>
      </c>
      <c r="B97" s="313">
        <v>38251</v>
      </c>
      <c r="C97" s="316" t="s">
        <v>2889</v>
      </c>
      <c r="D97" s="316" t="s">
        <v>102</v>
      </c>
      <c r="E97" s="316" t="s">
        <v>1372</v>
      </c>
      <c r="F97" s="316" t="s">
        <v>495</v>
      </c>
      <c r="H97" s="1208"/>
      <c r="I97" s="1208"/>
      <c r="J97" s="1274">
        <v>16869.3</v>
      </c>
      <c r="L97" s="1274">
        <v>9369.5</v>
      </c>
      <c r="N97" s="1274">
        <v>4050.6253109359741</v>
      </c>
      <c r="O97" s="1274">
        <v>139.21898092269896</v>
      </c>
      <c r="AA97" s="1274">
        <v>0</v>
      </c>
      <c r="AC97" s="1274">
        <v>0</v>
      </c>
      <c r="AD97" s="1171">
        <v>0</v>
      </c>
    </row>
    <row r="98" spans="1:30" ht="14.4" x14ac:dyDescent="0.3">
      <c r="A98" s="316" t="s">
        <v>2892</v>
      </c>
      <c r="B98" s="313">
        <v>38251</v>
      </c>
      <c r="C98" s="316" t="s">
        <v>2889</v>
      </c>
      <c r="D98" s="316" t="s">
        <v>102</v>
      </c>
      <c r="E98" s="316" t="s">
        <v>1372</v>
      </c>
      <c r="F98" s="316" t="s">
        <v>495</v>
      </c>
      <c r="H98" s="1208"/>
      <c r="I98" s="1208"/>
      <c r="J98" s="1274">
        <v>16986.2</v>
      </c>
      <c r="L98" s="1274">
        <v>9380.7000000000007</v>
      </c>
      <c r="N98" s="1274">
        <v>4030.4320831260684</v>
      </c>
      <c r="O98" s="1274">
        <v>131.63730989098551</v>
      </c>
      <c r="AA98" s="1274">
        <v>0</v>
      </c>
      <c r="AC98" s="1274">
        <v>0</v>
      </c>
      <c r="AD98" s="1171">
        <v>0</v>
      </c>
    </row>
    <row r="99" spans="1:30" ht="14.4" x14ac:dyDescent="0.3">
      <c r="A99" s="316" t="s">
        <v>2842</v>
      </c>
      <c r="B99" s="313">
        <v>38609</v>
      </c>
      <c r="C99" s="316" t="s">
        <v>2843</v>
      </c>
      <c r="D99" s="316" t="s">
        <v>102</v>
      </c>
      <c r="E99" s="316" t="s">
        <v>1372</v>
      </c>
      <c r="F99" s="316" t="s">
        <v>500</v>
      </c>
      <c r="H99" s="1208"/>
      <c r="I99" s="1208"/>
      <c r="J99" s="1274">
        <v>6354.8</v>
      </c>
      <c r="L99" s="1274">
        <v>3500.8</v>
      </c>
      <c r="N99" s="1274">
        <v>1483.2487255859376</v>
      </c>
      <c r="O99" s="1274">
        <v>49.695270507812502</v>
      </c>
      <c r="AA99" s="1274">
        <v>1747.7</v>
      </c>
      <c r="AC99" s="1274">
        <v>726.68862512207033</v>
      </c>
      <c r="AD99" s="1171">
        <v>10.960110926926136</v>
      </c>
    </row>
    <row r="100" spans="1:30" ht="14.4" x14ac:dyDescent="0.3">
      <c r="A100" s="316" t="s">
        <v>2844</v>
      </c>
      <c r="B100" s="313">
        <v>38609</v>
      </c>
      <c r="C100" s="316" t="s">
        <v>2843</v>
      </c>
      <c r="D100" s="316" t="s">
        <v>102</v>
      </c>
      <c r="E100" s="316" t="s">
        <v>1372</v>
      </c>
      <c r="F100" s="316" t="s">
        <v>500</v>
      </c>
      <c r="H100" s="1208"/>
      <c r="I100" s="1208"/>
      <c r="J100" s="1274">
        <v>7219.8</v>
      </c>
      <c r="L100" s="1274">
        <v>3456.8</v>
      </c>
      <c r="N100" s="1274">
        <v>1439.6210346984863</v>
      </c>
      <c r="O100" s="1274">
        <v>37.440084358215337</v>
      </c>
      <c r="AA100" s="1274">
        <v>2684.1</v>
      </c>
      <c r="AC100" s="1274">
        <v>1111.46635174942</v>
      </c>
      <c r="AD100" s="1171">
        <v>13.942503293216227</v>
      </c>
    </row>
    <row r="101" spans="1:30" ht="14.4" x14ac:dyDescent="0.3">
      <c r="A101" s="316" t="s">
        <v>2845</v>
      </c>
      <c r="B101" s="313">
        <v>38609</v>
      </c>
      <c r="C101" s="316" t="s">
        <v>2843</v>
      </c>
      <c r="D101" s="316" t="s">
        <v>102</v>
      </c>
      <c r="E101" s="316" t="s">
        <v>1372</v>
      </c>
      <c r="F101" s="316" t="s">
        <v>500</v>
      </c>
      <c r="H101" s="1208"/>
      <c r="I101" s="1208"/>
      <c r="J101" s="1274">
        <v>10709.3</v>
      </c>
      <c r="L101" s="1274">
        <v>5091.3</v>
      </c>
      <c r="N101" s="1274">
        <v>2133.8236412773131</v>
      </c>
      <c r="O101" s="1274">
        <v>70.660149567961696</v>
      </c>
      <c r="AA101" s="1274">
        <v>3007.4</v>
      </c>
      <c r="AC101" s="1274">
        <v>1234.4841013183595</v>
      </c>
      <c r="AD101" s="1171">
        <v>18.966802178025247</v>
      </c>
    </row>
    <row r="102" spans="1:30" ht="14.4" x14ac:dyDescent="0.3">
      <c r="A102" s="316" t="s">
        <v>2846</v>
      </c>
      <c r="B102" s="313">
        <v>38609</v>
      </c>
      <c r="C102" s="316" t="s">
        <v>2847</v>
      </c>
      <c r="D102" s="316" t="s">
        <v>102</v>
      </c>
      <c r="E102" s="316" t="s">
        <v>1372</v>
      </c>
      <c r="F102" s="316" t="s">
        <v>495</v>
      </c>
      <c r="H102" s="1208"/>
      <c r="I102" s="1208"/>
      <c r="J102" s="1274">
        <v>6137.8</v>
      </c>
      <c r="L102" s="1274">
        <v>3007.8</v>
      </c>
      <c r="N102" s="1274">
        <v>1246.8469435043337</v>
      </c>
      <c r="O102" s="1274">
        <v>31.412049782752991</v>
      </c>
      <c r="AA102" s="1274">
        <v>0</v>
      </c>
      <c r="AC102" s="1274">
        <v>0</v>
      </c>
      <c r="AD102" s="1171">
        <v>0</v>
      </c>
    </row>
    <row r="103" spans="1:30" ht="14.4" x14ac:dyDescent="0.3">
      <c r="A103" s="316" t="s">
        <v>2848</v>
      </c>
      <c r="B103" s="313">
        <v>38609</v>
      </c>
      <c r="C103" s="316" t="s">
        <v>2847</v>
      </c>
      <c r="D103" s="316" t="s">
        <v>102</v>
      </c>
      <c r="E103" s="316" t="s">
        <v>1372</v>
      </c>
      <c r="F103" s="316" t="s">
        <v>495</v>
      </c>
      <c r="H103" s="1208"/>
      <c r="I103" s="1208"/>
      <c r="J103" s="1274">
        <v>8252</v>
      </c>
      <c r="L103" s="1274">
        <v>3630</v>
      </c>
      <c r="N103" s="1274">
        <v>1516.177071762085</v>
      </c>
      <c r="O103" s="1274">
        <v>39.539674329757688</v>
      </c>
      <c r="AA103" s="1274">
        <v>0</v>
      </c>
      <c r="AC103" s="1274">
        <v>0</v>
      </c>
      <c r="AD103" s="1171">
        <v>0</v>
      </c>
    </row>
    <row r="104" spans="1:30" ht="14.4" x14ac:dyDescent="0.3">
      <c r="A104" s="316" t="s">
        <v>2849</v>
      </c>
      <c r="B104" s="313">
        <v>38609</v>
      </c>
      <c r="C104" s="316" t="s">
        <v>2847</v>
      </c>
      <c r="D104" s="316" t="s">
        <v>102</v>
      </c>
      <c r="E104" s="316" t="s">
        <v>1372</v>
      </c>
      <c r="F104" s="316" t="s">
        <v>495</v>
      </c>
      <c r="H104" s="1208"/>
      <c r="I104" s="1208"/>
      <c r="J104" s="1274">
        <v>7754.6</v>
      </c>
      <c r="L104" s="1274">
        <v>3890.6</v>
      </c>
      <c r="N104" s="1274">
        <v>1621.2494587554932</v>
      </c>
      <c r="O104" s="1274">
        <v>46.646656838417044</v>
      </c>
      <c r="AA104" s="1274">
        <v>0</v>
      </c>
      <c r="AC104" s="1274">
        <v>0</v>
      </c>
      <c r="AD104" s="1171">
        <v>0</v>
      </c>
    </row>
    <row r="105" spans="1:30" ht="14.4" x14ac:dyDescent="0.3">
      <c r="A105" s="316" t="s">
        <v>2850</v>
      </c>
      <c r="B105" s="313">
        <v>38609</v>
      </c>
      <c r="C105" s="316" t="s">
        <v>2851</v>
      </c>
      <c r="D105" s="316" t="s">
        <v>102</v>
      </c>
      <c r="E105" s="316" t="s">
        <v>1372</v>
      </c>
      <c r="F105" s="316" t="s">
        <v>500</v>
      </c>
      <c r="H105" s="1208"/>
      <c r="I105" s="1208"/>
      <c r="J105" s="1274">
        <v>14768.8</v>
      </c>
      <c r="L105" s="1274">
        <v>8253.7999999999993</v>
      </c>
      <c r="N105" s="1274">
        <v>3460.5419203186029</v>
      </c>
      <c r="O105" s="1274">
        <v>107.16813001179695</v>
      </c>
      <c r="AA105" s="1274">
        <v>3035.9</v>
      </c>
      <c r="AC105" s="1274">
        <v>1268.2455341682435</v>
      </c>
      <c r="AD105" s="1171">
        <v>17.086350713610649</v>
      </c>
    </row>
    <row r="106" spans="1:30" ht="14.4" x14ac:dyDescent="0.3">
      <c r="A106" s="316" t="s">
        <v>2852</v>
      </c>
      <c r="B106" s="313">
        <v>38609</v>
      </c>
      <c r="C106" s="316" t="s">
        <v>2851</v>
      </c>
      <c r="D106" s="316" t="s">
        <v>102</v>
      </c>
      <c r="E106" s="316" t="s">
        <v>1372</v>
      </c>
      <c r="F106" s="316" t="s">
        <v>500</v>
      </c>
      <c r="H106" s="1208"/>
      <c r="I106" s="1208"/>
      <c r="J106" s="1274">
        <v>8413.6</v>
      </c>
      <c r="L106" s="1274">
        <v>4220.6000000000004</v>
      </c>
      <c r="N106" s="1274">
        <v>1767.3805970840456</v>
      </c>
      <c r="O106" s="1274">
        <v>62.960081097841268</v>
      </c>
      <c r="AA106" s="1274">
        <v>2952.8</v>
      </c>
      <c r="AC106" s="1274">
        <v>1236.4196685791017</v>
      </c>
      <c r="AD106" s="1171">
        <v>22.279897732734682</v>
      </c>
    </row>
    <row r="107" spans="1:30" ht="14.4" x14ac:dyDescent="0.3">
      <c r="A107" s="316" t="s">
        <v>2853</v>
      </c>
      <c r="B107" s="313">
        <v>38609</v>
      </c>
      <c r="C107" s="316" t="s">
        <v>2851</v>
      </c>
      <c r="D107" s="316" t="s">
        <v>102</v>
      </c>
      <c r="E107" s="316" t="s">
        <v>1372</v>
      </c>
      <c r="F107" s="316" t="s">
        <v>500</v>
      </c>
      <c r="H107" s="1208"/>
      <c r="I107" s="1208"/>
      <c r="J107" s="1274">
        <v>12364.5</v>
      </c>
      <c r="L107" s="1274">
        <v>5773.5</v>
      </c>
      <c r="N107" s="1274">
        <v>2441.7209009742737</v>
      </c>
      <c r="O107" s="1274">
        <v>88.510101508498195</v>
      </c>
      <c r="AA107" s="1274">
        <v>3480.8</v>
      </c>
      <c r="AC107" s="1274">
        <v>1431.1743981323243</v>
      </c>
      <c r="AD107" s="1171">
        <v>30.929104263782502</v>
      </c>
    </row>
    <row r="108" spans="1:30" ht="14.4" x14ac:dyDescent="0.3">
      <c r="A108" s="316" t="s">
        <v>2854</v>
      </c>
      <c r="B108" s="313">
        <v>38609</v>
      </c>
      <c r="C108" s="316" t="s">
        <v>2855</v>
      </c>
      <c r="D108" s="316" t="s">
        <v>102</v>
      </c>
      <c r="E108" s="316" t="s">
        <v>1372</v>
      </c>
      <c r="F108" s="316" t="s">
        <v>495</v>
      </c>
      <c r="H108" s="1208"/>
      <c r="I108" s="1208"/>
      <c r="J108" s="1274">
        <v>9906.7999999999993</v>
      </c>
      <c r="L108" s="1274">
        <v>5174.8</v>
      </c>
      <c r="N108" s="1274">
        <v>2180.4399919128418</v>
      </c>
      <c r="O108" s="1274">
        <v>64.420418353080748</v>
      </c>
      <c r="AA108" s="1274">
        <v>0</v>
      </c>
      <c r="AC108" s="1274">
        <v>0</v>
      </c>
      <c r="AD108" s="1171">
        <v>0</v>
      </c>
    </row>
    <row r="109" spans="1:30" ht="14.4" x14ac:dyDescent="0.3">
      <c r="A109" s="316" t="s">
        <v>2856</v>
      </c>
      <c r="B109" s="313">
        <v>38609</v>
      </c>
      <c r="C109" s="316" t="s">
        <v>2855</v>
      </c>
      <c r="D109" s="316" t="s">
        <v>102</v>
      </c>
      <c r="E109" s="316" t="s">
        <v>1372</v>
      </c>
      <c r="F109" s="316" t="s">
        <v>495</v>
      </c>
      <c r="H109" s="1208"/>
      <c r="I109" s="1208"/>
      <c r="J109" s="1274">
        <v>10514.2</v>
      </c>
      <c r="L109" s="1274">
        <v>5634.2</v>
      </c>
      <c r="N109" s="1274">
        <v>2382.6084484786984</v>
      </c>
      <c r="O109" s="1274">
        <v>71.996438432931896</v>
      </c>
      <c r="AA109" s="1274">
        <v>0</v>
      </c>
      <c r="AC109" s="1274">
        <v>0</v>
      </c>
      <c r="AD109" s="1171">
        <v>0</v>
      </c>
    </row>
    <row r="110" spans="1:30" ht="14.4" x14ac:dyDescent="0.3">
      <c r="A110" s="316" t="s">
        <v>2857</v>
      </c>
      <c r="B110" s="313">
        <v>38609</v>
      </c>
      <c r="C110" s="316" t="s">
        <v>2855</v>
      </c>
      <c r="D110" s="316" t="s">
        <v>102</v>
      </c>
      <c r="E110" s="316" t="s">
        <v>1372</v>
      </c>
      <c r="F110" s="316" t="s">
        <v>495</v>
      </c>
      <c r="H110" s="1208"/>
      <c r="I110" s="1208"/>
      <c r="J110" s="1274">
        <v>10962.7</v>
      </c>
      <c r="L110" s="1274">
        <v>6057.7</v>
      </c>
      <c r="N110" s="1274">
        <v>2524.2164423789977</v>
      </c>
      <c r="O110" s="1274">
        <v>81.774156473755838</v>
      </c>
      <c r="AA110" s="1274">
        <v>0</v>
      </c>
      <c r="AC110" s="1274">
        <v>0</v>
      </c>
      <c r="AD110" s="1171">
        <v>0</v>
      </c>
    </row>
    <row r="111" spans="1:30" ht="14.4" x14ac:dyDescent="0.3">
      <c r="A111" s="316" t="s">
        <v>2858</v>
      </c>
      <c r="B111" s="313">
        <v>38609</v>
      </c>
      <c r="C111" s="316" t="s">
        <v>2859</v>
      </c>
      <c r="D111" s="316" t="s">
        <v>102</v>
      </c>
      <c r="E111" s="316" t="s">
        <v>1372</v>
      </c>
      <c r="F111" s="316" t="s">
        <v>500</v>
      </c>
      <c r="H111" s="1208"/>
      <c r="I111" s="1208"/>
      <c r="J111" s="1274">
        <v>8673.2000000000007</v>
      </c>
      <c r="L111" s="1274">
        <v>4205.2</v>
      </c>
      <c r="N111" s="1274">
        <v>1783.1769901580808</v>
      </c>
      <c r="O111" s="1274">
        <v>59.875888079166408</v>
      </c>
      <c r="AA111" s="1274">
        <v>3263.2</v>
      </c>
      <c r="AC111" s="1274">
        <v>1308.8724029846192</v>
      </c>
      <c r="AD111" s="1171">
        <v>32.149944603443146</v>
      </c>
    </row>
    <row r="112" spans="1:30" ht="14.4" x14ac:dyDescent="0.3">
      <c r="A112" s="316" t="s">
        <v>2860</v>
      </c>
      <c r="B112" s="313">
        <v>38609</v>
      </c>
      <c r="C112" s="316" t="s">
        <v>2859</v>
      </c>
      <c r="D112" s="316" t="s">
        <v>102</v>
      </c>
      <c r="E112" s="316" t="s">
        <v>1372</v>
      </c>
      <c r="F112" s="316" t="s">
        <v>500</v>
      </c>
      <c r="H112" s="1208"/>
      <c r="I112" s="1208"/>
      <c r="J112" s="1274">
        <v>10990.6</v>
      </c>
      <c r="L112" s="1274">
        <v>6047.6</v>
      </c>
      <c r="N112" s="1274">
        <v>2528.7517192840578</v>
      </c>
      <c r="O112" s="1274">
        <v>90.702364188194281</v>
      </c>
      <c r="AA112" s="1274">
        <v>3386.8</v>
      </c>
      <c r="AC112" s="1274">
        <v>1403.0537072296145</v>
      </c>
      <c r="AD112" s="1171">
        <v>28.656371969223024</v>
      </c>
    </row>
    <row r="113" spans="1:30" ht="14.4" x14ac:dyDescent="0.3">
      <c r="A113" s="316" t="s">
        <v>2861</v>
      </c>
      <c r="B113" s="313">
        <v>38609</v>
      </c>
      <c r="C113" s="316" t="s">
        <v>2859</v>
      </c>
      <c r="D113" s="316" t="s">
        <v>102</v>
      </c>
      <c r="E113" s="316" t="s">
        <v>1372</v>
      </c>
      <c r="F113" s="316" t="s">
        <v>500</v>
      </c>
      <c r="H113" s="1208"/>
      <c r="I113" s="1208"/>
      <c r="J113" s="1274">
        <v>13447.3</v>
      </c>
      <c r="L113" s="1274">
        <v>7322.3</v>
      </c>
      <c r="N113" s="1274">
        <v>3085.8177296371459</v>
      </c>
      <c r="O113" s="1274">
        <v>111.84466958594322</v>
      </c>
      <c r="AA113" s="1274">
        <v>3025.1</v>
      </c>
      <c r="AC113" s="1274">
        <v>1253.8501974220276</v>
      </c>
      <c r="AD113" s="1171">
        <v>29.972166796028613</v>
      </c>
    </row>
    <row r="114" spans="1:30" ht="14.4" x14ac:dyDescent="0.3">
      <c r="A114" s="316" t="s">
        <v>2888</v>
      </c>
      <c r="B114" s="313">
        <v>38609</v>
      </c>
      <c r="C114" s="316" t="s">
        <v>2889</v>
      </c>
      <c r="D114" s="316" t="s">
        <v>102</v>
      </c>
      <c r="E114" s="316" t="s">
        <v>1372</v>
      </c>
      <c r="F114" s="316" t="s">
        <v>495</v>
      </c>
      <c r="H114" s="1208"/>
      <c r="I114" s="1208"/>
      <c r="J114" s="1274">
        <v>7813.3</v>
      </c>
      <c r="L114" s="1274">
        <v>4009.3</v>
      </c>
      <c r="N114" s="1274">
        <v>1689.5326074256895</v>
      </c>
      <c r="O114" s="1274">
        <v>56.270973201394078</v>
      </c>
      <c r="AA114" s="1274">
        <v>0</v>
      </c>
      <c r="AC114" s="1274">
        <v>0</v>
      </c>
      <c r="AD114" s="1171">
        <v>0</v>
      </c>
    </row>
    <row r="115" spans="1:30" ht="14.4" x14ac:dyDescent="0.3">
      <c r="A115" s="316" t="s">
        <v>2890</v>
      </c>
      <c r="B115" s="313">
        <v>38609</v>
      </c>
      <c r="C115" s="316" t="s">
        <v>2889</v>
      </c>
      <c r="D115" s="316" t="s">
        <v>102</v>
      </c>
      <c r="E115" s="316" t="s">
        <v>1372</v>
      </c>
      <c r="F115" s="316" t="s">
        <v>495</v>
      </c>
      <c r="H115" s="1208"/>
      <c r="I115" s="1208"/>
      <c r="J115" s="1274">
        <v>10498.3</v>
      </c>
      <c r="L115" s="1274">
        <v>4985.3</v>
      </c>
      <c r="N115" s="1274">
        <v>2098.2104639396666</v>
      </c>
      <c r="O115" s="1274">
        <v>77.029443867087366</v>
      </c>
      <c r="AA115" s="1274">
        <v>0</v>
      </c>
      <c r="AC115" s="1274">
        <v>0</v>
      </c>
      <c r="AD115" s="1171">
        <v>0</v>
      </c>
    </row>
    <row r="116" spans="1:30" ht="14.4" x14ac:dyDescent="0.3">
      <c r="A116" s="316" t="s">
        <v>2892</v>
      </c>
      <c r="B116" s="313">
        <v>38609</v>
      </c>
      <c r="C116" s="316" t="s">
        <v>2889</v>
      </c>
      <c r="D116" s="316" t="s">
        <v>102</v>
      </c>
      <c r="E116" s="316" t="s">
        <v>1372</v>
      </c>
      <c r="F116" s="316" t="s">
        <v>495</v>
      </c>
      <c r="H116" s="1208"/>
      <c r="I116" s="1208"/>
      <c r="J116" s="1274">
        <v>9778.2999999999993</v>
      </c>
      <c r="L116" s="1274">
        <v>5440.3</v>
      </c>
      <c r="N116" s="1274">
        <v>2286.8261536102295</v>
      </c>
      <c r="O116" s="1274">
        <v>87.329404088377956</v>
      </c>
      <c r="AA116" s="1274">
        <v>0</v>
      </c>
      <c r="AC116" s="1274">
        <v>0</v>
      </c>
      <c r="AD116" s="1171">
        <v>0</v>
      </c>
    </row>
    <row r="117" spans="1:30" ht="14.4" x14ac:dyDescent="0.3">
      <c r="A117" s="316" t="s">
        <v>2842</v>
      </c>
      <c r="B117" s="313">
        <v>38979</v>
      </c>
      <c r="C117" s="316" t="s">
        <v>2843</v>
      </c>
      <c r="D117" s="316" t="s">
        <v>102</v>
      </c>
      <c r="E117" s="316" t="s">
        <v>1372</v>
      </c>
      <c r="F117" s="316" t="s">
        <v>500</v>
      </c>
      <c r="H117" s="1208"/>
      <c r="I117" s="1208"/>
      <c r="J117" s="1274">
        <v>5380.8</v>
      </c>
      <c r="L117" s="1274">
        <v>2050</v>
      </c>
      <c r="N117" s="1274">
        <v>852.00966644287109</v>
      </c>
      <c r="O117" s="1274">
        <v>22.755063831806183</v>
      </c>
      <c r="AA117" s="1274">
        <v>2216.4</v>
      </c>
      <c r="AC117" s="1274">
        <v>927.36560618591307</v>
      </c>
      <c r="AD117" s="1171">
        <v>7.3649044854640966</v>
      </c>
    </row>
    <row r="118" spans="1:30" ht="14.4" x14ac:dyDescent="0.3">
      <c r="A118" s="316" t="s">
        <v>2844</v>
      </c>
      <c r="B118" s="313">
        <v>38979</v>
      </c>
      <c r="C118" s="316" t="s">
        <v>2843</v>
      </c>
      <c r="D118" s="316" t="s">
        <v>102</v>
      </c>
      <c r="E118" s="316" t="s">
        <v>1372</v>
      </c>
      <c r="F118" s="316" t="s">
        <v>500</v>
      </c>
      <c r="H118" s="1208"/>
      <c r="I118" s="1208"/>
      <c r="J118" s="1274">
        <v>7935.6</v>
      </c>
      <c r="L118" s="1274">
        <v>3568.9</v>
      </c>
      <c r="N118" s="1274">
        <v>1468.9595068397521</v>
      </c>
      <c r="O118" s="1274">
        <v>35.491682384133341</v>
      </c>
      <c r="AA118" s="1274">
        <v>2453.4</v>
      </c>
      <c r="AC118" s="1274">
        <v>1003.6471900863647</v>
      </c>
      <c r="AD118" s="1171">
        <v>8.9577157339453706</v>
      </c>
    </row>
    <row r="119" spans="1:30" ht="14.4" x14ac:dyDescent="0.3">
      <c r="A119" s="316" t="s">
        <v>2845</v>
      </c>
      <c r="B119" s="313">
        <v>38979</v>
      </c>
      <c r="C119" s="316" t="s">
        <v>2843</v>
      </c>
      <c r="D119" s="316" t="s">
        <v>102</v>
      </c>
      <c r="E119" s="316" t="s">
        <v>1372</v>
      </c>
      <c r="F119" s="316" t="s">
        <v>500</v>
      </c>
      <c r="H119" s="1208"/>
      <c r="I119" s="1208"/>
      <c r="J119" s="1274">
        <v>11586.4</v>
      </c>
      <c r="L119" s="1274">
        <v>5332.1</v>
      </c>
      <c r="N119" s="1274">
        <v>2235.3020586318971</v>
      </c>
      <c r="O119" s="1274">
        <v>60.246494158029563</v>
      </c>
      <c r="AA119" s="1274">
        <v>3114.3</v>
      </c>
      <c r="AC119" s="1274">
        <v>1277.9531190490725</v>
      </c>
      <c r="AD119" s="1171">
        <v>17.39219023025036</v>
      </c>
    </row>
    <row r="120" spans="1:30" ht="14.4" x14ac:dyDescent="0.3">
      <c r="A120" s="316" t="s">
        <v>2846</v>
      </c>
      <c r="B120" s="313">
        <v>38979</v>
      </c>
      <c r="C120" s="316" t="s">
        <v>2847</v>
      </c>
      <c r="D120" s="316" t="s">
        <v>102</v>
      </c>
      <c r="E120" s="316" t="s">
        <v>1372</v>
      </c>
      <c r="F120" s="316" t="s">
        <v>495</v>
      </c>
      <c r="H120" s="1208"/>
      <c r="I120" s="1208"/>
      <c r="J120" s="1274">
        <v>7520.9</v>
      </c>
      <c r="L120" s="1274">
        <v>3160.3</v>
      </c>
      <c r="N120" s="1274">
        <v>1294.9188922958374</v>
      </c>
      <c r="O120" s="1274">
        <v>31.108219841122626</v>
      </c>
      <c r="AA120" s="1274">
        <v>0</v>
      </c>
      <c r="AC120" s="1274">
        <v>0</v>
      </c>
      <c r="AD120" s="1171">
        <v>0</v>
      </c>
    </row>
    <row r="121" spans="1:30" ht="14.4" x14ac:dyDescent="0.3">
      <c r="A121" s="316" t="s">
        <v>2848</v>
      </c>
      <c r="B121" s="313">
        <v>38979</v>
      </c>
      <c r="C121" s="316" t="s">
        <v>2847</v>
      </c>
      <c r="D121" s="316" t="s">
        <v>102</v>
      </c>
      <c r="E121" s="316" t="s">
        <v>1372</v>
      </c>
      <c r="F121" s="316" t="s">
        <v>495</v>
      </c>
      <c r="H121" s="1208"/>
      <c r="I121" s="1208"/>
      <c r="J121" s="1274">
        <v>11899.6</v>
      </c>
      <c r="L121" s="1274">
        <v>7296.8</v>
      </c>
      <c r="N121" s="1274">
        <v>3047.3225371093749</v>
      </c>
      <c r="O121" s="1274">
        <v>68.459412429809575</v>
      </c>
      <c r="AA121" s="1274">
        <v>0</v>
      </c>
      <c r="AC121" s="1274">
        <v>0</v>
      </c>
      <c r="AD121" s="1171">
        <v>0</v>
      </c>
    </row>
    <row r="122" spans="1:30" ht="14.4" x14ac:dyDescent="0.3">
      <c r="A122" s="316" t="s">
        <v>2849</v>
      </c>
      <c r="B122" s="313">
        <v>38979</v>
      </c>
      <c r="C122" s="316" t="s">
        <v>2847</v>
      </c>
      <c r="D122" s="316" t="s">
        <v>102</v>
      </c>
      <c r="E122" s="316" t="s">
        <v>1372</v>
      </c>
      <c r="F122" s="316" t="s">
        <v>495</v>
      </c>
      <c r="H122" s="1208"/>
      <c r="I122" s="1208"/>
      <c r="J122" s="1274">
        <v>9111.2999999999993</v>
      </c>
      <c r="L122" s="1274">
        <v>4077.9</v>
      </c>
      <c r="N122" s="1274">
        <v>1691.2859399642944</v>
      </c>
      <c r="O122" s="1274">
        <v>45.489274807691572</v>
      </c>
      <c r="AA122" s="1274">
        <v>0</v>
      </c>
      <c r="AC122" s="1274">
        <v>0</v>
      </c>
      <c r="AD122" s="1171">
        <v>0</v>
      </c>
    </row>
    <row r="123" spans="1:30" ht="14.4" x14ac:dyDescent="0.3">
      <c r="A123" s="316" t="s">
        <v>2850</v>
      </c>
      <c r="B123" s="313">
        <v>38979</v>
      </c>
      <c r="C123" s="316" t="s">
        <v>2851</v>
      </c>
      <c r="D123" s="316" t="s">
        <v>102</v>
      </c>
      <c r="E123" s="316" t="s">
        <v>1372</v>
      </c>
      <c r="F123" s="316" t="s">
        <v>500</v>
      </c>
      <c r="H123" s="1208"/>
      <c r="I123" s="1208"/>
      <c r="J123" s="1274">
        <v>12461.1</v>
      </c>
      <c r="L123" s="1274">
        <v>6294.2</v>
      </c>
      <c r="N123" s="1274">
        <v>2596.6475464477539</v>
      </c>
      <c r="O123" s="1274">
        <v>71.951785378217693</v>
      </c>
      <c r="AA123" s="1274">
        <v>2721.9</v>
      </c>
      <c r="AC123" s="1274">
        <v>1119.3172066726686</v>
      </c>
      <c r="AD123" s="1171">
        <v>13.556589359343052</v>
      </c>
    </row>
    <row r="124" spans="1:30" ht="14.4" x14ac:dyDescent="0.3">
      <c r="A124" s="316" t="s">
        <v>2852</v>
      </c>
      <c r="B124" s="313">
        <v>38979</v>
      </c>
      <c r="C124" s="316" t="s">
        <v>2851</v>
      </c>
      <c r="D124" s="316" t="s">
        <v>102</v>
      </c>
      <c r="E124" s="316" t="s">
        <v>1372</v>
      </c>
      <c r="F124" s="316" t="s">
        <v>500</v>
      </c>
      <c r="H124" s="1208"/>
      <c r="I124" s="1208"/>
      <c r="J124" s="1274">
        <v>8934.9</v>
      </c>
      <c r="L124" s="1274">
        <v>3346.5</v>
      </c>
      <c r="N124" s="1274">
        <v>1374.7596228790283</v>
      </c>
      <c r="O124" s="1274">
        <v>42.458469815254212</v>
      </c>
      <c r="AA124" s="1274">
        <v>2881.7</v>
      </c>
      <c r="AC124" s="1274">
        <v>1189.2118661689756</v>
      </c>
      <c r="AD124" s="1171">
        <v>15.914058507323263</v>
      </c>
    </row>
    <row r="125" spans="1:30" ht="14.4" x14ac:dyDescent="0.3">
      <c r="A125" s="316" t="s">
        <v>2853</v>
      </c>
      <c r="B125" s="313">
        <v>38979</v>
      </c>
      <c r="C125" s="316" t="s">
        <v>2851</v>
      </c>
      <c r="D125" s="316" t="s">
        <v>102</v>
      </c>
      <c r="E125" s="316" t="s">
        <v>1372</v>
      </c>
      <c r="F125" s="316" t="s">
        <v>500</v>
      </c>
      <c r="H125" s="1208"/>
      <c r="I125" s="1208"/>
      <c r="J125" s="1274">
        <v>12117</v>
      </c>
      <c r="L125" s="1274">
        <v>4597.6000000000004</v>
      </c>
      <c r="N125" s="1274">
        <v>1910.4788509826662</v>
      </c>
      <c r="O125" s="1274">
        <v>61.586943372726445</v>
      </c>
      <c r="AA125" s="1274">
        <v>3527</v>
      </c>
      <c r="AC125" s="1274">
        <v>1442.7707028961181</v>
      </c>
      <c r="AD125" s="1171">
        <v>31.230416633486747</v>
      </c>
    </row>
    <row r="126" spans="1:30" ht="14.4" x14ac:dyDescent="0.3">
      <c r="A126" s="316" t="s">
        <v>2854</v>
      </c>
      <c r="B126" s="313">
        <v>38979</v>
      </c>
      <c r="C126" s="316" t="s">
        <v>2855</v>
      </c>
      <c r="D126" s="316" t="s">
        <v>102</v>
      </c>
      <c r="E126" s="316" t="s">
        <v>1372</v>
      </c>
      <c r="F126" s="316" t="s">
        <v>495</v>
      </c>
      <c r="H126" s="1208"/>
      <c r="I126" s="1208"/>
      <c r="J126" s="1274">
        <v>11160</v>
      </c>
      <c r="L126" s="1274">
        <v>5950.9</v>
      </c>
      <c r="N126" s="1274">
        <v>2460.3408823585505</v>
      </c>
      <c r="O126" s="1274">
        <v>61.741042936444281</v>
      </c>
      <c r="AA126" s="1274">
        <v>0</v>
      </c>
      <c r="AC126" s="1274">
        <v>0</v>
      </c>
      <c r="AD126" s="1171">
        <v>0</v>
      </c>
    </row>
    <row r="127" spans="1:30" ht="14.4" x14ac:dyDescent="0.3">
      <c r="A127" s="316" t="s">
        <v>2856</v>
      </c>
      <c r="B127" s="313">
        <v>38979</v>
      </c>
      <c r="C127" s="316" t="s">
        <v>2855</v>
      </c>
      <c r="D127" s="316" t="s">
        <v>102</v>
      </c>
      <c r="E127" s="316" t="s">
        <v>1372</v>
      </c>
      <c r="F127" s="316" t="s">
        <v>495</v>
      </c>
      <c r="H127" s="1208"/>
      <c r="I127" s="1208"/>
      <c r="J127" s="1274">
        <v>11053.2</v>
      </c>
      <c r="L127" s="1274">
        <v>5396.8</v>
      </c>
      <c r="N127" s="1274">
        <v>2253.7301468505857</v>
      </c>
      <c r="O127" s="1274">
        <v>59.171796678543096</v>
      </c>
      <c r="AA127" s="1274">
        <v>0</v>
      </c>
      <c r="AC127" s="1274">
        <v>0</v>
      </c>
      <c r="AD127" s="1171">
        <v>0</v>
      </c>
    </row>
    <row r="128" spans="1:30" ht="14.4" x14ac:dyDescent="0.3">
      <c r="A128" s="316" t="s">
        <v>2857</v>
      </c>
      <c r="B128" s="313">
        <v>38979</v>
      </c>
      <c r="C128" s="316" t="s">
        <v>2855</v>
      </c>
      <c r="D128" s="316" t="s">
        <v>102</v>
      </c>
      <c r="E128" s="316" t="s">
        <v>1372</v>
      </c>
      <c r="F128" s="316" t="s">
        <v>495</v>
      </c>
      <c r="H128" s="1208"/>
      <c r="I128" s="1208"/>
      <c r="J128" s="1274">
        <v>14560.3</v>
      </c>
      <c r="L128" s="1274">
        <v>7295.6</v>
      </c>
      <c r="N128" s="1274">
        <v>3044.7674963989261</v>
      </c>
      <c r="O128" s="1274">
        <v>92.072608895778671</v>
      </c>
      <c r="AA128" s="1274">
        <v>0</v>
      </c>
      <c r="AC128" s="1274">
        <v>0</v>
      </c>
      <c r="AD128" s="1171">
        <v>0</v>
      </c>
    </row>
    <row r="129" spans="1:30" ht="14.4" x14ac:dyDescent="0.3">
      <c r="A129" s="316" t="s">
        <v>2858</v>
      </c>
      <c r="B129" s="313">
        <v>38979</v>
      </c>
      <c r="C129" s="316" t="s">
        <v>2859</v>
      </c>
      <c r="D129" s="316" t="s">
        <v>102</v>
      </c>
      <c r="E129" s="316" t="s">
        <v>1372</v>
      </c>
      <c r="F129" s="316" t="s">
        <v>500</v>
      </c>
      <c r="H129" s="1208"/>
      <c r="I129" s="1208"/>
      <c r="J129" s="1274">
        <v>12182.8</v>
      </c>
      <c r="L129" s="1274">
        <v>5483.7</v>
      </c>
      <c r="N129" s="1274">
        <v>2319.7345446395875</v>
      </c>
      <c r="O129" s="1274">
        <v>75.093141967892649</v>
      </c>
      <c r="AA129" s="1274">
        <v>3153.4</v>
      </c>
      <c r="AC129" s="1274">
        <v>1272.2823332672119</v>
      </c>
      <c r="AD129" s="1171">
        <v>29.598289928793907</v>
      </c>
    </row>
    <row r="130" spans="1:30" ht="14.4" x14ac:dyDescent="0.3">
      <c r="A130" s="316" t="s">
        <v>2860</v>
      </c>
      <c r="B130" s="313">
        <v>38979</v>
      </c>
      <c r="C130" s="316" t="s">
        <v>2859</v>
      </c>
      <c r="D130" s="316" t="s">
        <v>102</v>
      </c>
      <c r="E130" s="316" t="s">
        <v>1372</v>
      </c>
      <c r="F130" s="316" t="s">
        <v>500</v>
      </c>
      <c r="H130" s="1208"/>
      <c r="I130" s="1208"/>
      <c r="J130" s="1274">
        <v>11802.2</v>
      </c>
      <c r="L130" s="1274">
        <v>6509.1</v>
      </c>
      <c r="N130" s="1274">
        <v>2716.7382941665651</v>
      </c>
      <c r="O130" s="1274">
        <v>93.3367471779585</v>
      </c>
      <c r="AA130" s="1274">
        <v>2706.6</v>
      </c>
      <c r="AC130" s="1274">
        <v>1106.5067389984131</v>
      </c>
      <c r="AD130" s="1171">
        <v>24.345133302569387</v>
      </c>
    </row>
    <row r="131" spans="1:30" ht="14.4" x14ac:dyDescent="0.3">
      <c r="A131" s="316" t="s">
        <v>2861</v>
      </c>
      <c r="B131" s="313">
        <v>38979</v>
      </c>
      <c r="C131" s="316" t="s">
        <v>2859</v>
      </c>
      <c r="D131" s="316" t="s">
        <v>102</v>
      </c>
      <c r="E131" s="316" t="s">
        <v>1372</v>
      </c>
      <c r="F131" s="316" t="s">
        <v>500</v>
      </c>
      <c r="H131" s="1208"/>
      <c r="I131" s="1208"/>
      <c r="J131" s="1274">
        <v>12547.8</v>
      </c>
      <c r="L131" s="1274">
        <v>6721.3</v>
      </c>
      <c r="N131" s="1274">
        <v>2797.012187625885</v>
      </c>
      <c r="O131" s="1274">
        <v>93.489823816537864</v>
      </c>
      <c r="AA131" s="1274">
        <v>2919.6</v>
      </c>
      <c r="AC131" s="1274">
        <v>1200.6788175659181</v>
      </c>
      <c r="AD131" s="1171">
        <v>24.096577124834063</v>
      </c>
    </row>
    <row r="132" spans="1:30" ht="14.4" x14ac:dyDescent="0.3">
      <c r="A132" s="316" t="s">
        <v>2888</v>
      </c>
      <c r="B132" s="313">
        <v>38979</v>
      </c>
      <c r="C132" s="316" t="s">
        <v>2889</v>
      </c>
      <c r="D132" s="316" t="s">
        <v>102</v>
      </c>
      <c r="E132" s="316" t="s">
        <v>1372</v>
      </c>
      <c r="F132" s="316" t="s">
        <v>495</v>
      </c>
      <c r="H132" s="1208"/>
      <c r="I132" s="1208"/>
      <c r="J132" s="1274">
        <v>14065</v>
      </c>
      <c r="L132" s="1274">
        <v>7043.9</v>
      </c>
      <c r="N132" s="1274">
        <v>2920.3135468864439</v>
      </c>
      <c r="O132" s="1274">
        <v>95.07160044264792</v>
      </c>
      <c r="AA132" s="1274">
        <v>0</v>
      </c>
      <c r="AC132" s="1274">
        <v>0</v>
      </c>
      <c r="AD132" s="1171">
        <v>0</v>
      </c>
    </row>
    <row r="133" spans="1:30" ht="14.4" x14ac:dyDescent="0.3">
      <c r="A133" s="316" t="s">
        <v>2890</v>
      </c>
      <c r="B133" s="313">
        <v>38979</v>
      </c>
      <c r="C133" s="316" t="s">
        <v>2889</v>
      </c>
      <c r="D133" s="316" t="s">
        <v>102</v>
      </c>
      <c r="E133" s="316" t="s">
        <v>1372</v>
      </c>
      <c r="F133" s="316" t="s">
        <v>495</v>
      </c>
      <c r="H133" s="1208"/>
      <c r="I133" s="1208"/>
      <c r="J133" s="1274">
        <v>9837.6</v>
      </c>
      <c r="L133" s="1274">
        <v>3703.1</v>
      </c>
      <c r="N133" s="1274">
        <v>1535.1910863571165</v>
      </c>
      <c r="O133" s="1274">
        <v>48.76213379788399</v>
      </c>
      <c r="AA133" s="1274">
        <v>0</v>
      </c>
      <c r="AC133" s="1274">
        <v>0</v>
      </c>
      <c r="AD133" s="1171">
        <v>0</v>
      </c>
    </row>
    <row r="134" spans="1:30" ht="14.4" x14ac:dyDescent="0.3">
      <c r="A134" s="316" t="s">
        <v>2892</v>
      </c>
      <c r="B134" s="313">
        <v>38979</v>
      </c>
      <c r="C134" s="316" t="s">
        <v>2889</v>
      </c>
      <c r="D134" s="316" t="s">
        <v>102</v>
      </c>
      <c r="E134" s="316" t="s">
        <v>1372</v>
      </c>
      <c r="F134" s="316" t="s">
        <v>495</v>
      </c>
      <c r="H134" s="1208"/>
      <c r="I134" s="1208"/>
      <c r="J134" s="1274">
        <v>13383.2</v>
      </c>
      <c r="L134" s="1274">
        <v>7180.8</v>
      </c>
      <c r="N134" s="1274">
        <v>2987.0639487304688</v>
      </c>
      <c r="O134" s="1274">
        <v>99.491692749023443</v>
      </c>
      <c r="AA134" s="1274">
        <v>0</v>
      </c>
      <c r="AC134" s="1274">
        <v>0</v>
      </c>
      <c r="AD134" s="1171">
        <v>0</v>
      </c>
    </row>
    <row r="135" spans="1:30" ht="14.4" x14ac:dyDescent="0.3">
      <c r="A135" s="316" t="s">
        <v>2842</v>
      </c>
      <c r="B135" s="313">
        <v>39346</v>
      </c>
      <c r="C135" s="316" t="s">
        <v>2843</v>
      </c>
      <c r="D135" s="316" t="s">
        <v>102</v>
      </c>
      <c r="E135" s="316" t="s">
        <v>1372</v>
      </c>
      <c r="F135" s="316" t="s">
        <v>500</v>
      </c>
      <c r="H135" s="1208"/>
      <c r="I135" s="1208"/>
      <c r="J135" s="1274">
        <v>6254.18</v>
      </c>
      <c r="L135" s="1274">
        <v>2758.08</v>
      </c>
      <c r="N135" s="1274">
        <v>1193.6889941894531</v>
      </c>
      <c r="O135" s="1274">
        <v>32.566865065383908</v>
      </c>
      <c r="AA135" s="1274">
        <v>2038.6</v>
      </c>
      <c r="AC135" s="1274">
        <v>882.81029257202147</v>
      </c>
      <c r="AD135" s="1171">
        <v>10.186633482038975</v>
      </c>
    </row>
    <row r="136" spans="1:30" ht="14.4" x14ac:dyDescent="0.3">
      <c r="A136" s="316" t="s">
        <v>2844</v>
      </c>
      <c r="B136" s="313">
        <v>39346</v>
      </c>
      <c r="C136" s="316" t="s">
        <v>2843</v>
      </c>
      <c r="D136" s="316" t="s">
        <v>102</v>
      </c>
      <c r="E136" s="316" t="s">
        <v>1372</v>
      </c>
      <c r="F136" s="316" t="s">
        <v>500</v>
      </c>
      <c r="H136" s="1208"/>
      <c r="I136" s="1208"/>
      <c r="J136" s="1274">
        <v>8754.1589999999997</v>
      </c>
      <c r="L136" s="1274">
        <v>4446.5589999999993</v>
      </c>
      <c r="N136" s="1274">
        <v>1921.3492828067776</v>
      </c>
      <c r="O136" s="1274">
        <v>47.000374286168807</v>
      </c>
      <c r="AA136" s="1274">
        <v>1765.4</v>
      </c>
      <c r="AC136" s="1274">
        <v>780.32998003387456</v>
      </c>
      <c r="AD136" s="1171">
        <v>7.5089822931885726</v>
      </c>
    </row>
    <row r="137" spans="1:30" ht="14.4" x14ac:dyDescent="0.3">
      <c r="A137" s="316" t="s">
        <v>2845</v>
      </c>
      <c r="B137" s="313">
        <v>39346</v>
      </c>
      <c r="C137" s="316" t="s">
        <v>2843</v>
      </c>
      <c r="D137" s="316" t="s">
        <v>102</v>
      </c>
      <c r="E137" s="316" t="s">
        <v>1372</v>
      </c>
      <c r="F137" s="316" t="s">
        <v>500</v>
      </c>
      <c r="H137" s="1208"/>
      <c r="I137" s="1208"/>
      <c r="J137" s="1274">
        <v>12048.7785</v>
      </c>
      <c r="L137" s="1274">
        <v>5480.0784999999996</v>
      </c>
      <c r="N137" s="1274">
        <v>2362.5373412718391</v>
      </c>
      <c r="O137" s="1274">
        <v>60.82395296365857</v>
      </c>
      <c r="AA137" s="1274">
        <v>2563.4</v>
      </c>
      <c r="AC137" s="1274">
        <v>1122.7402358016968</v>
      </c>
      <c r="AD137" s="1171">
        <v>11.751913907885553</v>
      </c>
    </row>
    <row r="138" spans="1:30" ht="14.4" x14ac:dyDescent="0.3">
      <c r="A138" s="316" t="s">
        <v>2846</v>
      </c>
      <c r="B138" s="313">
        <v>39346</v>
      </c>
      <c r="C138" s="316" t="s">
        <v>2847</v>
      </c>
      <c r="D138" s="316" t="s">
        <v>102</v>
      </c>
      <c r="E138" s="316" t="s">
        <v>1372</v>
      </c>
      <c r="F138" s="316" t="s">
        <v>495</v>
      </c>
      <c r="H138" s="1208"/>
      <c r="I138" s="1208"/>
      <c r="J138" s="1274">
        <v>5656.0884999999998</v>
      </c>
      <c r="L138" s="1274">
        <v>2605.3885</v>
      </c>
      <c r="N138" s="1274">
        <v>1149.3426317476653</v>
      </c>
      <c r="O138" s="1274">
        <v>31.992233887969849</v>
      </c>
      <c r="AA138" s="1274">
        <v>0</v>
      </c>
      <c r="AC138" s="1274">
        <v>0</v>
      </c>
      <c r="AD138" s="1171">
        <v>0</v>
      </c>
    </row>
    <row r="139" spans="1:30" ht="14.4" x14ac:dyDescent="0.3">
      <c r="A139" s="316" t="s">
        <v>2848</v>
      </c>
      <c r="B139" s="313">
        <v>39346</v>
      </c>
      <c r="C139" s="316" t="s">
        <v>2847</v>
      </c>
      <c r="D139" s="316" t="s">
        <v>102</v>
      </c>
      <c r="E139" s="316" t="s">
        <v>1372</v>
      </c>
      <c r="F139" s="316" t="s">
        <v>495</v>
      </c>
      <c r="H139" s="1208"/>
      <c r="I139" s="1208"/>
      <c r="J139" s="1274">
        <v>7967.3744999999999</v>
      </c>
      <c r="L139" s="1274">
        <v>3787.3745000000004</v>
      </c>
      <c r="N139" s="1274">
        <v>1640.8756967142297</v>
      </c>
      <c r="O139" s="1274">
        <v>38.404562055660492</v>
      </c>
      <c r="AA139" s="1274">
        <v>0</v>
      </c>
      <c r="AC139" s="1274">
        <v>0</v>
      </c>
      <c r="AD139" s="1171">
        <v>0</v>
      </c>
    </row>
    <row r="140" spans="1:30" ht="14.4" x14ac:dyDescent="0.3">
      <c r="A140" s="316" t="s">
        <v>2849</v>
      </c>
      <c r="B140" s="313">
        <v>39346</v>
      </c>
      <c r="C140" s="316" t="s">
        <v>2847</v>
      </c>
      <c r="D140" s="316" t="s">
        <v>102</v>
      </c>
      <c r="E140" s="316" t="s">
        <v>1372</v>
      </c>
      <c r="F140" s="316" t="s">
        <v>495</v>
      </c>
      <c r="H140" s="1208"/>
      <c r="I140" s="1208"/>
      <c r="J140" s="1274">
        <v>12750.912499999999</v>
      </c>
      <c r="L140" s="1274">
        <v>5562.2124999999996</v>
      </c>
      <c r="N140" s="1274">
        <v>2402.8645968132018</v>
      </c>
      <c r="O140" s="1274">
        <v>63.7360211033076</v>
      </c>
      <c r="AA140" s="1274">
        <v>0</v>
      </c>
      <c r="AC140" s="1274">
        <v>0</v>
      </c>
      <c r="AD140" s="1171">
        <v>0</v>
      </c>
    </row>
    <row r="141" spans="1:30" ht="14.4" x14ac:dyDescent="0.3">
      <c r="A141" s="316" t="s">
        <v>2850</v>
      </c>
      <c r="B141" s="313">
        <v>39346</v>
      </c>
      <c r="C141" s="316" t="s">
        <v>2851</v>
      </c>
      <c r="D141" s="316" t="s">
        <v>102</v>
      </c>
      <c r="E141" s="316" t="s">
        <v>1372</v>
      </c>
      <c r="F141" s="316" t="s">
        <v>500</v>
      </c>
      <c r="H141" s="1208"/>
      <c r="I141" s="1208"/>
      <c r="J141" s="1274">
        <v>12367.241</v>
      </c>
      <c r="L141" s="1274">
        <v>6082.1409999999996</v>
      </c>
      <c r="N141" s="1274">
        <v>2640.2328052011489</v>
      </c>
      <c r="O141" s="1274">
        <v>82.496725718390934</v>
      </c>
      <c r="AA141" s="1274">
        <v>1704.7</v>
      </c>
      <c r="AC141" s="1274">
        <v>739.01161483001704</v>
      </c>
      <c r="AD141" s="1171">
        <v>11.536746314108372</v>
      </c>
    </row>
    <row r="142" spans="1:30" ht="14.4" x14ac:dyDescent="0.3">
      <c r="A142" s="316" t="s">
        <v>2852</v>
      </c>
      <c r="B142" s="313">
        <v>39346</v>
      </c>
      <c r="C142" s="316" t="s">
        <v>2851</v>
      </c>
      <c r="D142" s="316" t="s">
        <v>102</v>
      </c>
      <c r="E142" s="316" t="s">
        <v>1372</v>
      </c>
      <c r="F142" s="316" t="s">
        <v>500</v>
      </c>
      <c r="H142" s="1208"/>
      <c r="I142" s="1208"/>
      <c r="J142" s="1274">
        <v>11977.019</v>
      </c>
      <c r="L142" s="1274">
        <v>5822.2190000000001</v>
      </c>
      <c r="N142" s="1274">
        <v>2530.2936808904265</v>
      </c>
      <c r="O142" s="1274">
        <v>78.308541828210352</v>
      </c>
      <c r="AA142" s="1274">
        <v>3085.2</v>
      </c>
      <c r="AC142" s="1274">
        <v>1358.8306193847654</v>
      </c>
      <c r="AD142" s="1171">
        <v>18.133250671863554</v>
      </c>
    </row>
    <row r="143" spans="1:30" ht="14.4" x14ac:dyDescent="0.3">
      <c r="A143" s="316" t="s">
        <v>2853</v>
      </c>
      <c r="B143" s="313">
        <v>39346</v>
      </c>
      <c r="C143" s="316" t="s">
        <v>2851</v>
      </c>
      <c r="D143" s="316" t="s">
        <v>102</v>
      </c>
      <c r="E143" s="316" t="s">
        <v>1372</v>
      </c>
      <c r="F143" s="316" t="s">
        <v>500</v>
      </c>
      <c r="H143" s="1208"/>
      <c r="I143" s="1208"/>
      <c r="J143" s="1274">
        <v>16573.090499999998</v>
      </c>
      <c r="L143" s="1274">
        <v>7972.4904999999999</v>
      </c>
      <c r="N143" s="1274">
        <v>3477.306788990707</v>
      </c>
      <c r="O143" s="1274">
        <v>118.90074468393743</v>
      </c>
      <c r="AA143" s="1274">
        <v>3222.5</v>
      </c>
      <c r="AC143" s="1274">
        <v>1421.1939952850341</v>
      </c>
      <c r="AD143" s="1171">
        <v>21.517953746020794</v>
      </c>
    </row>
    <row r="144" spans="1:30" ht="14.4" x14ac:dyDescent="0.3">
      <c r="A144" s="316" t="s">
        <v>2854</v>
      </c>
      <c r="B144" s="313">
        <v>39346</v>
      </c>
      <c r="C144" s="316" t="s">
        <v>2855</v>
      </c>
      <c r="D144" s="316" t="s">
        <v>102</v>
      </c>
      <c r="E144" s="316" t="s">
        <v>1372</v>
      </c>
      <c r="F144" s="316" t="s">
        <v>495</v>
      </c>
      <c r="H144" s="1208"/>
      <c r="I144" s="1208"/>
      <c r="J144" s="1274">
        <v>11598.9565</v>
      </c>
      <c r="L144" s="1274">
        <v>5946.8564999999999</v>
      </c>
      <c r="N144" s="1274">
        <v>2590.786290980072</v>
      </c>
      <c r="O144" s="1274">
        <v>80.369803929299721</v>
      </c>
      <c r="AA144" s="1274">
        <v>0</v>
      </c>
      <c r="AC144" s="1274">
        <v>0</v>
      </c>
      <c r="AD144" s="1171">
        <v>0</v>
      </c>
    </row>
    <row r="145" spans="1:30" ht="14.4" x14ac:dyDescent="0.3">
      <c r="A145" s="316" t="s">
        <v>2856</v>
      </c>
      <c r="B145" s="313">
        <v>39346</v>
      </c>
      <c r="C145" s="316" t="s">
        <v>2855</v>
      </c>
      <c r="D145" s="316" t="s">
        <v>102</v>
      </c>
      <c r="E145" s="316" t="s">
        <v>1372</v>
      </c>
      <c r="F145" s="316" t="s">
        <v>495</v>
      </c>
      <c r="H145" s="1208"/>
      <c r="I145" s="1208"/>
      <c r="J145" s="1274">
        <v>10182.449000000001</v>
      </c>
      <c r="L145" s="1274">
        <v>4465.1489999999994</v>
      </c>
      <c r="N145" s="1274">
        <v>1943.9514955968473</v>
      </c>
      <c r="O145" s="1274">
        <v>64.546689035965187</v>
      </c>
      <c r="AA145" s="1274">
        <v>0</v>
      </c>
      <c r="AC145" s="1274">
        <v>0</v>
      </c>
      <c r="AD145" s="1171">
        <v>0</v>
      </c>
    </row>
    <row r="146" spans="1:30" ht="14.4" x14ac:dyDescent="0.3">
      <c r="A146" s="316" t="s">
        <v>2857</v>
      </c>
      <c r="B146" s="313">
        <v>39346</v>
      </c>
      <c r="C146" s="316" t="s">
        <v>2855</v>
      </c>
      <c r="D146" s="316" t="s">
        <v>102</v>
      </c>
      <c r="E146" s="316" t="s">
        <v>1372</v>
      </c>
      <c r="F146" s="316" t="s">
        <v>495</v>
      </c>
      <c r="H146" s="1208"/>
      <c r="I146" s="1208"/>
      <c r="J146" s="1274">
        <v>15587.9095</v>
      </c>
      <c r="L146" s="1274">
        <v>8268.4094999999998</v>
      </c>
      <c r="N146" s="1274">
        <v>3593.4696178879162</v>
      </c>
      <c r="O146" s="1274">
        <v>119.22539138537765</v>
      </c>
      <c r="AA146" s="1274">
        <v>0</v>
      </c>
      <c r="AC146" s="1274">
        <v>0</v>
      </c>
      <c r="AD146" s="1171">
        <v>0</v>
      </c>
    </row>
    <row r="147" spans="1:30" ht="14.4" x14ac:dyDescent="0.3">
      <c r="A147" s="316" t="s">
        <v>2858</v>
      </c>
      <c r="B147" s="313">
        <v>39346</v>
      </c>
      <c r="C147" s="316" t="s">
        <v>2859</v>
      </c>
      <c r="D147" s="316" t="s">
        <v>102</v>
      </c>
      <c r="E147" s="316" t="s">
        <v>1372</v>
      </c>
      <c r="F147" s="316" t="s">
        <v>500</v>
      </c>
      <c r="H147" s="1208"/>
      <c r="I147" s="1208"/>
      <c r="J147" s="1274">
        <v>8634.3885000000009</v>
      </c>
      <c r="L147" s="1274">
        <v>3889.7885000000001</v>
      </c>
      <c r="N147" s="1274">
        <v>1694.4962377279662</v>
      </c>
      <c r="O147" s="1274">
        <v>56.829470149332884</v>
      </c>
      <c r="AA147" s="1274">
        <v>3144.3</v>
      </c>
      <c r="AC147" s="1274">
        <v>1352.2394734954835</v>
      </c>
      <c r="AD147" s="1171">
        <v>28.465845215141776</v>
      </c>
    </row>
    <row r="148" spans="1:30" ht="14.4" x14ac:dyDescent="0.3">
      <c r="A148" s="316" t="s">
        <v>2860</v>
      </c>
      <c r="B148" s="313">
        <v>39346</v>
      </c>
      <c r="C148" s="316" t="s">
        <v>2859</v>
      </c>
      <c r="D148" s="316" t="s">
        <v>102</v>
      </c>
      <c r="E148" s="316" t="s">
        <v>1372</v>
      </c>
      <c r="F148" s="316" t="s">
        <v>500</v>
      </c>
      <c r="H148" s="1208"/>
      <c r="I148" s="1208"/>
      <c r="J148" s="1274">
        <v>11856.7605</v>
      </c>
      <c r="L148" s="1274">
        <v>5510.1605</v>
      </c>
      <c r="N148" s="1274">
        <v>2391.1451043874931</v>
      </c>
      <c r="O148" s="1274">
        <v>85.348229572797408</v>
      </c>
      <c r="AA148" s="1274">
        <v>2425.6999999999998</v>
      </c>
      <c r="AC148" s="1274">
        <v>1060.5994419441222</v>
      </c>
      <c r="AD148" s="1171">
        <v>20.720205192804332</v>
      </c>
    </row>
    <row r="149" spans="1:30" ht="14.4" x14ac:dyDescent="0.3">
      <c r="A149" s="316" t="s">
        <v>2861</v>
      </c>
      <c r="B149" s="313">
        <v>39346</v>
      </c>
      <c r="C149" s="316" t="s">
        <v>2859</v>
      </c>
      <c r="D149" s="316" t="s">
        <v>102</v>
      </c>
      <c r="E149" s="316" t="s">
        <v>1372</v>
      </c>
      <c r="F149" s="316" t="s">
        <v>500</v>
      </c>
      <c r="H149" s="1208"/>
      <c r="I149" s="1208"/>
      <c r="J149" s="1274">
        <v>15571.514999999999</v>
      </c>
      <c r="L149" s="1274">
        <v>8405.2150000000001</v>
      </c>
      <c r="N149" s="1274">
        <v>3659.6569798995974</v>
      </c>
      <c r="O149" s="1274">
        <v>128.82097411593796</v>
      </c>
      <c r="AA149" s="1274">
        <v>3051.9</v>
      </c>
      <c r="AC149" s="1274">
        <v>1331.8116538925171</v>
      </c>
      <c r="AD149" s="1171">
        <v>29.200444099545479</v>
      </c>
    </row>
    <row r="150" spans="1:30" ht="14.4" x14ac:dyDescent="0.3">
      <c r="A150" s="316" t="s">
        <v>2888</v>
      </c>
      <c r="B150" s="313">
        <v>39346</v>
      </c>
      <c r="C150" s="316" t="s">
        <v>2889</v>
      </c>
      <c r="D150" s="316" t="s">
        <v>102</v>
      </c>
      <c r="E150" s="316" t="s">
        <v>1372</v>
      </c>
      <c r="F150" s="316" t="s">
        <v>495</v>
      </c>
      <c r="H150" s="1208"/>
      <c r="I150" s="1208"/>
      <c r="J150" s="1274">
        <v>10218.119500000001</v>
      </c>
      <c r="L150" s="1274">
        <v>5410.6194999999998</v>
      </c>
      <c r="N150" s="1274">
        <v>2349.5827356669233</v>
      </c>
      <c r="O150" s="1274">
        <v>76.173143647777437</v>
      </c>
      <c r="AA150" s="1274">
        <v>0</v>
      </c>
      <c r="AC150" s="1274">
        <v>0</v>
      </c>
      <c r="AD150" s="1171">
        <v>0</v>
      </c>
    </row>
    <row r="151" spans="1:30" ht="14.4" x14ac:dyDescent="0.3">
      <c r="A151" s="316" t="s">
        <v>2890</v>
      </c>
      <c r="B151" s="313">
        <v>39346</v>
      </c>
      <c r="C151" s="316" t="s">
        <v>2889</v>
      </c>
      <c r="D151" s="316" t="s">
        <v>102</v>
      </c>
      <c r="E151" s="316" t="s">
        <v>1372</v>
      </c>
      <c r="F151" s="316" t="s">
        <v>495</v>
      </c>
      <c r="H151" s="1208"/>
      <c r="I151" s="1208"/>
      <c r="J151" s="1274">
        <v>10013.210499999999</v>
      </c>
      <c r="L151" s="1274">
        <v>4825.7104999999992</v>
      </c>
      <c r="N151" s="1274">
        <v>2093.6117768187328</v>
      </c>
      <c r="O151" s="1274">
        <v>69.717269830168476</v>
      </c>
      <c r="AA151" s="1274">
        <v>0</v>
      </c>
      <c r="AC151" s="1274">
        <v>0</v>
      </c>
      <c r="AD151" s="1171">
        <v>0</v>
      </c>
    </row>
    <row r="152" spans="1:30" ht="14.4" x14ac:dyDescent="0.3">
      <c r="A152" s="316" t="s">
        <v>2892</v>
      </c>
      <c r="B152" s="313">
        <v>39346</v>
      </c>
      <c r="C152" s="316" t="s">
        <v>2889</v>
      </c>
      <c r="D152" s="316" t="s">
        <v>102</v>
      </c>
      <c r="E152" s="316" t="s">
        <v>1372</v>
      </c>
      <c r="F152" s="316" t="s">
        <v>495</v>
      </c>
      <c r="H152" s="1208"/>
      <c r="I152" s="1208"/>
      <c r="J152" s="1274">
        <v>13831.770499999999</v>
      </c>
      <c r="L152" s="1274">
        <v>6522.4704999999994</v>
      </c>
      <c r="N152" s="1274">
        <v>2836.9818151830095</v>
      </c>
      <c r="O152" s="1274">
        <v>101.48267385667442</v>
      </c>
      <c r="AA152" s="1274">
        <v>0</v>
      </c>
      <c r="AC152" s="1274">
        <v>0</v>
      </c>
      <c r="AD152" s="1171">
        <v>0</v>
      </c>
    </row>
    <row r="153" spans="1:30" ht="14.4" x14ac:dyDescent="0.3">
      <c r="A153" s="316" t="s">
        <v>2842</v>
      </c>
      <c r="B153" s="313">
        <v>39719</v>
      </c>
      <c r="C153" s="316" t="s">
        <v>2843</v>
      </c>
      <c r="D153" s="316" t="s">
        <v>102</v>
      </c>
      <c r="E153" s="316" t="s">
        <v>1372</v>
      </c>
      <c r="F153" s="316" t="s">
        <v>500</v>
      </c>
      <c r="H153" s="1208"/>
      <c r="I153" s="1208"/>
      <c r="J153" s="1274">
        <v>6801.27</v>
      </c>
      <c r="L153" s="1274">
        <v>2059.92</v>
      </c>
      <c r="N153" s="1274">
        <v>868.46227199999998</v>
      </c>
      <c r="O153" s="1274">
        <v>21.217175999999998</v>
      </c>
      <c r="AA153" s="1274">
        <v>1840</v>
      </c>
      <c r="AC153" s="1274">
        <v>752.928</v>
      </c>
      <c r="AD153" s="1171">
        <v>6.9920000000000009</v>
      </c>
    </row>
    <row r="154" spans="1:30" ht="14.4" x14ac:dyDescent="0.3">
      <c r="A154" s="316" t="s">
        <v>2844</v>
      </c>
      <c r="B154" s="313">
        <v>39719</v>
      </c>
      <c r="C154" s="316" t="s">
        <v>2843</v>
      </c>
      <c r="D154" s="316" t="s">
        <v>102</v>
      </c>
      <c r="E154" s="316" t="s">
        <v>1372</v>
      </c>
      <c r="F154" s="316" t="s">
        <v>500</v>
      </c>
      <c r="H154" s="1208"/>
      <c r="I154" s="1208"/>
      <c r="J154" s="1274">
        <v>7394.69</v>
      </c>
      <c r="L154" s="1274">
        <v>1979.79</v>
      </c>
      <c r="N154" s="1274">
        <v>832.89765299999999</v>
      </c>
      <c r="O154" s="1274">
        <v>19.797899999999998</v>
      </c>
      <c r="AA154" s="1274">
        <v>2870</v>
      </c>
      <c r="AC154" s="1274">
        <v>1190.7629999999999</v>
      </c>
      <c r="AD154" s="1171">
        <v>30.135000000000002</v>
      </c>
    </row>
    <row r="155" spans="1:30" ht="14.4" x14ac:dyDescent="0.3">
      <c r="A155" s="316" t="s">
        <v>2845</v>
      </c>
      <c r="B155" s="313">
        <v>39719</v>
      </c>
      <c r="C155" s="316" t="s">
        <v>2843</v>
      </c>
      <c r="D155" s="316" t="s">
        <v>102</v>
      </c>
      <c r="E155" s="316" t="s">
        <v>1372</v>
      </c>
      <c r="F155" s="316" t="s">
        <v>500</v>
      </c>
      <c r="H155" s="1208"/>
      <c r="I155" s="1208"/>
      <c r="J155" s="1274">
        <v>10294.290000000001</v>
      </c>
      <c r="L155" s="1274">
        <v>4549.8999999999996</v>
      </c>
      <c r="N155" s="1274">
        <v>1898.6732699999995</v>
      </c>
      <c r="O155" s="1274">
        <v>49.593909999999994</v>
      </c>
      <c r="AA155" s="1274">
        <v>3410</v>
      </c>
      <c r="AC155" s="1274">
        <v>1425.38</v>
      </c>
      <c r="AD155" s="1171">
        <v>11.594000000000001</v>
      </c>
    </row>
    <row r="156" spans="1:30" ht="14.4" x14ac:dyDescent="0.3">
      <c r="A156" s="316" t="s">
        <v>2846</v>
      </c>
      <c r="B156" s="313">
        <v>39719</v>
      </c>
      <c r="C156" s="316" t="s">
        <v>2847</v>
      </c>
      <c r="D156" s="316" t="s">
        <v>102</v>
      </c>
      <c r="E156" s="316" t="s">
        <v>1372</v>
      </c>
      <c r="F156" s="316" t="s">
        <v>495</v>
      </c>
      <c r="H156" s="1208"/>
      <c r="I156" s="1208"/>
      <c r="J156" s="1274">
        <v>6882.81</v>
      </c>
      <c r="L156" s="1274">
        <v>2511.38</v>
      </c>
      <c r="N156" s="1274">
        <v>1060.5557739999999</v>
      </c>
      <c r="O156" s="1274">
        <v>26.118352000000002</v>
      </c>
      <c r="AA156" s="1274">
        <v>0</v>
      </c>
      <c r="AC156" s="1274">
        <v>0</v>
      </c>
      <c r="AD156" s="1171">
        <v>0</v>
      </c>
    </row>
    <row r="157" spans="1:30" ht="14.4" x14ac:dyDescent="0.3">
      <c r="A157" s="316" t="s">
        <v>2848</v>
      </c>
      <c r="B157" s="313">
        <v>39719</v>
      </c>
      <c r="C157" s="316" t="s">
        <v>2847</v>
      </c>
      <c r="D157" s="316" t="s">
        <v>102</v>
      </c>
      <c r="E157" s="316" t="s">
        <v>1372</v>
      </c>
      <c r="F157" s="316" t="s">
        <v>495</v>
      </c>
      <c r="H157" s="1208"/>
      <c r="I157" s="1208"/>
      <c r="J157" s="1274">
        <v>6774.66</v>
      </c>
      <c r="L157" s="1274">
        <v>2408.9299999999998</v>
      </c>
      <c r="N157" s="1274">
        <v>1021.3863199999998</v>
      </c>
      <c r="O157" s="1274">
        <v>24.089299999999998</v>
      </c>
      <c r="AA157" s="1274">
        <v>0</v>
      </c>
      <c r="AC157" s="1274">
        <v>0</v>
      </c>
      <c r="AD157" s="1171">
        <v>0</v>
      </c>
    </row>
    <row r="158" spans="1:30" ht="14.4" x14ac:dyDescent="0.3">
      <c r="A158" s="316" t="s">
        <v>2849</v>
      </c>
      <c r="B158" s="313">
        <v>39719</v>
      </c>
      <c r="C158" s="316" t="s">
        <v>2847</v>
      </c>
      <c r="D158" s="316" t="s">
        <v>102</v>
      </c>
      <c r="E158" s="316" t="s">
        <v>1372</v>
      </c>
      <c r="F158" s="316" t="s">
        <v>495</v>
      </c>
      <c r="H158" s="1208"/>
      <c r="I158" s="1208"/>
      <c r="J158" s="1274">
        <v>10583.91</v>
      </c>
      <c r="L158" s="1274">
        <v>5174.3100000000004</v>
      </c>
      <c r="N158" s="1274">
        <v>2159.2395630000001</v>
      </c>
      <c r="O158" s="1274">
        <v>58.469703000000003</v>
      </c>
      <c r="AA158" s="1274">
        <v>0</v>
      </c>
      <c r="AC158" s="1274">
        <v>0</v>
      </c>
      <c r="AD158" s="1171">
        <v>0</v>
      </c>
    </row>
    <row r="159" spans="1:30" ht="14.4" x14ac:dyDescent="0.3">
      <c r="A159" s="316" t="s">
        <v>2850</v>
      </c>
      <c r="B159" s="313">
        <v>39719</v>
      </c>
      <c r="C159" s="316" t="s">
        <v>2851</v>
      </c>
      <c r="D159" s="316" t="s">
        <v>102</v>
      </c>
      <c r="E159" s="316" t="s">
        <v>1372</v>
      </c>
      <c r="F159" s="316" t="s">
        <v>500</v>
      </c>
      <c r="H159" s="1208"/>
      <c r="I159" s="1208"/>
      <c r="J159" s="1274">
        <v>13248.85</v>
      </c>
      <c r="L159" s="1274">
        <v>7384.21</v>
      </c>
      <c r="N159" s="1274">
        <v>3117.6134619999998</v>
      </c>
      <c r="O159" s="1274">
        <v>88.610519999999994</v>
      </c>
      <c r="AA159" s="1274">
        <v>3990</v>
      </c>
      <c r="AC159" s="1274">
        <v>1642.6830000000002</v>
      </c>
      <c r="AD159" s="1171">
        <v>22.344000000000001</v>
      </c>
    </row>
    <row r="160" spans="1:30" ht="14.4" x14ac:dyDescent="0.3">
      <c r="A160" s="316" t="s">
        <v>2852</v>
      </c>
      <c r="B160" s="313">
        <v>39719</v>
      </c>
      <c r="C160" s="316" t="s">
        <v>2851</v>
      </c>
      <c r="D160" s="316" t="s">
        <v>102</v>
      </c>
      <c r="E160" s="316" t="s">
        <v>1372</v>
      </c>
      <c r="F160" s="316" t="s">
        <v>500</v>
      </c>
      <c r="H160" s="1208"/>
      <c r="I160" s="1208"/>
      <c r="J160" s="1274">
        <v>8955.26</v>
      </c>
      <c r="L160" s="1274">
        <v>5127.49</v>
      </c>
      <c r="N160" s="1274">
        <v>2175.5940070000001</v>
      </c>
      <c r="O160" s="1274">
        <v>77.937847999999988</v>
      </c>
      <c r="AA160" s="1274">
        <v>2550</v>
      </c>
      <c r="AC160" s="1274">
        <v>1081.4549999999999</v>
      </c>
      <c r="AD160" s="1171">
        <v>7.65</v>
      </c>
    </row>
    <row r="161" spans="1:30" ht="14.4" x14ac:dyDescent="0.3">
      <c r="A161" s="316" t="s">
        <v>2853</v>
      </c>
      <c r="B161" s="313">
        <v>39719</v>
      </c>
      <c r="C161" s="316" t="s">
        <v>2851</v>
      </c>
      <c r="D161" s="316" t="s">
        <v>102</v>
      </c>
      <c r="E161" s="316" t="s">
        <v>1372</v>
      </c>
      <c r="F161" s="316" t="s">
        <v>500</v>
      </c>
      <c r="H161" s="1208"/>
      <c r="I161" s="1208"/>
      <c r="J161" s="1274">
        <v>13285.68</v>
      </c>
      <c r="L161" s="1274">
        <v>6759.67</v>
      </c>
      <c r="N161" s="1274">
        <v>2860.0163770000004</v>
      </c>
      <c r="O161" s="1274">
        <v>87.875709999999998</v>
      </c>
      <c r="AA161" s="1274">
        <v>5470</v>
      </c>
      <c r="AC161" s="1274">
        <v>2249.8110000000001</v>
      </c>
      <c r="AD161" s="1171">
        <v>32.82</v>
      </c>
    </row>
    <row r="162" spans="1:30" ht="14.4" x14ac:dyDescent="0.3">
      <c r="A162" s="316" t="s">
        <v>2854</v>
      </c>
      <c r="B162" s="313">
        <v>39719</v>
      </c>
      <c r="C162" s="316" t="s">
        <v>2855</v>
      </c>
      <c r="D162" s="316" t="s">
        <v>102</v>
      </c>
      <c r="E162" s="316" t="s">
        <v>1372</v>
      </c>
      <c r="F162" s="316" t="s">
        <v>495</v>
      </c>
      <c r="H162" s="1208"/>
      <c r="I162" s="1208"/>
      <c r="J162" s="1274">
        <v>11550.2</v>
      </c>
      <c r="L162" s="1274">
        <v>6189.81</v>
      </c>
      <c r="N162" s="1274">
        <v>2612.0998200000004</v>
      </c>
      <c r="O162" s="1274">
        <v>76.753644000000008</v>
      </c>
      <c r="AA162" s="1274">
        <v>0</v>
      </c>
      <c r="AC162" s="1274">
        <v>0</v>
      </c>
      <c r="AD162" s="1171">
        <v>0</v>
      </c>
    </row>
    <row r="163" spans="1:30" ht="14.4" x14ac:dyDescent="0.3">
      <c r="A163" s="316" t="s">
        <v>2856</v>
      </c>
      <c r="B163" s="313">
        <v>39719</v>
      </c>
      <c r="C163" s="316" t="s">
        <v>2855</v>
      </c>
      <c r="D163" s="316" t="s">
        <v>102</v>
      </c>
      <c r="E163" s="316" t="s">
        <v>1372</v>
      </c>
      <c r="F163" s="316" t="s">
        <v>495</v>
      </c>
      <c r="H163" s="1208"/>
      <c r="I163" s="1208"/>
      <c r="J163" s="1274">
        <v>8582.18</v>
      </c>
      <c r="L163" s="1274">
        <v>3933.26</v>
      </c>
      <c r="N163" s="1274">
        <v>1691.3018000000002</v>
      </c>
      <c r="O163" s="1274">
        <v>54.278987999999998</v>
      </c>
      <c r="AA163" s="1274">
        <v>0</v>
      </c>
      <c r="AC163" s="1274">
        <v>0</v>
      </c>
      <c r="AD163" s="1171">
        <v>0</v>
      </c>
    </row>
    <row r="164" spans="1:30" ht="14.4" x14ac:dyDescent="0.3">
      <c r="A164" s="316" t="s">
        <v>2857</v>
      </c>
      <c r="B164" s="313">
        <v>39719</v>
      </c>
      <c r="C164" s="316" t="s">
        <v>2855</v>
      </c>
      <c r="D164" s="316" t="s">
        <v>102</v>
      </c>
      <c r="E164" s="316" t="s">
        <v>1372</v>
      </c>
      <c r="F164" s="316" t="s">
        <v>495</v>
      </c>
      <c r="H164" s="1208"/>
      <c r="I164" s="1208"/>
      <c r="J164" s="1274">
        <v>14106.29</v>
      </c>
      <c r="L164" s="1274">
        <v>7370.9</v>
      </c>
      <c r="N164" s="1274">
        <v>3155.4822899999999</v>
      </c>
      <c r="O164" s="1274">
        <v>98.770060000000001</v>
      </c>
      <c r="AA164" s="1274">
        <v>0</v>
      </c>
      <c r="AC164" s="1274">
        <v>0</v>
      </c>
      <c r="AD164" s="1171">
        <v>0</v>
      </c>
    </row>
    <row r="165" spans="1:30" ht="14.4" x14ac:dyDescent="0.3">
      <c r="A165" s="316" t="s">
        <v>2858</v>
      </c>
      <c r="B165" s="313">
        <v>39719</v>
      </c>
      <c r="C165" s="316" t="s">
        <v>2859</v>
      </c>
      <c r="D165" s="316" t="s">
        <v>102</v>
      </c>
      <c r="E165" s="316" t="s">
        <v>1372</v>
      </c>
      <c r="F165" s="316" t="s">
        <v>500</v>
      </c>
      <c r="H165" s="1208"/>
      <c r="I165" s="1208"/>
      <c r="J165" s="1274">
        <v>10144.48</v>
      </c>
      <c r="L165" s="1274">
        <v>4322.8999999999996</v>
      </c>
      <c r="N165" s="1274">
        <v>1828.5866999999998</v>
      </c>
      <c r="O165" s="1274">
        <v>60.088309999999993</v>
      </c>
      <c r="AA165" s="1274">
        <v>3620</v>
      </c>
      <c r="AC165" s="1274">
        <v>1501.5759999999998</v>
      </c>
      <c r="AD165" s="1171">
        <v>18.100000000000001</v>
      </c>
    </row>
    <row r="166" spans="1:30" ht="14.4" x14ac:dyDescent="0.3">
      <c r="A166" s="316" t="s">
        <v>2860</v>
      </c>
      <c r="B166" s="313">
        <v>39719</v>
      </c>
      <c r="C166" s="316" t="s">
        <v>2859</v>
      </c>
      <c r="D166" s="316" t="s">
        <v>102</v>
      </c>
      <c r="E166" s="316" t="s">
        <v>1372</v>
      </c>
      <c r="F166" s="316" t="s">
        <v>500</v>
      </c>
      <c r="H166" s="1208"/>
      <c r="I166" s="1208"/>
      <c r="J166" s="1274">
        <v>14752.96</v>
      </c>
      <c r="L166" s="1274">
        <v>7305.49</v>
      </c>
      <c r="N166" s="1274">
        <v>3132.5941120000002</v>
      </c>
      <c r="O166" s="1274">
        <v>105.929605</v>
      </c>
      <c r="AA166" s="1274">
        <v>4750</v>
      </c>
      <c r="AC166" s="1274">
        <v>1959.85</v>
      </c>
      <c r="AD166" s="1171">
        <v>30.4</v>
      </c>
    </row>
    <row r="167" spans="1:30" ht="14.4" x14ac:dyDescent="0.3">
      <c r="A167" s="316" t="s">
        <v>2861</v>
      </c>
      <c r="B167" s="313">
        <v>39719</v>
      </c>
      <c r="C167" s="316" t="s">
        <v>2859</v>
      </c>
      <c r="D167" s="316" t="s">
        <v>102</v>
      </c>
      <c r="E167" s="316" t="s">
        <v>1372</v>
      </c>
      <c r="F167" s="316" t="s">
        <v>500</v>
      </c>
      <c r="H167" s="1208"/>
      <c r="I167" s="1208"/>
      <c r="J167" s="1274">
        <v>12541.08</v>
      </c>
      <c r="L167" s="1274">
        <v>6271.95</v>
      </c>
      <c r="N167" s="1274">
        <v>2636.1005849999997</v>
      </c>
      <c r="O167" s="1274">
        <v>86.552909999999997</v>
      </c>
      <c r="AA167" s="1274">
        <v>5650</v>
      </c>
      <c r="AC167" s="1274">
        <v>2356.6149999999998</v>
      </c>
      <c r="AD167" s="1171">
        <v>34.465000000000003</v>
      </c>
    </row>
    <row r="168" spans="1:30" ht="14.4" x14ac:dyDescent="0.3">
      <c r="A168" s="316" t="s">
        <v>2888</v>
      </c>
      <c r="B168" s="313">
        <v>39719</v>
      </c>
      <c r="C168" s="316" t="s">
        <v>2889</v>
      </c>
      <c r="D168" s="316" t="s">
        <v>102</v>
      </c>
      <c r="E168" s="316" t="s">
        <v>1372</v>
      </c>
      <c r="F168" s="316" t="s">
        <v>495</v>
      </c>
      <c r="H168" s="1208"/>
      <c r="I168" s="1208"/>
      <c r="J168" s="1274">
        <v>9313.7599999999984</v>
      </c>
      <c r="L168" s="1274">
        <v>4659.03</v>
      </c>
      <c r="N168" s="1274">
        <v>1964.2470479999997</v>
      </c>
      <c r="O168" s="1274">
        <v>65.22641999999999</v>
      </c>
      <c r="AA168" s="1274">
        <v>0</v>
      </c>
      <c r="AC168" s="1274">
        <v>0</v>
      </c>
      <c r="AD168" s="1171">
        <v>0</v>
      </c>
    </row>
    <row r="169" spans="1:30" ht="14.4" x14ac:dyDescent="0.3">
      <c r="A169" s="316" t="s">
        <v>2890</v>
      </c>
      <c r="B169" s="313">
        <v>39719</v>
      </c>
      <c r="C169" s="316" t="s">
        <v>2889</v>
      </c>
      <c r="D169" s="316" t="s">
        <v>102</v>
      </c>
      <c r="E169" s="316" t="s">
        <v>1372</v>
      </c>
      <c r="F169" s="316" t="s">
        <v>495</v>
      </c>
      <c r="H169" s="1208"/>
      <c r="I169" s="1208"/>
      <c r="J169" s="1274">
        <v>11074.060000000001</v>
      </c>
      <c r="L169" s="1274">
        <v>5640.89</v>
      </c>
      <c r="N169" s="1274">
        <v>2418.8136320000003</v>
      </c>
      <c r="O169" s="1274">
        <v>71.075214000000003</v>
      </c>
      <c r="AA169" s="1274">
        <v>0</v>
      </c>
      <c r="AC169" s="1274">
        <v>0</v>
      </c>
      <c r="AD169" s="1171">
        <v>0</v>
      </c>
    </row>
    <row r="170" spans="1:30" ht="14.4" x14ac:dyDescent="0.3">
      <c r="A170" s="316" t="s">
        <v>2892</v>
      </c>
      <c r="B170" s="313">
        <v>39719</v>
      </c>
      <c r="C170" s="316" t="s">
        <v>2889</v>
      </c>
      <c r="D170" s="316" t="s">
        <v>102</v>
      </c>
      <c r="E170" s="316" t="s">
        <v>1372</v>
      </c>
      <c r="F170" s="316" t="s">
        <v>495</v>
      </c>
      <c r="H170" s="1208"/>
      <c r="I170" s="1208"/>
      <c r="J170" s="1274">
        <v>15824.67</v>
      </c>
      <c r="L170" s="1274">
        <v>8216.42</v>
      </c>
      <c r="N170" s="1274">
        <v>3481.2971539999999</v>
      </c>
      <c r="O170" s="1274">
        <v>122.42465799999999</v>
      </c>
      <c r="AA170" s="1274">
        <v>0</v>
      </c>
      <c r="AC170" s="1274">
        <v>0</v>
      </c>
      <c r="AD170" s="1171">
        <v>0</v>
      </c>
    </row>
    <row r="171" spans="1:30" ht="14.4" x14ac:dyDescent="0.3">
      <c r="A171" s="316" t="s">
        <v>2842</v>
      </c>
      <c r="B171" s="313">
        <v>40093</v>
      </c>
      <c r="C171" s="316" t="s">
        <v>2843</v>
      </c>
      <c r="D171" s="316" t="s">
        <v>102</v>
      </c>
      <c r="E171" s="316" t="s">
        <v>1372</v>
      </c>
      <c r="F171" s="316" t="s">
        <v>500</v>
      </c>
      <c r="H171" s="1208"/>
      <c r="I171" s="1208"/>
      <c r="J171" s="1274">
        <v>9250.7000000000007</v>
      </c>
      <c r="L171" s="1274">
        <v>4775.8900000000003</v>
      </c>
      <c r="N171" s="1274">
        <v>2089.4518750000002</v>
      </c>
      <c r="O171" s="1274">
        <v>50.146845000000006</v>
      </c>
      <c r="AA171" s="1274">
        <v>3670</v>
      </c>
      <c r="AC171" s="1274">
        <v>1607.46</v>
      </c>
      <c r="AD171" s="1171">
        <v>13.579000000000001</v>
      </c>
    </row>
    <row r="172" spans="1:30" ht="14.4" x14ac:dyDescent="0.3">
      <c r="A172" s="316" t="s">
        <v>2844</v>
      </c>
      <c r="B172" s="313">
        <v>40093</v>
      </c>
      <c r="C172" s="316" t="s">
        <v>2843</v>
      </c>
      <c r="D172" s="316" t="s">
        <v>102</v>
      </c>
      <c r="E172" s="316" t="s">
        <v>1372</v>
      </c>
      <c r="F172" s="316" t="s">
        <v>500</v>
      </c>
      <c r="H172" s="1208"/>
      <c r="I172" s="1208"/>
      <c r="J172" s="1274">
        <v>8794.16</v>
      </c>
      <c r="L172" s="1274">
        <v>3646.23</v>
      </c>
      <c r="N172" s="1274">
        <v>1601.4242160000001</v>
      </c>
      <c r="O172" s="1274">
        <v>36.462299999999999</v>
      </c>
      <c r="AA172" s="1274">
        <v>3200</v>
      </c>
      <c r="AC172" s="1274">
        <v>1387.84</v>
      </c>
      <c r="AD172" s="1171">
        <v>28.16</v>
      </c>
    </row>
    <row r="173" spans="1:30" ht="14.4" x14ac:dyDescent="0.3">
      <c r="A173" s="316" t="s">
        <v>2845</v>
      </c>
      <c r="B173" s="313">
        <v>40093</v>
      </c>
      <c r="C173" s="316" t="s">
        <v>2843</v>
      </c>
      <c r="D173" s="316" t="s">
        <v>102</v>
      </c>
      <c r="E173" s="316" t="s">
        <v>1372</v>
      </c>
      <c r="F173" s="316" t="s">
        <v>500</v>
      </c>
      <c r="H173" s="1208"/>
      <c r="I173" s="1208"/>
      <c r="J173" s="1274">
        <v>15359.76</v>
      </c>
      <c r="L173" s="1274">
        <v>7461.66</v>
      </c>
      <c r="N173" s="1274">
        <v>3277.1610720000003</v>
      </c>
      <c r="O173" s="1274">
        <v>82.824426000000003</v>
      </c>
      <c r="AA173" s="1274">
        <v>5200</v>
      </c>
      <c r="AC173" s="1274">
        <v>2252.12</v>
      </c>
      <c r="AD173" s="1171">
        <v>19.239999999999998</v>
      </c>
    </row>
    <row r="174" spans="1:30" ht="14.4" x14ac:dyDescent="0.3">
      <c r="A174" s="316" t="s">
        <v>2846</v>
      </c>
      <c r="B174" s="313">
        <v>40093</v>
      </c>
      <c r="C174" s="316" t="s">
        <v>2847</v>
      </c>
      <c r="D174" s="316" t="s">
        <v>102</v>
      </c>
      <c r="E174" s="316" t="s">
        <v>1372</v>
      </c>
      <c r="F174" s="316" t="s">
        <v>495</v>
      </c>
      <c r="H174" s="1208"/>
      <c r="I174" s="1208"/>
      <c r="J174" s="1274">
        <v>10944.369999999999</v>
      </c>
      <c r="L174" s="1274">
        <v>4990.12</v>
      </c>
      <c r="N174" s="1274">
        <v>2182.1794759999998</v>
      </c>
      <c r="O174" s="1274">
        <v>51.897247999999998</v>
      </c>
      <c r="AA174" s="1274">
        <v>0</v>
      </c>
      <c r="AC174" s="1274">
        <v>0</v>
      </c>
      <c r="AD174" s="1171">
        <v>0</v>
      </c>
    </row>
    <row r="175" spans="1:30" ht="14.4" x14ac:dyDescent="0.3">
      <c r="A175" s="316" t="s">
        <v>2848</v>
      </c>
      <c r="B175" s="313">
        <v>40093</v>
      </c>
      <c r="C175" s="316" t="s">
        <v>2847</v>
      </c>
      <c r="D175" s="316" t="s">
        <v>102</v>
      </c>
      <c r="E175" s="316" t="s">
        <v>1372</v>
      </c>
      <c r="F175" s="316" t="s">
        <v>495</v>
      </c>
      <c r="H175" s="1208"/>
      <c r="I175" s="1208"/>
      <c r="J175" s="1274">
        <v>9178.7200000000012</v>
      </c>
      <c r="L175" s="1274">
        <v>4807.3100000000004</v>
      </c>
      <c r="N175" s="1274">
        <v>2107.0439730000003</v>
      </c>
      <c r="O175" s="1274">
        <v>48.073100000000004</v>
      </c>
      <c r="AA175" s="1274">
        <v>0</v>
      </c>
      <c r="AC175" s="1274">
        <v>0</v>
      </c>
      <c r="AD175" s="1171">
        <v>0</v>
      </c>
    </row>
    <row r="176" spans="1:30" ht="14.4" x14ac:dyDescent="0.3">
      <c r="A176" s="316" t="s">
        <v>2849</v>
      </c>
      <c r="B176" s="313">
        <v>40093</v>
      </c>
      <c r="C176" s="316" t="s">
        <v>2847</v>
      </c>
      <c r="D176" s="316" t="s">
        <v>102</v>
      </c>
      <c r="E176" s="316" t="s">
        <v>1372</v>
      </c>
      <c r="F176" s="316" t="s">
        <v>495</v>
      </c>
      <c r="H176" s="1208"/>
      <c r="I176" s="1208"/>
      <c r="J176" s="1274">
        <v>16358.29</v>
      </c>
      <c r="L176" s="1274">
        <v>7935.37</v>
      </c>
      <c r="N176" s="1274">
        <v>3489.9757259999997</v>
      </c>
      <c r="O176" s="1274">
        <v>84.908459000000008</v>
      </c>
      <c r="AA176" s="1274">
        <v>0</v>
      </c>
      <c r="AC176" s="1274">
        <v>0</v>
      </c>
      <c r="AD176" s="1171">
        <v>0</v>
      </c>
    </row>
    <row r="177" spans="1:41" ht="14.4" x14ac:dyDescent="0.3">
      <c r="A177" s="316" t="s">
        <v>2850</v>
      </c>
      <c r="B177" s="313">
        <v>40093</v>
      </c>
      <c r="C177" s="316" t="s">
        <v>2851</v>
      </c>
      <c r="D177" s="316" t="s">
        <v>102</v>
      </c>
      <c r="E177" s="316" t="s">
        <v>1372</v>
      </c>
      <c r="F177" s="316" t="s">
        <v>500</v>
      </c>
      <c r="H177" s="1208"/>
      <c r="I177" s="1208"/>
      <c r="J177" s="1274">
        <v>17604.400000000001</v>
      </c>
      <c r="L177" s="1274">
        <v>9171.67</v>
      </c>
      <c r="N177" s="1274">
        <v>4067.6356450000003</v>
      </c>
      <c r="O177" s="1274">
        <v>119.23171000000001</v>
      </c>
      <c r="AA177" s="1274">
        <v>4780</v>
      </c>
      <c r="AC177" s="1274">
        <v>2064.0039999999999</v>
      </c>
      <c r="AD177" s="1171">
        <v>22.944000000000003</v>
      </c>
    </row>
    <row r="178" spans="1:41" ht="14.4" x14ac:dyDescent="0.3">
      <c r="A178" s="316" t="s">
        <v>2852</v>
      </c>
      <c r="B178" s="313">
        <v>40093</v>
      </c>
      <c r="C178" s="316" t="s">
        <v>2851</v>
      </c>
      <c r="D178" s="316" t="s">
        <v>102</v>
      </c>
      <c r="E178" s="316" t="s">
        <v>1372</v>
      </c>
      <c r="F178" s="316" t="s">
        <v>500</v>
      </c>
      <c r="H178" s="1208"/>
      <c r="I178" s="1208"/>
      <c r="J178" s="1274">
        <v>8825.06</v>
      </c>
      <c r="L178" s="1274">
        <v>4551.1899999999996</v>
      </c>
      <c r="N178" s="1274">
        <v>2024.3693119999996</v>
      </c>
      <c r="O178" s="1274">
        <v>64.626897999999997</v>
      </c>
      <c r="AA178" s="1274">
        <v>2940</v>
      </c>
      <c r="AC178" s="1274">
        <v>1262.4359999999999</v>
      </c>
      <c r="AD178" s="1171">
        <v>17.64</v>
      </c>
    </row>
    <row r="179" spans="1:41" ht="14.4" x14ac:dyDescent="0.3">
      <c r="A179" s="316" t="s">
        <v>2853</v>
      </c>
      <c r="B179" s="313">
        <v>40093</v>
      </c>
      <c r="C179" s="316" t="s">
        <v>2851</v>
      </c>
      <c r="D179" s="316" t="s">
        <v>102</v>
      </c>
      <c r="E179" s="316" t="s">
        <v>1372</v>
      </c>
      <c r="F179" s="316" t="s">
        <v>500</v>
      </c>
      <c r="H179" s="1208"/>
      <c r="I179" s="1208"/>
      <c r="J179" s="1274">
        <v>18583.59</v>
      </c>
      <c r="L179" s="1274">
        <v>9959.7999999999993</v>
      </c>
      <c r="N179" s="1274">
        <v>4393.2677800000001</v>
      </c>
      <c r="O179" s="1274">
        <v>134.4573</v>
      </c>
      <c r="AA179" s="1274">
        <v>6380</v>
      </c>
      <c r="AC179" s="1274">
        <v>2712.7760000000003</v>
      </c>
      <c r="AD179" s="1171">
        <v>29.348000000000003</v>
      </c>
    </row>
    <row r="180" spans="1:41" ht="14.4" x14ac:dyDescent="0.3">
      <c r="A180" s="316" t="s">
        <v>2854</v>
      </c>
      <c r="B180" s="313">
        <v>40093</v>
      </c>
      <c r="C180" s="316" t="s">
        <v>2855</v>
      </c>
      <c r="D180" s="316" t="s">
        <v>102</v>
      </c>
      <c r="E180" s="316" t="s">
        <v>1372</v>
      </c>
      <c r="F180" s="316" t="s">
        <v>495</v>
      </c>
      <c r="H180" s="1208"/>
      <c r="I180" s="1208"/>
      <c r="J180" s="1274">
        <v>13910.39</v>
      </c>
      <c r="L180" s="1274">
        <v>8459.68</v>
      </c>
      <c r="N180" s="1274">
        <v>3753.5600160000004</v>
      </c>
      <c r="O180" s="1274">
        <v>102.362128</v>
      </c>
      <c r="AA180" s="1274">
        <v>0</v>
      </c>
      <c r="AC180" s="1274">
        <v>0</v>
      </c>
      <c r="AD180" s="1171">
        <v>0</v>
      </c>
    </row>
    <row r="181" spans="1:41" ht="14.4" x14ac:dyDescent="0.3">
      <c r="A181" s="316" t="s">
        <v>2856</v>
      </c>
      <c r="B181" s="313">
        <v>40093</v>
      </c>
      <c r="C181" s="316" t="s">
        <v>2855</v>
      </c>
      <c r="D181" s="316" t="s">
        <v>102</v>
      </c>
      <c r="E181" s="316" t="s">
        <v>1372</v>
      </c>
      <c r="F181" s="316" t="s">
        <v>495</v>
      </c>
      <c r="H181" s="1208"/>
      <c r="I181" s="1208"/>
      <c r="J181" s="1274">
        <v>10534.48</v>
      </c>
      <c r="L181" s="1274">
        <v>5037.4399999999996</v>
      </c>
      <c r="N181" s="1274">
        <v>2364.5743359999997</v>
      </c>
      <c r="O181" s="1274">
        <v>73.546623999999994</v>
      </c>
      <c r="AA181" s="1274">
        <v>0</v>
      </c>
      <c r="AC181" s="1274">
        <v>0</v>
      </c>
      <c r="AD181" s="1171">
        <v>0</v>
      </c>
    </row>
    <row r="182" spans="1:41" ht="14.4" x14ac:dyDescent="0.3">
      <c r="A182" s="316" t="s">
        <v>2857</v>
      </c>
      <c r="B182" s="313">
        <v>40093</v>
      </c>
      <c r="C182" s="316" t="s">
        <v>2855</v>
      </c>
      <c r="D182" s="316" t="s">
        <v>102</v>
      </c>
      <c r="E182" s="316" t="s">
        <v>1372</v>
      </c>
      <c r="F182" s="316" t="s">
        <v>495</v>
      </c>
      <c r="H182" s="1208"/>
      <c r="I182" s="1208"/>
      <c r="J182" s="1274">
        <v>16370.400000000001</v>
      </c>
      <c r="L182" s="1274">
        <v>7876.03</v>
      </c>
      <c r="N182" s="1274">
        <v>3479.6300539999997</v>
      </c>
      <c r="O182" s="1274">
        <v>105.53880199999999</v>
      </c>
      <c r="AA182" s="1274">
        <v>0</v>
      </c>
      <c r="AC182" s="1274">
        <v>0</v>
      </c>
      <c r="AD182" s="1171">
        <v>0</v>
      </c>
    </row>
    <row r="183" spans="1:41" ht="14.4" x14ac:dyDescent="0.3">
      <c r="A183" s="316" t="s">
        <v>2858</v>
      </c>
      <c r="B183" s="313">
        <v>40093</v>
      </c>
      <c r="C183" s="316" t="s">
        <v>2859</v>
      </c>
      <c r="D183" s="316" t="s">
        <v>102</v>
      </c>
      <c r="E183" s="316" t="s">
        <v>1372</v>
      </c>
      <c r="F183" s="316" t="s">
        <v>500</v>
      </c>
      <c r="H183" s="1208"/>
      <c r="I183" s="1208"/>
      <c r="J183" s="1274">
        <v>7083.03</v>
      </c>
      <c r="L183" s="1274">
        <v>3073.24</v>
      </c>
      <c r="N183" s="1274">
        <v>1353.1475719999999</v>
      </c>
      <c r="O183" s="1274">
        <v>43.640007999999995</v>
      </c>
      <c r="AA183" s="1274">
        <v>2980</v>
      </c>
      <c r="AC183" s="1274">
        <v>1294.8100000000002</v>
      </c>
      <c r="AD183" s="1171">
        <v>42.018000000000001</v>
      </c>
    </row>
    <row r="184" spans="1:41" ht="14.4" x14ac:dyDescent="0.3">
      <c r="A184" s="316" t="s">
        <v>2860</v>
      </c>
      <c r="B184" s="313">
        <v>40093</v>
      </c>
      <c r="C184" s="316" t="s">
        <v>2859</v>
      </c>
      <c r="D184" s="316" t="s">
        <v>102</v>
      </c>
      <c r="E184" s="316" t="s">
        <v>1372</v>
      </c>
      <c r="F184" s="316" t="s">
        <v>500</v>
      </c>
      <c r="H184" s="1208"/>
      <c r="I184" s="1208"/>
      <c r="J184" s="1274">
        <v>14807.380000000001</v>
      </c>
      <c r="L184" s="1274">
        <v>8601.7900000000009</v>
      </c>
      <c r="N184" s="1274">
        <v>3800.2708220000004</v>
      </c>
      <c r="O184" s="1274">
        <v>122.14541800000001</v>
      </c>
      <c r="AA184" s="1274">
        <v>3410</v>
      </c>
      <c r="AC184" s="1274">
        <v>1510.971</v>
      </c>
      <c r="AD184" s="1171">
        <v>17.05</v>
      </c>
    </row>
    <row r="185" spans="1:41" ht="14.4" x14ac:dyDescent="0.3">
      <c r="A185" s="316" t="s">
        <v>2861</v>
      </c>
      <c r="B185" s="313">
        <v>40093</v>
      </c>
      <c r="C185" s="316" t="s">
        <v>2859</v>
      </c>
      <c r="D185" s="316" t="s">
        <v>102</v>
      </c>
      <c r="E185" s="316" t="s">
        <v>1372</v>
      </c>
      <c r="F185" s="316" t="s">
        <v>500</v>
      </c>
      <c r="H185" s="1208"/>
      <c r="I185" s="1208"/>
      <c r="J185" s="1274">
        <v>16275.09</v>
      </c>
      <c r="L185" s="1274">
        <v>8951.4699999999993</v>
      </c>
      <c r="N185" s="1274">
        <v>3958.3400339999998</v>
      </c>
      <c r="O185" s="1274">
        <v>121.739992</v>
      </c>
      <c r="AA185" s="1274">
        <v>4910</v>
      </c>
      <c r="AC185" s="1274">
        <v>2135.85</v>
      </c>
      <c r="AD185" s="1171">
        <v>24.55</v>
      </c>
    </row>
    <row r="186" spans="1:41" ht="14.4" x14ac:dyDescent="0.3">
      <c r="A186" s="316" t="s">
        <v>2888</v>
      </c>
      <c r="B186" s="313">
        <v>40093</v>
      </c>
      <c r="C186" s="316" t="s">
        <v>2889</v>
      </c>
      <c r="D186" s="316" t="s">
        <v>102</v>
      </c>
      <c r="E186" s="316" t="s">
        <v>1372</v>
      </c>
      <c r="F186" s="316" t="s">
        <v>495</v>
      </c>
      <c r="H186" s="1208"/>
      <c r="I186" s="1208"/>
      <c r="J186" s="1274">
        <v>9925.35</v>
      </c>
      <c r="L186" s="1274">
        <v>3345.54</v>
      </c>
      <c r="N186" s="1274">
        <v>1457.6517780000001</v>
      </c>
      <c r="O186" s="1274">
        <v>47.172113999999993</v>
      </c>
      <c r="AA186" s="1274">
        <v>0</v>
      </c>
      <c r="AC186" s="1274">
        <v>0</v>
      </c>
      <c r="AD186" s="1171">
        <v>0</v>
      </c>
    </row>
    <row r="187" spans="1:41" ht="14.4" x14ac:dyDescent="0.3">
      <c r="A187" s="316" t="s">
        <v>2890</v>
      </c>
      <c r="B187" s="313">
        <v>40093</v>
      </c>
      <c r="C187" s="316" t="s">
        <v>2889</v>
      </c>
      <c r="D187" s="316" t="s">
        <v>102</v>
      </c>
      <c r="E187" s="316" t="s">
        <v>1372</v>
      </c>
      <c r="F187" s="316" t="s">
        <v>495</v>
      </c>
      <c r="H187" s="1208"/>
      <c r="I187" s="1208"/>
      <c r="J187" s="1274">
        <v>16267.189999999999</v>
      </c>
      <c r="L187" s="1274">
        <v>8536.9699999999993</v>
      </c>
      <c r="N187" s="1274">
        <v>3788.7072859999998</v>
      </c>
      <c r="O187" s="1274">
        <v>114.395398</v>
      </c>
      <c r="AA187" s="1274">
        <v>0</v>
      </c>
      <c r="AC187" s="1274">
        <v>0</v>
      </c>
      <c r="AD187" s="1171">
        <v>0</v>
      </c>
    </row>
    <row r="188" spans="1:41" ht="14.4" x14ac:dyDescent="0.3">
      <c r="A188" s="316" t="s">
        <v>2892</v>
      </c>
      <c r="B188" s="313">
        <v>40093</v>
      </c>
      <c r="C188" s="316" t="s">
        <v>2889</v>
      </c>
      <c r="D188" s="316" t="s">
        <v>102</v>
      </c>
      <c r="E188" s="316" t="s">
        <v>1372</v>
      </c>
      <c r="F188" s="316" t="s">
        <v>495</v>
      </c>
      <c r="H188" s="1208"/>
      <c r="I188" s="1208"/>
      <c r="J188" s="1274">
        <v>13322.529999999999</v>
      </c>
      <c r="L188" s="1274">
        <v>6790.59</v>
      </c>
      <c r="N188" s="1274">
        <v>2990.575836</v>
      </c>
      <c r="O188" s="1274">
        <v>90.99390600000001</v>
      </c>
      <c r="AA188" s="1274">
        <v>0</v>
      </c>
      <c r="AC188" s="1274">
        <v>0</v>
      </c>
      <c r="AD188" s="1171">
        <v>0</v>
      </c>
    </row>
    <row r="189" spans="1:41" s="1247" customFormat="1" ht="14.4" x14ac:dyDescent="0.3">
      <c r="A189" s="1271" t="s">
        <v>2923</v>
      </c>
      <c r="B189" s="1272">
        <v>40434</v>
      </c>
      <c r="C189" s="1172" t="s">
        <v>2922</v>
      </c>
      <c r="D189" s="1172" t="s">
        <v>102</v>
      </c>
      <c r="E189" s="1172" t="s">
        <v>1372</v>
      </c>
      <c r="F189" s="1172" t="s">
        <v>500</v>
      </c>
      <c r="H189" s="1208"/>
      <c r="I189" s="1208"/>
      <c r="J189" s="1329">
        <v>4632.0725091158774</v>
      </c>
      <c r="L189" s="1329">
        <v>1859.0851996518809</v>
      </c>
      <c r="N189" s="1329">
        <v>814.55163019737211</v>
      </c>
      <c r="O189" s="1329">
        <v>19.59688149841659</v>
      </c>
      <c r="P189" s="1329"/>
      <c r="Q189" s="1329"/>
      <c r="R189" s="1329"/>
      <c r="S189" s="1329"/>
      <c r="T189" s="1329"/>
      <c r="U189" s="1329"/>
      <c r="V189" s="1329"/>
      <c r="W189" s="1329"/>
      <c r="X189" s="1329"/>
      <c r="Y189" s="1329"/>
      <c r="Z189" s="1329"/>
      <c r="AA189" s="1329">
        <v>1045.4024607492479</v>
      </c>
      <c r="AC189" s="1329">
        <v>444.93666109589145</v>
      </c>
      <c r="AD189" s="1330">
        <v>5.631981060828922</v>
      </c>
      <c r="AE189" s="1330"/>
      <c r="AF189" s="1330"/>
      <c r="AG189" s="1330"/>
      <c r="AH189" s="1330"/>
      <c r="AI189" s="1330"/>
      <c r="AJ189" s="1330"/>
      <c r="AK189" s="1330"/>
      <c r="AL189" s="1330"/>
      <c r="AM189" s="1330"/>
      <c r="AN189" s="1330"/>
      <c r="AO189" s="1330"/>
    </row>
    <row r="190" spans="1:41" s="1247" customFormat="1" ht="14.4" x14ac:dyDescent="0.3">
      <c r="A190" s="1271" t="s">
        <v>2924</v>
      </c>
      <c r="B190" s="1272">
        <v>40434</v>
      </c>
      <c r="C190" s="1172" t="s">
        <v>2922</v>
      </c>
      <c r="D190" s="1172" t="s">
        <v>102</v>
      </c>
      <c r="E190" s="1172" t="s">
        <v>1372</v>
      </c>
      <c r="F190" s="1172" t="s">
        <v>500</v>
      </c>
      <c r="H190" s="1208"/>
      <c r="I190" s="1208"/>
      <c r="J190" s="1329">
        <v>5032.6395983953753</v>
      </c>
      <c r="L190" s="1329">
        <v>1737.8405127180624</v>
      </c>
      <c r="N190" s="1329">
        <v>761.35139974182573</v>
      </c>
      <c r="O190" s="1329">
        <v>20.505294854815556</v>
      </c>
      <c r="P190" s="1329"/>
      <c r="Q190" s="1329"/>
      <c r="R190" s="1329"/>
      <c r="S190" s="1329"/>
      <c r="T190" s="1329"/>
      <c r="U190" s="1329"/>
      <c r="V190" s="1329"/>
      <c r="W190" s="1329"/>
      <c r="X190" s="1329"/>
      <c r="Y190" s="1329"/>
      <c r="Z190" s="1329"/>
      <c r="AA190" s="1329">
        <v>1534.5812696690264</v>
      </c>
      <c r="AC190" s="1329">
        <v>635.19783361047109</v>
      </c>
      <c r="AD190" s="1330">
        <v>9.5161994653282136</v>
      </c>
      <c r="AE190" s="1330"/>
      <c r="AF190" s="1330"/>
      <c r="AG190" s="1330"/>
      <c r="AH190" s="1330"/>
      <c r="AI190" s="1330"/>
      <c r="AJ190" s="1330"/>
      <c r="AK190" s="1330"/>
      <c r="AL190" s="1330"/>
      <c r="AM190" s="1330"/>
      <c r="AN190" s="1330"/>
      <c r="AO190" s="1330"/>
    </row>
    <row r="191" spans="1:41" s="1247" customFormat="1" ht="14.4" x14ac:dyDescent="0.3">
      <c r="A191" s="1271" t="s">
        <v>2921</v>
      </c>
      <c r="B191" s="1272">
        <v>40434</v>
      </c>
      <c r="C191" s="1172" t="s">
        <v>2922</v>
      </c>
      <c r="D191" s="1172" t="s">
        <v>102</v>
      </c>
      <c r="E191" s="1172" t="s">
        <v>1372</v>
      </c>
      <c r="F191" s="1172" t="s">
        <v>500</v>
      </c>
      <c r="H191" s="1208"/>
      <c r="I191" s="1208"/>
      <c r="J191" s="1329">
        <v>8837.8435260271872</v>
      </c>
      <c r="L191" s="1329">
        <v>4046.5414264161864</v>
      </c>
      <c r="N191" s="1329">
        <v>1783.3197473442474</v>
      </c>
      <c r="O191" s="1329">
        <v>45.370481943890525</v>
      </c>
      <c r="P191" s="1329"/>
      <c r="Q191" s="1329"/>
      <c r="R191" s="1329"/>
      <c r="S191" s="1329"/>
      <c r="T191" s="1329"/>
      <c r="U191" s="1329"/>
      <c r="V191" s="1329"/>
      <c r="W191" s="1329"/>
      <c r="X191" s="1329"/>
      <c r="Y191" s="1329"/>
      <c r="Z191" s="1329"/>
      <c r="AA191" s="1329">
        <v>1566.5206943512433</v>
      </c>
      <c r="AC191" s="1329">
        <v>676.15670151681979</v>
      </c>
      <c r="AD191" s="1330">
        <v>8.6328446211409826</v>
      </c>
      <c r="AE191" s="1330"/>
      <c r="AF191" s="1330"/>
      <c r="AG191" s="1330"/>
      <c r="AH191" s="1330"/>
      <c r="AI191" s="1330"/>
      <c r="AJ191" s="1330"/>
      <c r="AK191" s="1330"/>
      <c r="AL191" s="1330"/>
      <c r="AM191" s="1330"/>
      <c r="AN191" s="1330"/>
      <c r="AO191" s="1330"/>
    </row>
    <row r="192" spans="1:41" s="1247" customFormat="1" ht="14.4" x14ac:dyDescent="0.3">
      <c r="A192" s="1271" t="s">
        <v>2842</v>
      </c>
      <c r="B192" s="1272">
        <v>40434</v>
      </c>
      <c r="C192" s="1172" t="s">
        <v>2843</v>
      </c>
      <c r="D192" s="1172" t="s">
        <v>102</v>
      </c>
      <c r="E192" s="1172" t="s">
        <v>1372</v>
      </c>
      <c r="F192" s="1172" t="s">
        <v>500</v>
      </c>
      <c r="H192" s="1208"/>
      <c r="I192" s="1208"/>
      <c r="J192" s="1329">
        <v>9883.83</v>
      </c>
      <c r="L192" s="1329">
        <v>5265.4</v>
      </c>
      <c r="N192" s="1329">
        <v>2284.1305200000002</v>
      </c>
      <c r="O192" s="1329">
        <v>61.078639999999993</v>
      </c>
      <c r="P192" s="1329"/>
      <c r="Q192" s="1329"/>
      <c r="R192" s="1329"/>
      <c r="S192" s="1329"/>
      <c r="T192" s="1329"/>
      <c r="U192" s="1329"/>
      <c r="V192" s="1329"/>
      <c r="W192" s="1329"/>
      <c r="X192" s="1329"/>
      <c r="Y192" s="1329"/>
      <c r="Z192" s="1329"/>
      <c r="AA192" s="1329">
        <v>1510</v>
      </c>
      <c r="AC192" s="1329">
        <v>643.10900000000004</v>
      </c>
      <c r="AD192" s="1330">
        <v>10.117000000000001</v>
      </c>
      <c r="AE192" s="1330"/>
      <c r="AF192" s="1330"/>
      <c r="AG192" s="1330"/>
      <c r="AH192" s="1330"/>
      <c r="AI192" s="1330"/>
      <c r="AJ192" s="1330"/>
      <c r="AK192" s="1330"/>
      <c r="AL192" s="1330"/>
      <c r="AM192" s="1330"/>
      <c r="AN192" s="1330"/>
      <c r="AO192" s="1330"/>
    </row>
    <row r="193" spans="1:75" s="1247" customFormat="1" ht="14.4" x14ac:dyDescent="0.3">
      <c r="A193" s="1271" t="s">
        <v>2844</v>
      </c>
      <c r="B193" s="1272">
        <v>40434</v>
      </c>
      <c r="C193" s="1172" t="s">
        <v>2843</v>
      </c>
      <c r="D193" s="1172" t="s">
        <v>102</v>
      </c>
      <c r="E193" s="1172" t="s">
        <v>1372</v>
      </c>
      <c r="F193" s="1172" t="s">
        <v>500</v>
      </c>
      <c r="H193" s="1208"/>
      <c r="I193" s="1208"/>
      <c r="J193" s="1329">
        <v>7133.98</v>
      </c>
      <c r="L193" s="1329">
        <v>3261.25</v>
      </c>
      <c r="N193" s="1329">
        <v>1413.0996249999998</v>
      </c>
      <c r="O193" s="1329">
        <v>42.722375</v>
      </c>
      <c r="P193" s="1329"/>
      <c r="Q193" s="1329"/>
      <c r="R193" s="1329"/>
      <c r="S193" s="1329"/>
      <c r="T193" s="1329"/>
      <c r="U193" s="1329"/>
      <c r="V193" s="1329"/>
      <c r="W193" s="1329"/>
      <c r="X193" s="1329"/>
      <c r="Y193" s="1329"/>
      <c r="Z193" s="1329"/>
      <c r="AA193" s="1329">
        <v>1460</v>
      </c>
      <c r="AC193" s="1329">
        <v>623.71199999999999</v>
      </c>
      <c r="AD193" s="1330">
        <v>13.14</v>
      </c>
      <c r="AE193" s="1330"/>
      <c r="AF193" s="1330"/>
      <c r="AG193" s="1330"/>
      <c r="AH193" s="1330"/>
      <c r="AI193" s="1330"/>
      <c r="AJ193" s="1330"/>
      <c r="AK193" s="1330"/>
      <c r="AL193" s="1330"/>
      <c r="AM193" s="1330"/>
      <c r="AN193" s="1330"/>
      <c r="AO193" s="1330"/>
    </row>
    <row r="194" spans="1:75" s="1247" customFormat="1" ht="14.4" x14ac:dyDescent="0.3">
      <c r="A194" s="1271" t="s">
        <v>2845</v>
      </c>
      <c r="B194" s="313">
        <v>40434</v>
      </c>
      <c r="C194" s="316" t="s">
        <v>2843</v>
      </c>
      <c r="D194" s="316" t="s">
        <v>102</v>
      </c>
      <c r="E194" s="316" t="s">
        <v>1372</v>
      </c>
      <c r="F194" s="316" t="s">
        <v>500</v>
      </c>
      <c r="G194" s="314"/>
      <c r="H194" s="1208"/>
      <c r="I194" s="1208"/>
      <c r="J194" s="1274">
        <v>13081.240000000002</v>
      </c>
      <c r="K194" s="314"/>
      <c r="L194" s="1274">
        <v>6876.31</v>
      </c>
      <c r="M194" s="314"/>
      <c r="N194" s="1274">
        <v>2979.5051229999999</v>
      </c>
      <c r="O194" s="1274">
        <v>88.704399000000009</v>
      </c>
      <c r="P194" s="1274"/>
      <c r="Q194" s="1274"/>
      <c r="R194" s="1274"/>
      <c r="S194" s="1274"/>
      <c r="T194" s="1274"/>
      <c r="U194" s="1274"/>
      <c r="V194" s="1274"/>
      <c r="W194" s="1274"/>
      <c r="X194" s="1274"/>
      <c r="Y194" s="1274"/>
      <c r="Z194" s="1274"/>
      <c r="AA194" s="1274">
        <v>2890</v>
      </c>
      <c r="AB194" s="314"/>
      <c r="AC194" s="1274">
        <v>1210.6210000000001</v>
      </c>
      <c r="AD194" s="1171">
        <v>19.363000000000003</v>
      </c>
      <c r="AE194" s="1171"/>
      <c r="AF194" s="1171"/>
      <c r="AG194" s="1171"/>
      <c r="AH194" s="1171"/>
      <c r="AI194" s="1171"/>
      <c r="AJ194" s="1171"/>
      <c r="AK194" s="1171"/>
      <c r="AL194" s="1171"/>
      <c r="AM194" s="1171"/>
      <c r="AN194" s="1171"/>
      <c r="AO194" s="1171"/>
      <c r="AP194" s="314"/>
      <c r="AQ194" s="314"/>
      <c r="AR194" s="314"/>
      <c r="AS194" s="314"/>
      <c r="AT194" s="314"/>
      <c r="AU194" s="314"/>
      <c r="AV194" s="314"/>
      <c r="AW194" s="314"/>
      <c r="AX194" s="314"/>
      <c r="AY194" s="314"/>
      <c r="AZ194" s="314"/>
      <c r="BA194" s="314"/>
      <c r="BB194" s="314"/>
      <c r="BC194" s="314"/>
      <c r="BD194" s="314"/>
      <c r="BE194" s="314"/>
      <c r="BF194" s="314"/>
      <c r="BG194" s="314"/>
      <c r="BH194" s="314"/>
      <c r="BI194" s="314"/>
      <c r="BJ194" s="314"/>
      <c r="BK194" s="314"/>
      <c r="BL194" s="314"/>
      <c r="BM194" s="314"/>
      <c r="BN194" s="314"/>
      <c r="BO194" s="314"/>
      <c r="BP194" s="314"/>
      <c r="BQ194" s="314"/>
      <c r="BR194" s="314"/>
      <c r="BS194" s="314"/>
      <c r="BT194" s="314"/>
      <c r="BU194" s="314"/>
      <c r="BV194" s="314"/>
      <c r="BW194" s="314"/>
    </row>
    <row r="195" spans="1:75" s="1247" customFormat="1" ht="14.4" x14ac:dyDescent="0.3">
      <c r="A195" s="1172" t="s">
        <v>2846</v>
      </c>
      <c r="B195" s="1272">
        <v>40434</v>
      </c>
      <c r="C195" s="1172" t="s">
        <v>2847</v>
      </c>
      <c r="D195" s="1172" t="s">
        <v>102</v>
      </c>
      <c r="E195" s="1172" t="s">
        <v>1372</v>
      </c>
      <c r="F195" s="1172" t="s">
        <v>495</v>
      </c>
      <c r="H195" s="1208"/>
      <c r="I195" s="1208"/>
      <c r="J195" s="1329">
        <v>8702.26</v>
      </c>
      <c r="L195" s="1329">
        <v>3336.99</v>
      </c>
      <c r="N195" s="1329">
        <v>1442.5807769999999</v>
      </c>
      <c r="O195" s="1329">
        <v>41.044976999999996</v>
      </c>
      <c r="P195" s="1329"/>
      <c r="Q195" s="1329"/>
      <c r="R195" s="1329"/>
      <c r="S195" s="1329"/>
      <c r="T195" s="1329"/>
      <c r="U195" s="1329"/>
      <c r="V195" s="1329"/>
      <c r="W195" s="1329"/>
      <c r="X195" s="1329"/>
      <c r="Y195" s="1329"/>
      <c r="Z195" s="1329"/>
      <c r="AA195" s="1329">
        <v>0</v>
      </c>
      <c r="AC195" s="1329">
        <v>0</v>
      </c>
      <c r="AD195" s="1330">
        <v>0</v>
      </c>
      <c r="AE195" s="1330"/>
      <c r="AF195" s="1330"/>
      <c r="AG195" s="1330"/>
      <c r="AH195" s="1330"/>
      <c r="AI195" s="1330"/>
      <c r="AJ195" s="1330"/>
      <c r="AK195" s="1330"/>
      <c r="AL195" s="1330"/>
      <c r="AM195" s="1330"/>
      <c r="AN195" s="1330"/>
      <c r="AO195" s="1330"/>
    </row>
    <row r="196" spans="1:75" s="1247" customFormat="1" ht="14.4" x14ac:dyDescent="0.3">
      <c r="A196" s="1172" t="s">
        <v>2848</v>
      </c>
      <c r="B196" s="1272">
        <v>40434</v>
      </c>
      <c r="C196" s="1172" t="s">
        <v>2847</v>
      </c>
      <c r="D196" s="1172" t="s">
        <v>102</v>
      </c>
      <c r="E196" s="1172" t="s">
        <v>1372</v>
      </c>
      <c r="F196" s="1172" t="s">
        <v>495</v>
      </c>
      <c r="H196" s="1208"/>
      <c r="I196" s="1208"/>
      <c r="J196" s="1329">
        <v>10554.529999999999</v>
      </c>
      <c r="L196" s="1329">
        <v>3235.84</v>
      </c>
      <c r="N196" s="1329">
        <v>1405.9724800000001</v>
      </c>
      <c r="O196" s="1329">
        <v>43.360256000000007</v>
      </c>
      <c r="P196" s="1329"/>
      <c r="Q196" s="1329"/>
      <c r="R196" s="1329"/>
      <c r="S196" s="1329"/>
      <c r="T196" s="1329"/>
      <c r="U196" s="1329"/>
      <c r="V196" s="1329"/>
      <c r="W196" s="1329"/>
      <c r="X196" s="1329"/>
      <c r="Y196" s="1329"/>
      <c r="Z196" s="1329"/>
      <c r="AA196" s="1329">
        <v>0</v>
      </c>
      <c r="AC196" s="1329">
        <v>0</v>
      </c>
      <c r="AD196" s="1330">
        <v>0</v>
      </c>
      <c r="AE196" s="1330"/>
      <c r="AF196" s="1330"/>
      <c r="AG196" s="1330"/>
      <c r="AH196" s="1330"/>
      <c r="AI196" s="1330"/>
      <c r="AJ196" s="1330"/>
      <c r="AK196" s="1330"/>
      <c r="AL196" s="1330"/>
      <c r="AM196" s="1330"/>
      <c r="AN196" s="1330"/>
      <c r="AO196" s="1330"/>
    </row>
    <row r="197" spans="1:75" s="1247" customFormat="1" ht="14.4" x14ac:dyDescent="0.3">
      <c r="A197" s="316" t="s">
        <v>2849</v>
      </c>
      <c r="B197" s="313">
        <v>40434</v>
      </c>
      <c r="C197" s="316" t="s">
        <v>2847</v>
      </c>
      <c r="D197" s="316" t="s">
        <v>102</v>
      </c>
      <c r="E197" s="316" t="s">
        <v>1372</v>
      </c>
      <c r="F197" s="316" t="s">
        <v>495</v>
      </c>
      <c r="G197" s="314"/>
      <c r="H197" s="1208"/>
      <c r="I197" s="1208"/>
      <c r="J197" s="1274">
        <v>12714.65</v>
      </c>
      <c r="K197" s="314"/>
      <c r="L197" s="1274">
        <v>6304.44</v>
      </c>
      <c r="M197" s="314"/>
      <c r="N197" s="1274">
        <v>2732.9747399999997</v>
      </c>
      <c r="O197" s="1274">
        <v>87.001271999999986</v>
      </c>
      <c r="P197" s="1274"/>
      <c r="Q197" s="1274"/>
      <c r="R197" s="1274"/>
      <c r="S197" s="1274"/>
      <c r="T197" s="1274"/>
      <c r="U197" s="1274"/>
      <c r="V197" s="1274"/>
      <c r="W197" s="1274"/>
      <c r="X197" s="1274"/>
      <c r="Y197" s="1274"/>
      <c r="Z197" s="1274"/>
      <c r="AA197" s="1274">
        <v>0</v>
      </c>
      <c r="AB197" s="314"/>
      <c r="AC197" s="1274">
        <v>0</v>
      </c>
      <c r="AD197" s="1171">
        <v>0</v>
      </c>
      <c r="AE197" s="1171"/>
      <c r="AF197" s="1171"/>
      <c r="AG197" s="1171"/>
      <c r="AH197" s="1171"/>
      <c r="AI197" s="1171"/>
      <c r="AJ197" s="1171"/>
      <c r="AK197" s="1171"/>
      <c r="AL197" s="1171"/>
      <c r="AM197" s="1171"/>
      <c r="AN197" s="1171"/>
      <c r="AO197" s="1171"/>
      <c r="AP197" s="314"/>
      <c r="AQ197" s="314"/>
      <c r="AR197" s="314"/>
      <c r="AS197" s="314"/>
      <c r="AT197" s="314"/>
      <c r="AU197" s="314"/>
      <c r="AV197" s="314"/>
      <c r="AW197" s="314"/>
      <c r="AX197" s="314"/>
      <c r="AY197" s="314"/>
      <c r="AZ197" s="314"/>
      <c r="BA197" s="314"/>
      <c r="BB197" s="314"/>
      <c r="BC197" s="314"/>
      <c r="BD197" s="314"/>
      <c r="BE197" s="314"/>
      <c r="BF197" s="314"/>
      <c r="BG197" s="314"/>
      <c r="BH197" s="314"/>
      <c r="BI197" s="314"/>
      <c r="BJ197" s="314"/>
      <c r="BK197" s="314"/>
      <c r="BL197" s="314"/>
      <c r="BM197" s="314"/>
      <c r="BN197" s="314"/>
      <c r="BO197" s="314"/>
      <c r="BP197" s="314"/>
      <c r="BQ197" s="314"/>
      <c r="BR197" s="314"/>
      <c r="BS197" s="314"/>
      <c r="BT197" s="314"/>
      <c r="BU197" s="314"/>
      <c r="BV197" s="314"/>
      <c r="BW197" s="314"/>
    </row>
    <row r="198" spans="1:75" s="1247" customFormat="1" ht="14.4" x14ac:dyDescent="0.3">
      <c r="A198" s="1271" t="s">
        <v>2850</v>
      </c>
      <c r="B198" s="1272">
        <v>40434</v>
      </c>
      <c r="C198" s="1172" t="s">
        <v>2851</v>
      </c>
      <c r="D198" s="1172" t="s">
        <v>102</v>
      </c>
      <c r="E198" s="1172" t="s">
        <v>1372</v>
      </c>
      <c r="F198" s="1172" t="s">
        <v>500</v>
      </c>
      <c r="H198" s="1208"/>
      <c r="I198" s="1208"/>
      <c r="J198" s="1329">
        <v>15569.78</v>
      </c>
      <c r="L198" s="1329">
        <v>8435.11</v>
      </c>
      <c r="N198" s="1329">
        <v>3659.9942289999999</v>
      </c>
      <c r="O198" s="1329">
        <v>120.622073</v>
      </c>
      <c r="P198" s="1329"/>
      <c r="Q198" s="1329"/>
      <c r="R198" s="1329"/>
      <c r="S198" s="1329"/>
      <c r="T198" s="1329"/>
      <c r="U198" s="1329"/>
      <c r="V198" s="1329"/>
      <c r="W198" s="1329"/>
      <c r="X198" s="1329"/>
      <c r="Y198" s="1329"/>
      <c r="Z198" s="1329"/>
      <c r="AA198" s="1329">
        <v>2250</v>
      </c>
      <c r="AC198" s="1329">
        <v>961.42499999999995</v>
      </c>
      <c r="AD198" s="1330">
        <v>19.125</v>
      </c>
      <c r="AE198" s="1330"/>
      <c r="AF198" s="1330"/>
      <c r="AG198" s="1330"/>
      <c r="AH198" s="1330"/>
      <c r="AI198" s="1330"/>
      <c r="AJ198" s="1330"/>
      <c r="AK198" s="1330"/>
      <c r="AL198" s="1330"/>
      <c r="AM198" s="1330"/>
      <c r="AN198" s="1330"/>
      <c r="AO198" s="1330"/>
    </row>
    <row r="199" spans="1:75" s="1247" customFormat="1" ht="14.4" x14ac:dyDescent="0.3">
      <c r="A199" s="1271" t="s">
        <v>2852</v>
      </c>
      <c r="B199" s="1272">
        <v>40434</v>
      </c>
      <c r="C199" s="1172" t="s">
        <v>2851</v>
      </c>
      <c r="D199" s="1172" t="s">
        <v>102</v>
      </c>
      <c r="E199" s="1172" t="s">
        <v>1372</v>
      </c>
      <c r="F199" s="1172" t="s">
        <v>500</v>
      </c>
      <c r="H199" s="1208"/>
      <c r="I199" s="1208"/>
      <c r="J199" s="1329">
        <v>10979.15</v>
      </c>
      <c r="L199" s="1329">
        <v>5795.37</v>
      </c>
      <c r="N199" s="1329">
        <v>2528.5199310000003</v>
      </c>
      <c r="O199" s="1329">
        <v>78.817032000000012</v>
      </c>
      <c r="P199" s="1329"/>
      <c r="Q199" s="1329"/>
      <c r="R199" s="1329"/>
      <c r="S199" s="1329"/>
      <c r="T199" s="1329"/>
      <c r="U199" s="1329"/>
      <c r="V199" s="1329"/>
      <c r="W199" s="1329"/>
      <c r="X199" s="1329"/>
      <c r="Y199" s="1329"/>
      <c r="Z199" s="1329"/>
      <c r="AA199" s="1329">
        <v>2130</v>
      </c>
      <c r="AC199" s="1329">
        <v>912.91800000000001</v>
      </c>
      <c r="AD199" s="1330">
        <v>23.643000000000001</v>
      </c>
      <c r="AE199" s="1330"/>
      <c r="AF199" s="1330"/>
      <c r="AG199" s="1330"/>
      <c r="AH199" s="1330"/>
      <c r="AI199" s="1330"/>
      <c r="AJ199" s="1330"/>
      <c r="AK199" s="1330"/>
      <c r="AL199" s="1330"/>
      <c r="AM199" s="1330"/>
      <c r="AN199" s="1330"/>
      <c r="AO199" s="1330"/>
    </row>
    <row r="200" spans="1:75" s="1247" customFormat="1" ht="14.4" x14ac:dyDescent="0.3">
      <c r="A200" s="1271" t="s">
        <v>2853</v>
      </c>
      <c r="B200" s="1272">
        <v>40434</v>
      </c>
      <c r="C200" s="1172" t="s">
        <v>2851</v>
      </c>
      <c r="D200" s="1172" t="s">
        <v>102</v>
      </c>
      <c r="E200" s="1172" t="s">
        <v>1372</v>
      </c>
      <c r="F200" s="1172" t="s">
        <v>500</v>
      </c>
      <c r="H200" s="1208"/>
      <c r="I200" s="1208"/>
      <c r="J200" s="1329">
        <v>14361.84</v>
      </c>
      <c r="L200" s="1329">
        <v>7004.98</v>
      </c>
      <c r="N200" s="1329">
        <v>3056.9732720000002</v>
      </c>
      <c r="O200" s="1329">
        <v>110.67868399999999</v>
      </c>
      <c r="P200" s="1329"/>
      <c r="Q200" s="1329"/>
      <c r="R200" s="1329"/>
      <c r="S200" s="1329"/>
      <c r="T200" s="1329"/>
      <c r="U200" s="1329"/>
      <c r="V200" s="1329"/>
      <c r="W200" s="1329"/>
      <c r="X200" s="1329"/>
      <c r="Y200" s="1329"/>
      <c r="Z200" s="1329"/>
      <c r="AA200" s="1329">
        <v>4310</v>
      </c>
      <c r="AC200" s="1329">
        <v>1875.2809999999999</v>
      </c>
      <c r="AD200" s="1330">
        <v>43.961999999999996</v>
      </c>
      <c r="AE200" s="1330"/>
      <c r="AF200" s="1330"/>
      <c r="AG200" s="1330"/>
      <c r="AH200" s="1330"/>
      <c r="AI200" s="1330"/>
      <c r="AJ200" s="1330"/>
      <c r="AK200" s="1330"/>
      <c r="AL200" s="1330"/>
      <c r="AM200" s="1330"/>
      <c r="AN200" s="1330"/>
      <c r="AO200" s="1330"/>
    </row>
    <row r="201" spans="1:75" s="1247" customFormat="1" ht="14.4" x14ac:dyDescent="0.3">
      <c r="A201" s="1172" t="s">
        <v>2854</v>
      </c>
      <c r="B201" s="1272">
        <v>40434</v>
      </c>
      <c r="C201" s="1172" t="s">
        <v>2855</v>
      </c>
      <c r="D201" s="1172" t="s">
        <v>102</v>
      </c>
      <c r="E201" s="1172" t="s">
        <v>1372</v>
      </c>
      <c r="F201" s="1172" t="s">
        <v>495</v>
      </c>
      <c r="H201" s="1208"/>
      <c r="I201" s="1208"/>
      <c r="J201" s="1329">
        <v>10984.71</v>
      </c>
      <c r="L201" s="1329">
        <v>5381.62</v>
      </c>
      <c r="N201" s="1329">
        <v>2338.8520520000002</v>
      </c>
      <c r="O201" s="1329">
        <v>80.186138</v>
      </c>
      <c r="P201" s="1329"/>
      <c r="Q201" s="1329"/>
      <c r="R201" s="1329"/>
      <c r="S201" s="1329"/>
      <c r="T201" s="1329"/>
      <c r="U201" s="1329"/>
      <c r="V201" s="1329"/>
      <c r="W201" s="1329"/>
      <c r="X201" s="1329"/>
      <c r="Y201" s="1329"/>
      <c r="Z201" s="1329"/>
      <c r="AA201" s="1329">
        <v>0</v>
      </c>
      <c r="AC201" s="1329">
        <v>0</v>
      </c>
      <c r="AD201" s="1330">
        <v>0</v>
      </c>
      <c r="AE201" s="1330"/>
      <c r="AF201" s="1330"/>
      <c r="AG201" s="1330"/>
      <c r="AH201" s="1330"/>
      <c r="AI201" s="1330"/>
      <c r="AJ201" s="1330"/>
      <c r="AK201" s="1330"/>
      <c r="AL201" s="1330"/>
      <c r="AM201" s="1330"/>
      <c r="AN201" s="1330"/>
      <c r="AO201" s="1330"/>
    </row>
    <row r="202" spans="1:75" s="1247" customFormat="1" ht="14.4" x14ac:dyDescent="0.3">
      <c r="A202" s="1172" t="s">
        <v>2856</v>
      </c>
      <c r="B202" s="1272">
        <v>40434</v>
      </c>
      <c r="C202" s="1172" t="s">
        <v>2855</v>
      </c>
      <c r="D202" s="1172" t="s">
        <v>102</v>
      </c>
      <c r="E202" s="1172" t="s">
        <v>1372</v>
      </c>
      <c r="F202" s="1172" t="s">
        <v>495</v>
      </c>
      <c r="H202" s="1208"/>
      <c r="I202" s="1208"/>
      <c r="J202" s="1329">
        <v>10140.470000000001</v>
      </c>
      <c r="L202" s="1329">
        <v>5011.29</v>
      </c>
      <c r="N202" s="1329">
        <v>2147.3377650000002</v>
      </c>
      <c r="O202" s="1329">
        <v>71.661446999999995</v>
      </c>
      <c r="P202" s="1329"/>
      <c r="Q202" s="1329"/>
      <c r="R202" s="1329"/>
      <c r="S202" s="1329"/>
      <c r="T202" s="1329"/>
      <c r="U202" s="1329"/>
      <c r="V202" s="1329"/>
      <c r="W202" s="1329"/>
      <c r="X202" s="1329"/>
      <c r="Y202" s="1329"/>
      <c r="Z202" s="1329"/>
      <c r="AA202" s="1329">
        <v>0</v>
      </c>
      <c r="AC202" s="1329">
        <v>0</v>
      </c>
      <c r="AD202" s="1330">
        <v>0</v>
      </c>
      <c r="AE202" s="1330"/>
      <c r="AF202" s="1330"/>
      <c r="AG202" s="1330"/>
      <c r="AH202" s="1330"/>
      <c r="AI202" s="1330"/>
      <c r="AJ202" s="1330"/>
      <c r="AK202" s="1330"/>
      <c r="AL202" s="1330"/>
      <c r="AM202" s="1330"/>
      <c r="AN202" s="1330"/>
      <c r="AO202" s="1330"/>
    </row>
    <row r="203" spans="1:75" s="1247" customFormat="1" ht="14.4" x14ac:dyDescent="0.3">
      <c r="A203" s="1172" t="s">
        <v>2857</v>
      </c>
      <c r="B203" s="1272">
        <v>40434</v>
      </c>
      <c r="C203" s="1172" t="s">
        <v>2855</v>
      </c>
      <c r="D203" s="1172" t="s">
        <v>102</v>
      </c>
      <c r="E203" s="1172" t="s">
        <v>1372</v>
      </c>
      <c r="F203" s="1172" t="s">
        <v>495</v>
      </c>
      <c r="H203" s="1208"/>
      <c r="I203" s="1208"/>
      <c r="J203" s="1329">
        <v>14636.39</v>
      </c>
      <c r="L203" s="1329">
        <v>6927.3</v>
      </c>
      <c r="N203" s="1329">
        <v>3023.0737200000003</v>
      </c>
      <c r="O203" s="1329">
        <v>120.53502</v>
      </c>
      <c r="P203" s="1329"/>
      <c r="Q203" s="1329"/>
      <c r="R203" s="1329"/>
      <c r="S203" s="1329"/>
      <c r="T203" s="1329"/>
      <c r="U203" s="1329"/>
      <c r="V203" s="1329"/>
      <c r="W203" s="1329"/>
      <c r="X203" s="1329"/>
      <c r="Y203" s="1329"/>
      <c r="Z203" s="1329"/>
      <c r="AA203" s="1329">
        <v>0</v>
      </c>
      <c r="AC203" s="1329">
        <v>0</v>
      </c>
      <c r="AD203" s="1330">
        <v>0</v>
      </c>
      <c r="AE203" s="1330"/>
      <c r="AF203" s="1330"/>
      <c r="AG203" s="1330"/>
      <c r="AH203" s="1330"/>
      <c r="AI203" s="1330"/>
      <c r="AJ203" s="1330"/>
      <c r="AK203" s="1330"/>
      <c r="AL203" s="1330"/>
      <c r="AM203" s="1330"/>
      <c r="AN203" s="1330"/>
      <c r="AO203" s="1330"/>
    </row>
    <row r="204" spans="1:75" s="1247" customFormat="1" ht="14.4" x14ac:dyDescent="0.3">
      <c r="A204" s="1271" t="s">
        <v>2858</v>
      </c>
      <c r="B204" s="1272">
        <v>40434</v>
      </c>
      <c r="C204" s="1172" t="s">
        <v>2859</v>
      </c>
      <c r="D204" s="1172" t="s">
        <v>102</v>
      </c>
      <c r="E204" s="1172" t="s">
        <v>1372</v>
      </c>
      <c r="F204" s="1172" t="s">
        <v>500</v>
      </c>
      <c r="H204" s="1208"/>
      <c r="I204" s="1208"/>
      <c r="J204" s="1329">
        <v>6954.7000000000007</v>
      </c>
      <c r="L204" s="1329">
        <v>3221.19</v>
      </c>
      <c r="N204" s="1329">
        <v>1391.5540800000003</v>
      </c>
      <c r="O204" s="1329">
        <v>46.707254999999996</v>
      </c>
      <c r="P204" s="1329"/>
      <c r="Q204" s="1329"/>
      <c r="R204" s="1329"/>
      <c r="S204" s="1329"/>
      <c r="T204" s="1329"/>
      <c r="U204" s="1329"/>
      <c r="V204" s="1329"/>
      <c r="W204" s="1329"/>
      <c r="X204" s="1329"/>
      <c r="Y204" s="1329"/>
      <c r="Z204" s="1329"/>
      <c r="AA204" s="1329">
        <v>1840</v>
      </c>
      <c r="AC204" s="1329">
        <v>786.23199999999997</v>
      </c>
      <c r="AD204" s="1330">
        <v>26.68</v>
      </c>
      <c r="AE204" s="1330"/>
      <c r="AF204" s="1330"/>
      <c r="AG204" s="1330"/>
      <c r="AH204" s="1330"/>
      <c r="AI204" s="1330"/>
      <c r="AJ204" s="1330"/>
      <c r="AK204" s="1330"/>
      <c r="AL204" s="1330"/>
      <c r="AM204" s="1330"/>
      <c r="AN204" s="1330"/>
      <c r="AO204" s="1330"/>
    </row>
    <row r="205" spans="1:75" s="1247" customFormat="1" ht="14.4" x14ac:dyDescent="0.3">
      <c r="A205" s="1271" t="s">
        <v>2860</v>
      </c>
      <c r="B205" s="1272">
        <v>40434</v>
      </c>
      <c r="C205" s="1172" t="s">
        <v>2859</v>
      </c>
      <c r="D205" s="1172" t="s">
        <v>102</v>
      </c>
      <c r="E205" s="1172" t="s">
        <v>1372</v>
      </c>
      <c r="F205" s="1172" t="s">
        <v>500</v>
      </c>
      <c r="H205" s="1208"/>
      <c r="I205" s="1208"/>
      <c r="J205" s="1329">
        <v>12686.92</v>
      </c>
      <c r="L205" s="1329">
        <v>6659.18</v>
      </c>
      <c r="N205" s="1329">
        <v>2889.4182020000003</v>
      </c>
      <c r="O205" s="1329">
        <v>103.21729000000001</v>
      </c>
      <c r="P205" s="1329"/>
      <c r="Q205" s="1329"/>
      <c r="R205" s="1329"/>
      <c r="S205" s="1329"/>
      <c r="T205" s="1329"/>
      <c r="U205" s="1329"/>
      <c r="V205" s="1329"/>
      <c r="W205" s="1329"/>
      <c r="X205" s="1329"/>
      <c r="Y205" s="1329"/>
      <c r="Z205" s="1329"/>
      <c r="AA205" s="1329">
        <v>3230</v>
      </c>
      <c r="AC205" s="1329">
        <v>1376.9489999999998</v>
      </c>
      <c r="AD205" s="1330">
        <v>42.313000000000002</v>
      </c>
      <c r="AE205" s="1330"/>
      <c r="AF205" s="1330"/>
      <c r="AG205" s="1330"/>
      <c r="AH205" s="1330"/>
      <c r="AI205" s="1330"/>
      <c r="AJ205" s="1330"/>
      <c r="AK205" s="1330"/>
      <c r="AL205" s="1330"/>
      <c r="AM205" s="1330"/>
      <c r="AN205" s="1330"/>
      <c r="AO205" s="1330"/>
    </row>
    <row r="206" spans="1:75" s="1247" customFormat="1" ht="14.4" x14ac:dyDescent="0.3">
      <c r="A206" s="1271" t="s">
        <v>2861</v>
      </c>
      <c r="B206" s="1272">
        <v>40434</v>
      </c>
      <c r="C206" s="1172" t="s">
        <v>2859</v>
      </c>
      <c r="D206" s="1172" t="s">
        <v>102</v>
      </c>
      <c r="E206" s="1172" t="s">
        <v>1372</v>
      </c>
      <c r="F206" s="1172" t="s">
        <v>500</v>
      </c>
      <c r="H206" s="1208"/>
      <c r="I206" s="1208"/>
      <c r="J206" s="1329">
        <v>15325.26</v>
      </c>
      <c r="L206" s="1329">
        <v>7763.41</v>
      </c>
      <c r="N206" s="1329">
        <v>3396.4918750000002</v>
      </c>
      <c r="O206" s="1329">
        <v>114.12212700000001</v>
      </c>
      <c r="P206" s="1329"/>
      <c r="Q206" s="1329"/>
      <c r="R206" s="1329"/>
      <c r="S206" s="1329"/>
      <c r="T206" s="1329"/>
      <c r="U206" s="1329"/>
      <c r="V206" s="1329"/>
      <c r="W206" s="1329"/>
      <c r="X206" s="1329"/>
      <c r="Y206" s="1329"/>
      <c r="Z206" s="1329"/>
      <c r="AA206" s="1329">
        <v>2780</v>
      </c>
      <c r="AC206" s="1329">
        <v>1195.4000000000001</v>
      </c>
      <c r="AD206" s="1330">
        <v>30.024000000000001</v>
      </c>
      <c r="AE206" s="1330"/>
      <c r="AF206" s="1330"/>
      <c r="AG206" s="1330"/>
      <c r="AH206" s="1330"/>
      <c r="AI206" s="1330"/>
      <c r="AJ206" s="1330"/>
      <c r="AK206" s="1330"/>
      <c r="AL206" s="1330"/>
      <c r="AM206" s="1330"/>
      <c r="AN206" s="1330"/>
      <c r="AO206" s="1330"/>
    </row>
    <row r="207" spans="1:75" s="1247" customFormat="1" ht="14.4" x14ac:dyDescent="0.3">
      <c r="A207" s="1172" t="s">
        <v>2888</v>
      </c>
      <c r="B207" s="1272">
        <v>40434</v>
      </c>
      <c r="C207" s="1172" t="s">
        <v>2889</v>
      </c>
      <c r="D207" s="1172" t="s">
        <v>102</v>
      </c>
      <c r="E207" s="1172" t="s">
        <v>1372</v>
      </c>
      <c r="F207" s="1172" t="s">
        <v>495</v>
      </c>
      <c r="H207" s="1208"/>
      <c r="I207" s="1208"/>
      <c r="J207" s="1329">
        <v>9740.0600000000013</v>
      </c>
      <c r="L207" s="1329">
        <v>4358.3</v>
      </c>
      <c r="N207" s="1329">
        <v>1863.6090799999999</v>
      </c>
      <c r="O207" s="1329">
        <v>59.708710000000011</v>
      </c>
      <c r="P207" s="1329"/>
      <c r="Q207" s="1329"/>
      <c r="R207" s="1329"/>
      <c r="S207" s="1329"/>
      <c r="T207" s="1329"/>
      <c r="U207" s="1329"/>
      <c r="V207" s="1329"/>
      <c r="W207" s="1329"/>
      <c r="X207" s="1329"/>
      <c r="Y207" s="1329"/>
      <c r="Z207" s="1329"/>
      <c r="AA207" s="1329">
        <v>0</v>
      </c>
      <c r="AC207" s="1329">
        <v>0</v>
      </c>
      <c r="AD207" s="1330">
        <v>0</v>
      </c>
      <c r="AE207" s="1330"/>
      <c r="AF207" s="1330"/>
      <c r="AG207" s="1330"/>
      <c r="AH207" s="1330"/>
      <c r="AI207" s="1330"/>
      <c r="AJ207" s="1330"/>
      <c r="AK207" s="1330"/>
      <c r="AL207" s="1330"/>
      <c r="AM207" s="1330"/>
      <c r="AN207" s="1330"/>
      <c r="AO207" s="1330"/>
    </row>
    <row r="208" spans="1:75" ht="14.4" x14ac:dyDescent="0.3">
      <c r="A208" s="1172" t="s">
        <v>2890</v>
      </c>
      <c r="B208" s="1272">
        <v>40434</v>
      </c>
      <c r="C208" s="1172" t="s">
        <v>2889</v>
      </c>
      <c r="D208" s="1172" t="s">
        <v>102</v>
      </c>
      <c r="E208" s="1172" t="s">
        <v>1372</v>
      </c>
      <c r="F208" s="1172" t="s">
        <v>495</v>
      </c>
      <c r="G208" s="1247"/>
      <c r="H208" s="1208"/>
      <c r="I208" s="1208"/>
      <c r="J208" s="1329">
        <v>9232.02</v>
      </c>
      <c r="K208" s="1247"/>
      <c r="L208" s="1329">
        <v>4332.05</v>
      </c>
      <c r="M208" s="1247"/>
      <c r="N208" s="1329">
        <v>1875.3444450000002</v>
      </c>
      <c r="O208" s="1329">
        <v>58.915880000000008</v>
      </c>
      <c r="P208" s="1329"/>
      <c r="Q208" s="1329"/>
      <c r="R208" s="1329"/>
      <c r="S208" s="1329"/>
      <c r="T208" s="1329"/>
      <c r="U208" s="1329"/>
      <c r="V208" s="1329"/>
      <c r="W208" s="1329"/>
      <c r="X208" s="1329"/>
      <c r="Y208" s="1329"/>
      <c r="Z208" s="1329"/>
      <c r="AA208" s="1329">
        <v>0</v>
      </c>
      <c r="AB208" s="1247"/>
      <c r="AC208" s="1329">
        <v>0</v>
      </c>
      <c r="AD208" s="1330">
        <v>0</v>
      </c>
      <c r="AE208" s="1330"/>
      <c r="AF208" s="1330"/>
      <c r="AG208" s="1330"/>
      <c r="AH208" s="1330"/>
      <c r="AI208" s="1330"/>
      <c r="AJ208" s="1330"/>
      <c r="AK208" s="1330"/>
      <c r="AL208" s="1330"/>
      <c r="AM208" s="1330"/>
      <c r="AN208" s="1330"/>
      <c r="AO208" s="1330"/>
      <c r="AP208" s="1247"/>
      <c r="AQ208" s="1247"/>
      <c r="AR208" s="1247"/>
      <c r="AS208" s="1247"/>
      <c r="AT208" s="1247"/>
      <c r="AU208" s="1247"/>
      <c r="AV208" s="1247"/>
      <c r="AW208" s="1247"/>
      <c r="AX208" s="1247"/>
      <c r="AY208" s="1247"/>
      <c r="AZ208" s="1247"/>
      <c r="BA208" s="1247"/>
      <c r="BB208" s="1247"/>
      <c r="BC208" s="1247"/>
      <c r="BD208" s="1247"/>
      <c r="BE208" s="1247"/>
      <c r="BF208" s="1247"/>
      <c r="BG208" s="1247"/>
      <c r="BH208" s="1247"/>
      <c r="BI208" s="1247"/>
      <c r="BJ208" s="1247"/>
      <c r="BK208" s="1247"/>
      <c r="BL208" s="1247"/>
      <c r="BM208" s="1247"/>
      <c r="BN208" s="1247"/>
      <c r="BO208" s="1247"/>
      <c r="BP208" s="1247"/>
      <c r="BQ208" s="1247"/>
      <c r="BR208" s="1247"/>
      <c r="BS208" s="1247"/>
      <c r="BT208" s="1247"/>
      <c r="BU208" s="1247"/>
      <c r="BV208" s="1247"/>
      <c r="BW208" s="1247"/>
    </row>
    <row r="209" spans="1:75" ht="14.4" x14ac:dyDescent="0.3">
      <c r="A209" s="1172" t="s">
        <v>2892</v>
      </c>
      <c r="B209" s="1272">
        <v>40434</v>
      </c>
      <c r="C209" s="1172" t="s">
        <v>2889</v>
      </c>
      <c r="D209" s="1172" t="s">
        <v>102</v>
      </c>
      <c r="E209" s="1172" t="s">
        <v>1372</v>
      </c>
      <c r="F209" s="1172" t="s">
        <v>495</v>
      </c>
      <c r="G209" s="1247"/>
      <c r="H209" s="1208"/>
      <c r="I209" s="1208"/>
      <c r="J209" s="1329">
        <v>11161</v>
      </c>
      <c r="K209" s="1247"/>
      <c r="L209" s="1329">
        <v>7518.4</v>
      </c>
      <c r="M209" s="1247"/>
      <c r="N209" s="1329">
        <v>3265.9929599999996</v>
      </c>
      <c r="O209" s="1329">
        <v>116.5352</v>
      </c>
      <c r="P209" s="1329"/>
      <c r="Q209" s="1329"/>
      <c r="R209" s="1329"/>
      <c r="S209" s="1329"/>
      <c r="T209" s="1329"/>
      <c r="U209" s="1329"/>
      <c r="V209" s="1329"/>
      <c r="W209" s="1329"/>
      <c r="X209" s="1329"/>
      <c r="Y209" s="1329"/>
      <c r="Z209" s="1329"/>
      <c r="AA209" s="1329">
        <v>0</v>
      </c>
      <c r="AB209" s="1247"/>
      <c r="AC209" s="1329">
        <v>0</v>
      </c>
      <c r="AD209" s="1330">
        <v>0</v>
      </c>
      <c r="AE209" s="1330"/>
      <c r="AF209" s="1330"/>
      <c r="AG209" s="1330"/>
      <c r="AH209" s="1330"/>
      <c r="AI209" s="1330"/>
      <c r="AJ209" s="1330"/>
      <c r="AK209" s="1330"/>
      <c r="AL209" s="1330"/>
      <c r="AM209" s="1330"/>
      <c r="AN209" s="1330"/>
      <c r="AO209" s="1330"/>
      <c r="AP209" s="1247"/>
      <c r="AQ209" s="1247"/>
      <c r="AR209" s="1247"/>
      <c r="AS209" s="1247"/>
      <c r="AT209" s="1247"/>
      <c r="AU209" s="1247"/>
      <c r="AV209" s="1247"/>
      <c r="AW209" s="1247"/>
      <c r="AX209" s="1247"/>
      <c r="AY209" s="1247"/>
      <c r="AZ209" s="1247"/>
      <c r="BA209" s="1247"/>
      <c r="BB209" s="1247"/>
      <c r="BC209" s="1247"/>
      <c r="BD209" s="1247"/>
      <c r="BE209" s="1247"/>
      <c r="BF209" s="1247"/>
      <c r="BG209" s="1247"/>
      <c r="BH209" s="1247"/>
      <c r="BI209" s="1247"/>
      <c r="BJ209" s="1247"/>
      <c r="BK209" s="1247"/>
      <c r="BL209" s="1247"/>
      <c r="BM209" s="1247"/>
      <c r="BN209" s="1247"/>
      <c r="BO209" s="1247"/>
      <c r="BP209" s="1247"/>
      <c r="BQ209" s="1247"/>
      <c r="BR209" s="1247"/>
      <c r="BS209" s="1247"/>
      <c r="BT209" s="1247"/>
      <c r="BU209" s="1247"/>
      <c r="BV209" s="1247"/>
      <c r="BW209" s="1247"/>
    </row>
    <row r="210" spans="1:75" s="1247" customFormat="1" ht="14.4" x14ac:dyDescent="0.3">
      <c r="A210" s="1172" t="s">
        <v>2923</v>
      </c>
      <c r="B210" s="1272">
        <v>40806</v>
      </c>
      <c r="C210" s="1172" t="s">
        <v>2922</v>
      </c>
      <c r="D210" s="1172" t="s">
        <v>102</v>
      </c>
      <c r="E210" s="1172" t="s">
        <v>1372</v>
      </c>
      <c r="F210" s="1172" t="s">
        <v>500</v>
      </c>
      <c r="H210" s="1208"/>
      <c r="I210" s="1208"/>
      <c r="J210" s="1329">
        <v>9707.6097998349833</v>
      </c>
      <c r="L210" s="1329">
        <v>5133.4667484149777</v>
      </c>
      <c r="N210" s="1329">
        <v>2201.4369973830135</v>
      </c>
      <c r="O210" s="1329">
        <v>57.292190530782719</v>
      </c>
      <c r="P210" s="1329"/>
      <c r="Q210" s="1329"/>
      <c r="R210" s="1329"/>
      <c r="S210" s="1329"/>
      <c r="T210" s="1329"/>
      <c r="U210" s="1329"/>
      <c r="V210" s="1329"/>
      <c r="W210" s="1329"/>
      <c r="X210" s="1329"/>
      <c r="Y210" s="1329"/>
      <c r="Z210" s="1329"/>
      <c r="AA210" s="1329">
        <v>3133.8593901932741</v>
      </c>
      <c r="AC210" s="1329">
        <v>1361.7864971813292</v>
      </c>
      <c r="AD210" s="1330">
        <v>6.3140422512789565</v>
      </c>
      <c r="AE210" s="1330"/>
      <c r="AF210" s="1330"/>
      <c r="AG210" s="1330"/>
      <c r="AH210" s="1330"/>
      <c r="AI210" s="1330"/>
      <c r="AJ210" s="1330"/>
      <c r="AK210" s="1330"/>
      <c r="AL210" s="1330"/>
      <c r="AM210" s="1330"/>
      <c r="AN210" s="1330"/>
      <c r="AO210" s="1330"/>
    </row>
    <row r="211" spans="1:75" s="1247" customFormat="1" ht="14.4" x14ac:dyDescent="0.3">
      <c r="A211" s="1172" t="s">
        <v>2924</v>
      </c>
      <c r="B211" s="1272">
        <v>40806</v>
      </c>
      <c r="C211" s="1172" t="s">
        <v>2922</v>
      </c>
      <c r="D211" s="1172" t="s">
        <v>102</v>
      </c>
      <c r="E211" s="1172" t="s">
        <v>1372</v>
      </c>
      <c r="F211" s="1172" t="s">
        <v>500</v>
      </c>
      <c r="H211" s="1208"/>
      <c r="I211" s="1208"/>
      <c r="J211" s="1329">
        <v>8352.382998576586</v>
      </c>
      <c r="L211" s="1329">
        <v>3339.28075263558</v>
      </c>
      <c r="N211" s="1329">
        <v>1441.7451396836527</v>
      </c>
      <c r="O211" s="1329">
        <v>38.664109904250971</v>
      </c>
      <c r="P211" s="1329"/>
      <c r="Q211" s="1329"/>
      <c r="R211" s="1329"/>
      <c r="S211" s="1329"/>
      <c r="T211" s="1329"/>
      <c r="U211" s="1329"/>
      <c r="V211" s="1329"/>
      <c r="W211" s="1329"/>
      <c r="X211" s="1329"/>
      <c r="Y211" s="1329"/>
      <c r="Z211" s="1329"/>
      <c r="AA211" s="1329">
        <v>3324.2445548580276</v>
      </c>
      <c r="AC211" s="1329">
        <v>1405.3154327896818</v>
      </c>
      <c r="AD211" s="1330">
        <v>6.7445167242065391</v>
      </c>
      <c r="AE211" s="1330"/>
      <c r="AF211" s="1330"/>
      <c r="AG211" s="1330"/>
      <c r="AH211" s="1330"/>
      <c r="AI211" s="1330"/>
      <c r="AJ211" s="1330"/>
      <c r="AK211" s="1330"/>
      <c r="AL211" s="1330"/>
      <c r="AM211" s="1330"/>
      <c r="AN211" s="1330"/>
      <c r="AO211" s="1330"/>
    </row>
    <row r="212" spans="1:75" s="1247" customFormat="1" ht="14.4" x14ac:dyDescent="0.3">
      <c r="A212" s="1172" t="s">
        <v>2921</v>
      </c>
      <c r="B212" s="1272">
        <v>40806</v>
      </c>
      <c r="C212" s="1172" t="s">
        <v>2922</v>
      </c>
      <c r="D212" s="1172" t="s">
        <v>102</v>
      </c>
      <c r="E212" s="1172" t="s">
        <v>1372</v>
      </c>
      <c r="F212" s="1172" t="s">
        <v>500</v>
      </c>
      <c r="H212" s="1208"/>
      <c r="I212" s="1208"/>
      <c r="J212" s="1329">
        <v>7049.4287696394331</v>
      </c>
      <c r="L212" s="1329">
        <v>2472.0080921643325</v>
      </c>
      <c r="N212" s="1329">
        <v>1056.9695125605701</v>
      </c>
      <c r="O212" s="1329">
        <v>29.758209310564929</v>
      </c>
      <c r="P212" s="1329"/>
      <c r="Q212" s="1329"/>
      <c r="R212" s="1329"/>
      <c r="S212" s="1329"/>
      <c r="T212" s="1329"/>
      <c r="U212" s="1329"/>
      <c r="V212" s="1329"/>
      <c r="W212" s="1329"/>
      <c r="X212" s="1329"/>
      <c r="Y212" s="1329"/>
      <c r="Z212" s="1329"/>
      <c r="AA212" s="1329">
        <v>2990.4167957517179</v>
      </c>
      <c r="AC212" s="1329">
        <v>1287.7097892783959</v>
      </c>
      <c r="AD212" s="1330">
        <v>7.3409749710106746</v>
      </c>
      <c r="AE212" s="1330"/>
      <c r="AF212" s="1330"/>
      <c r="AG212" s="1330"/>
      <c r="AH212" s="1330"/>
      <c r="AI212" s="1330"/>
      <c r="AJ212" s="1330"/>
      <c r="AK212" s="1330"/>
      <c r="AL212" s="1330"/>
      <c r="AM212" s="1330"/>
      <c r="AN212" s="1330"/>
      <c r="AO212" s="1330"/>
    </row>
    <row r="213" spans="1:75" s="1247" customFormat="1" ht="14.4" x14ac:dyDescent="0.3">
      <c r="A213" s="1172" t="s">
        <v>2925</v>
      </c>
      <c r="B213" s="1272">
        <v>40806</v>
      </c>
      <c r="C213" s="1172" t="s">
        <v>2926</v>
      </c>
      <c r="D213" s="1172" t="s">
        <v>102</v>
      </c>
      <c r="E213" s="1172" t="s">
        <v>1372</v>
      </c>
      <c r="F213" s="1172" t="s">
        <v>495</v>
      </c>
      <c r="H213" s="1208"/>
      <c r="I213" s="1208"/>
      <c r="J213" s="1329">
        <v>9361.4454406431178</v>
      </c>
      <c r="L213" s="1329">
        <v>5407.6508153016312</v>
      </c>
      <c r="N213" s="1329">
        <v>2348.5697889898588</v>
      </c>
      <c r="O213" s="1329">
        <v>67.552147627660275</v>
      </c>
      <c r="P213" s="1329"/>
      <c r="Q213" s="1329"/>
      <c r="R213" s="1329"/>
      <c r="S213" s="1329"/>
      <c r="T213" s="1329"/>
      <c r="U213" s="1329"/>
      <c r="V213" s="1329"/>
      <c r="W213" s="1329"/>
      <c r="X213" s="1329"/>
      <c r="Y213" s="1329"/>
      <c r="Z213" s="1329"/>
      <c r="AA213" s="1329">
        <v>0</v>
      </c>
      <c r="AC213" s="1329">
        <v>0</v>
      </c>
      <c r="AD213" s="1330">
        <v>0</v>
      </c>
      <c r="AE213" s="1330"/>
      <c r="AF213" s="1330"/>
      <c r="AG213" s="1330"/>
      <c r="AH213" s="1330"/>
      <c r="AI213" s="1330"/>
      <c r="AJ213" s="1330"/>
      <c r="AK213" s="1330"/>
      <c r="AL213" s="1330"/>
      <c r="AM213" s="1330"/>
      <c r="AN213" s="1330"/>
      <c r="AO213" s="1330"/>
    </row>
    <row r="214" spans="1:75" s="1247" customFormat="1" ht="14.4" x14ac:dyDescent="0.3">
      <c r="A214" s="1172" t="s">
        <v>2927</v>
      </c>
      <c r="B214" s="1272">
        <v>40806</v>
      </c>
      <c r="C214" s="1172" t="s">
        <v>2926</v>
      </c>
      <c r="D214" s="1172" t="s">
        <v>102</v>
      </c>
      <c r="E214" s="1172" t="s">
        <v>1372</v>
      </c>
      <c r="F214" s="1172" t="s">
        <v>495</v>
      </c>
      <c r="H214" s="1208"/>
      <c r="I214" s="1208"/>
      <c r="J214" s="1329">
        <v>9592.6589119492164</v>
      </c>
      <c r="L214" s="1329">
        <v>4811.2957337025782</v>
      </c>
      <c r="N214" s="1329">
        <v>2075.3514162947718</v>
      </c>
      <c r="O214" s="1329">
        <v>60.25174865471871</v>
      </c>
      <c r="P214" s="1329"/>
      <c r="Q214" s="1329"/>
      <c r="R214" s="1329"/>
      <c r="S214" s="1329"/>
      <c r="T214" s="1329"/>
      <c r="U214" s="1329"/>
      <c r="V214" s="1329"/>
      <c r="W214" s="1329"/>
      <c r="X214" s="1329"/>
      <c r="Y214" s="1329"/>
      <c r="Z214" s="1329"/>
      <c r="AA214" s="1329">
        <v>0</v>
      </c>
      <c r="AC214" s="1329">
        <v>0</v>
      </c>
      <c r="AD214" s="1330">
        <v>0</v>
      </c>
      <c r="AE214" s="1330"/>
      <c r="AF214" s="1330"/>
      <c r="AG214" s="1330"/>
      <c r="AH214" s="1330"/>
      <c r="AI214" s="1330"/>
      <c r="AJ214" s="1330"/>
      <c r="AK214" s="1330"/>
      <c r="AL214" s="1330"/>
      <c r="AM214" s="1330"/>
      <c r="AN214" s="1330"/>
      <c r="AO214" s="1330"/>
    </row>
    <row r="215" spans="1:75" s="1247" customFormat="1" ht="14.4" x14ac:dyDescent="0.3">
      <c r="A215" s="1172" t="s">
        <v>2928</v>
      </c>
      <c r="B215" s="1272">
        <v>40806</v>
      </c>
      <c r="C215" s="1172" t="s">
        <v>2926</v>
      </c>
      <c r="D215" s="1172" t="s">
        <v>102</v>
      </c>
      <c r="E215" s="1172" t="s">
        <v>1372</v>
      </c>
      <c r="F215" s="1172" t="s">
        <v>495</v>
      </c>
      <c r="H215" s="1208"/>
      <c r="I215" s="1208"/>
      <c r="J215" s="1329">
        <v>10123.901271898931</v>
      </c>
      <c r="L215" s="1329">
        <v>6071.2760314409525</v>
      </c>
      <c r="N215" s="1329">
        <v>2615.5929074142323</v>
      </c>
      <c r="O215" s="1329">
        <v>70.819356057971092</v>
      </c>
      <c r="P215" s="1329"/>
      <c r="Q215" s="1329"/>
      <c r="R215" s="1329"/>
      <c r="S215" s="1329"/>
      <c r="T215" s="1329"/>
      <c r="U215" s="1329"/>
      <c r="V215" s="1329"/>
      <c r="W215" s="1329"/>
      <c r="X215" s="1329"/>
      <c r="Y215" s="1329"/>
      <c r="Z215" s="1329"/>
      <c r="AA215" s="1329">
        <v>0</v>
      </c>
      <c r="AC215" s="1329">
        <v>0</v>
      </c>
      <c r="AD215" s="1330">
        <v>0</v>
      </c>
      <c r="AE215" s="1330"/>
      <c r="AF215" s="1330"/>
      <c r="AG215" s="1330"/>
      <c r="AH215" s="1330"/>
      <c r="AI215" s="1330"/>
      <c r="AJ215" s="1330"/>
      <c r="AK215" s="1330"/>
      <c r="AL215" s="1330"/>
      <c r="AM215" s="1330"/>
      <c r="AN215" s="1330"/>
      <c r="AO215" s="1330"/>
    </row>
    <row r="216" spans="1:75" ht="14.4" x14ac:dyDescent="0.3">
      <c r="A216" s="316" t="s">
        <v>2842</v>
      </c>
      <c r="B216" s="313">
        <v>40806</v>
      </c>
      <c r="C216" s="316" t="s">
        <v>2843</v>
      </c>
      <c r="D216" s="316" t="s">
        <v>102</v>
      </c>
      <c r="E216" s="316" t="s">
        <v>1372</v>
      </c>
      <c r="F216" s="316" t="s">
        <v>500</v>
      </c>
      <c r="H216" s="1208"/>
      <c r="I216" s="1208"/>
      <c r="J216" s="1274">
        <v>7886.34</v>
      </c>
      <c r="L216" s="1274">
        <v>3447.32</v>
      </c>
      <c r="N216" s="1274">
        <v>1558.8781040000001</v>
      </c>
      <c r="O216" s="1274">
        <v>41.023108000000001</v>
      </c>
      <c r="AA216" s="1274">
        <v>2900</v>
      </c>
      <c r="AC216" s="1274">
        <v>1252.8000000000002</v>
      </c>
      <c r="AD216" s="1171">
        <v>17.98</v>
      </c>
    </row>
    <row r="217" spans="1:75" ht="14.4" x14ac:dyDescent="0.3">
      <c r="A217" s="316" t="s">
        <v>2844</v>
      </c>
      <c r="B217" s="313">
        <v>40806</v>
      </c>
      <c r="C217" s="316" t="s">
        <v>2843</v>
      </c>
      <c r="D217" s="316" t="s">
        <v>102</v>
      </c>
      <c r="E217" s="316" t="s">
        <v>1372</v>
      </c>
      <c r="F217" s="316" t="s">
        <v>500</v>
      </c>
      <c r="H217" s="1208"/>
      <c r="I217" s="1208"/>
      <c r="J217" s="1274">
        <v>9233</v>
      </c>
      <c r="L217" s="1274">
        <v>4912.62</v>
      </c>
      <c r="N217" s="1274">
        <v>2218.0479299999997</v>
      </c>
      <c r="O217" s="1274">
        <v>65.337845999999999</v>
      </c>
      <c r="AA217" s="1274">
        <v>2960</v>
      </c>
      <c r="AC217" s="1274">
        <v>1288.192</v>
      </c>
      <c r="AD217" s="1171">
        <v>30.488000000000003</v>
      </c>
    </row>
    <row r="218" spans="1:75" ht="14.4" x14ac:dyDescent="0.3">
      <c r="A218" s="1172" t="s">
        <v>2845</v>
      </c>
      <c r="B218" s="1272">
        <v>40806</v>
      </c>
      <c r="C218" s="1172" t="s">
        <v>2843</v>
      </c>
      <c r="D218" s="1172" t="s">
        <v>102</v>
      </c>
      <c r="E218" s="1172" t="s">
        <v>1372</v>
      </c>
      <c r="F218" s="1172" t="s">
        <v>500</v>
      </c>
      <c r="G218" s="1247"/>
      <c r="H218" s="1208"/>
      <c r="I218" s="1208"/>
      <c r="J218" s="1329">
        <v>14113.66</v>
      </c>
      <c r="K218" s="1247"/>
      <c r="L218" s="1329">
        <v>7734.64</v>
      </c>
      <c r="M218" s="1247"/>
      <c r="N218" s="1329">
        <v>3486.7757120000001</v>
      </c>
      <c r="O218" s="1329">
        <v>103.644176</v>
      </c>
      <c r="P218" s="1329"/>
      <c r="Q218" s="1329"/>
      <c r="R218" s="1329"/>
      <c r="S218" s="1329"/>
      <c r="T218" s="1329"/>
      <c r="U218" s="1329"/>
      <c r="V218" s="1329"/>
      <c r="W218" s="1329"/>
      <c r="X218" s="1329"/>
      <c r="Y218" s="1329"/>
      <c r="Z218" s="1329"/>
      <c r="AA218" s="1329">
        <v>4230</v>
      </c>
      <c r="AB218" s="1247"/>
      <c r="AC218" s="1329">
        <v>1866.2759999999998</v>
      </c>
      <c r="AD218" s="1330">
        <v>24.111000000000001</v>
      </c>
      <c r="AE218" s="1330"/>
      <c r="AF218" s="1330"/>
      <c r="AG218" s="1330"/>
      <c r="AH218" s="1330"/>
      <c r="AI218" s="1330"/>
      <c r="AJ218" s="1330"/>
      <c r="AK218" s="1330"/>
      <c r="AL218" s="1330"/>
      <c r="AM218" s="1330"/>
      <c r="AN218" s="1330"/>
      <c r="AO218" s="1330"/>
      <c r="AP218" s="1247"/>
      <c r="AQ218" s="1247"/>
      <c r="AR218" s="1247"/>
      <c r="AS218" s="1247"/>
      <c r="AT218" s="1247"/>
      <c r="AU218" s="1247"/>
      <c r="AV218" s="1247"/>
      <c r="AW218" s="1247"/>
      <c r="AX218" s="1247"/>
      <c r="AY218" s="1247"/>
      <c r="AZ218" s="1247"/>
      <c r="BA218" s="1247"/>
      <c r="BB218" s="1247"/>
      <c r="BC218" s="1247"/>
      <c r="BD218" s="1247"/>
      <c r="BE218" s="1247"/>
      <c r="BF218" s="1247"/>
      <c r="BG218" s="1247"/>
      <c r="BH218" s="1247"/>
      <c r="BI218" s="1247"/>
      <c r="BJ218" s="1247"/>
      <c r="BK218" s="1247"/>
      <c r="BL218" s="1247"/>
      <c r="BM218" s="1247"/>
      <c r="BN218" s="1247"/>
      <c r="BO218" s="1247"/>
      <c r="BP218" s="1247"/>
      <c r="BQ218" s="1247"/>
      <c r="BR218" s="1247"/>
      <c r="BS218" s="1247"/>
      <c r="BT218" s="1247"/>
      <c r="BU218" s="1247"/>
      <c r="BV218" s="1247"/>
      <c r="BW218" s="1247"/>
    </row>
    <row r="219" spans="1:75" ht="14.4" x14ac:dyDescent="0.3">
      <c r="A219" s="316" t="s">
        <v>2846</v>
      </c>
      <c r="B219" s="313">
        <v>40806</v>
      </c>
      <c r="C219" s="316" t="s">
        <v>2847</v>
      </c>
      <c r="D219" s="316" t="s">
        <v>102</v>
      </c>
      <c r="E219" s="316" t="s">
        <v>1372</v>
      </c>
      <c r="F219" s="316" t="s">
        <v>495</v>
      </c>
      <c r="H219" s="1208"/>
      <c r="I219" s="1208"/>
      <c r="J219" s="1274">
        <v>6772.02</v>
      </c>
      <c r="L219" s="1274">
        <v>2806.88</v>
      </c>
      <c r="N219" s="1274">
        <v>1260.569808</v>
      </c>
      <c r="O219" s="1274">
        <v>33.121184</v>
      </c>
      <c r="AA219" s="1274">
        <v>0</v>
      </c>
      <c r="AC219" s="1274">
        <v>0</v>
      </c>
      <c r="AD219" s="1171">
        <v>0</v>
      </c>
    </row>
    <row r="220" spans="1:75" ht="14.4" x14ac:dyDescent="0.3">
      <c r="A220" s="316" t="s">
        <v>2848</v>
      </c>
      <c r="B220" s="313">
        <v>40806</v>
      </c>
      <c r="C220" s="316" t="s">
        <v>2847</v>
      </c>
      <c r="D220" s="316" t="s">
        <v>102</v>
      </c>
      <c r="E220" s="316" t="s">
        <v>1372</v>
      </c>
      <c r="F220" s="316" t="s">
        <v>495</v>
      </c>
      <c r="H220" s="1208"/>
      <c r="I220" s="1208"/>
      <c r="J220" s="1274">
        <v>7573.93</v>
      </c>
      <c r="L220" s="1274">
        <v>3259.28</v>
      </c>
      <c r="N220" s="1274">
        <v>1474.1723439999998</v>
      </c>
      <c r="O220" s="1274">
        <v>49.541056000000005</v>
      </c>
      <c r="AA220" s="1274">
        <v>0</v>
      </c>
      <c r="AC220" s="1274">
        <v>0</v>
      </c>
      <c r="AD220" s="1171">
        <v>0</v>
      </c>
    </row>
    <row r="221" spans="1:75" ht="14.4" x14ac:dyDescent="0.3">
      <c r="A221" s="1172" t="s">
        <v>2849</v>
      </c>
      <c r="B221" s="1272">
        <v>40806</v>
      </c>
      <c r="C221" s="1172" t="s">
        <v>2847</v>
      </c>
      <c r="D221" s="1172" t="s">
        <v>102</v>
      </c>
      <c r="E221" s="1172" t="s">
        <v>1372</v>
      </c>
      <c r="F221" s="1172" t="s">
        <v>495</v>
      </c>
      <c r="G221" s="1247"/>
      <c r="H221" s="1208"/>
      <c r="I221" s="1208"/>
      <c r="J221" s="1329">
        <v>10684.15</v>
      </c>
      <c r="K221" s="1247"/>
      <c r="L221" s="1329">
        <v>4986.5</v>
      </c>
      <c r="M221" s="1247"/>
      <c r="N221" s="1329">
        <v>2263.3723500000001</v>
      </c>
      <c r="O221" s="1329">
        <v>61.333949999999994</v>
      </c>
      <c r="P221" s="1329"/>
      <c r="Q221" s="1329"/>
      <c r="R221" s="1329"/>
      <c r="S221" s="1329"/>
      <c r="T221" s="1329"/>
      <c r="U221" s="1329"/>
      <c r="V221" s="1329"/>
      <c r="W221" s="1329"/>
      <c r="X221" s="1329"/>
      <c r="Y221" s="1329"/>
      <c r="Z221" s="1329"/>
      <c r="AA221" s="1329">
        <v>0</v>
      </c>
      <c r="AB221" s="1247"/>
      <c r="AC221" s="1329">
        <v>0</v>
      </c>
      <c r="AD221" s="1330">
        <v>0</v>
      </c>
      <c r="AE221" s="1330"/>
      <c r="AF221" s="1330"/>
      <c r="AG221" s="1330"/>
      <c r="AH221" s="1330"/>
      <c r="AI221" s="1330"/>
      <c r="AJ221" s="1330"/>
      <c r="AK221" s="1330"/>
      <c r="AL221" s="1330"/>
      <c r="AM221" s="1330"/>
      <c r="AN221" s="1330"/>
      <c r="AO221" s="1330"/>
      <c r="AP221" s="1247"/>
      <c r="AQ221" s="1247"/>
      <c r="AR221" s="1247"/>
      <c r="AS221" s="1247"/>
      <c r="AT221" s="1247"/>
      <c r="AU221" s="1247"/>
      <c r="AV221" s="1247"/>
      <c r="AW221" s="1247"/>
      <c r="AX221" s="1247"/>
      <c r="AY221" s="1247"/>
      <c r="AZ221" s="1247"/>
      <c r="BA221" s="1247"/>
      <c r="BB221" s="1247"/>
      <c r="BC221" s="1247"/>
      <c r="BD221" s="1247"/>
      <c r="BE221" s="1247"/>
      <c r="BF221" s="1247"/>
      <c r="BG221" s="1247"/>
      <c r="BH221" s="1247"/>
      <c r="BI221" s="1247"/>
      <c r="BJ221" s="1247"/>
      <c r="BK221" s="1247"/>
      <c r="BL221" s="1247"/>
      <c r="BM221" s="1247"/>
      <c r="BN221" s="1247"/>
      <c r="BO221" s="1247"/>
      <c r="BP221" s="1247"/>
      <c r="BQ221" s="1247"/>
      <c r="BR221" s="1247"/>
      <c r="BS221" s="1247"/>
      <c r="BT221" s="1247"/>
      <c r="BU221" s="1247"/>
      <c r="BV221" s="1247"/>
      <c r="BW221" s="1247"/>
    </row>
    <row r="222" spans="1:75" s="1247" customFormat="1" ht="14.4" x14ac:dyDescent="0.3">
      <c r="A222" s="316" t="s">
        <v>2850</v>
      </c>
      <c r="B222" s="313">
        <v>40806</v>
      </c>
      <c r="C222" s="316" t="s">
        <v>2851</v>
      </c>
      <c r="D222" s="316" t="s">
        <v>102</v>
      </c>
      <c r="E222" s="316" t="s">
        <v>1372</v>
      </c>
      <c r="F222" s="316" t="s">
        <v>500</v>
      </c>
      <c r="G222" s="314"/>
      <c r="H222" s="1208"/>
      <c r="I222" s="1208"/>
      <c r="J222" s="1274">
        <v>16280.82</v>
      </c>
      <c r="K222" s="314"/>
      <c r="L222" s="1274">
        <v>9848.41</v>
      </c>
      <c r="M222" s="314"/>
      <c r="N222" s="1274">
        <v>4441.6329100000003</v>
      </c>
      <c r="O222" s="1274">
        <v>152.65035499999999</v>
      </c>
      <c r="P222" s="1274"/>
      <c r="Q222" s="1274"/>
      <c r="R222" s="1274"/>
      <c r="S222" s="1274"/>
      <c r="T222" s="1274"/>
      <c r="U222" s="1274"/>
      <c r="V222" s="1274"/>
      <c r="W222" s="1274"/>
      <c r="X222" s="1274"/>
      <c r="Y222" s="1274"/>
      <c r="Z222" s="1274"/>
      <c r="AA222" s="1274">
        <v>4280</v>
      </c>
      <c r="AB222" s="314"/>
      <c r="AC222" s="1274">
        <v>1890.0479999999998</v>
      </c>
      <c r="AD222" s="1171">
        <v>41.943999999999996</v>
      </c>
      <c r="AE222" s="1171"/>
      <c r="AF222" s="1171"/>
      <c r="AG222" s="1171"/>
      <c r="AH222" s="1171"/>
      <c r="AI222" s="1171"/>
      <c r="AJ222" s="1171"/>
      <c r="AK222" s="1171"/>
      <c r="AL222" s="1171"/>
      <c r="AM222" s="1171"/>
      <c r="AN222" s="1171"/>
      <c r="AO222" s="1171"/>
      <c r="AP222" s="314"/>
      <c r="AQ222" s="314"/>
      <c r="AR222" s="314"/>
      <c r="AS222" s="314"/>
      <c r="AT222" s="314"/>
      <c r="AU222" s="314"/>
      <c r="AV222" s="314"/>
      <c r="AW222" s="314"/>
      <c r="AX222" s="314"/>
      <c r="AY222" s="314"/>
      <c r="AZ222" s="314"/>
      <c r="BA222" s="314"/>
      <c r="BB222" s="314"/>
      <c r="BC222" s="314"/>
      <c r="BD222" s="314"/>
      <c r="BE222" s="314"/>
      <c r="BF222" s="314"/>
      <c r="BG222" s="314"/>
      <c r="BH222" s="314"/>
      <c r="BI222" s="314"/>
      <c r="BJ222" s="314"/>
      <c r="BK222" s="314"/>
      <c r="BL222" s="314"/>
      <c r="BM222" s="314"/>
      <c r="BN222" s="314"/>
      <c r="BO222" s="314"/>
      <c r="BP222" s="314"/>
      <c r="BQ222" s="314"/>
      <c r="BR222" s="314"/>
      <c r="BS222" s="314"/>
      <c r="BT222" s="314"/>
      <c r="BU222" s="314"/>
      <c r="BV222" s="314"/>
      <c r="BW222" s="314"/>
    </row>
    <row r="223" spans="1:75" s="1247" customFormat="1" ht="14.4" x14ac:dyDescent="0.3">
      <c r="A223" s="316" t="s">
        <v>2852</v>
      </c>
      <c r="B223" s="313">
        <v>40806</v>
      </c>
      <c r="C223" s="316" t="s">
        <v>2851</v>
      </c>
      <c r="D223" s="316" t="s">
        <v>102</v>
      </c>
      <c r="E223" s="316" t="s">
        <v>1372</v>
      </c>
      <c r="F223" s="316" t="s">
        <v>500</v>
      </c>
      <c r="G223" s="314"/>
      <c r="H223" s="1208"/>
      <c r="I223" s="1208"/>
      <c r="J223" s="1274">
        <v>11792.119999999999</v>
      </c>
      <c r="K223" s="314"/>
      <c r="L223" s="1274">
        <v>6309.97</v>
      </c>
      <c r="M223" s="314"/>
      <c r="N223" s="1274">
        <v>2841.3794910000001</v>
      </c>
      <c r="O223" s="1274">
        <v>92.756558999999996</v>
      </c>
      <c r="P223" s="1274"/>
      <c r="Q223" s="1274"/>
      <c r="R223" s="1274"/>
      <c r="S223" s="1274"/>
      <c r="T223" s="1274"/>
      <c r="U223" s="1274"/>
      <c r="V223" s="1274"/>
      <c r="W223" s="1274"/>
      <c r="X223" s="1274"/>
      <c r="Y223" s="1274"/>
      <c r="Z223" s="1274"/>
      <c r="AA223" s="1274">
        <v>3400</v>
      </c>
      <c r="AB223" s="314"/>
      <c r="AC223" s="1274">
        <v>1508.92</v>
      </c>
      <c r="AD223" s="1171">
        <v>30.94</v>
      </c>
      <c r="AE223" s="1171"/>
      <c r="AF223" s="1171"/>
      <c r="AG223" s="1171"/>
      <c r="AH223" s="1171"/>
      <c r="AI223" s="1171"/>
      <c r="AJ223" s="1171"/>
      <c r="AK223" s="1171"/>
      <c r="AL223" s="1171"/>
      <c r="AM223" s="1171"/>
      <c r="AN223" s="1171"/>
      <c r="AO223" s="1171"/>
      <c r="AP223" s="314"/>
      <c r="AQ223" s="314"/>
      <c r="AR223" s="314"/>
      <c r="AS223" s="314"/>
      <c r="AT223" s="314"/>
      <c r="AU223" s="314"/>
      <c r="AV223" s="314"/>
      <c r="AW223" s="314"/>
      <c r="AX223" s="314"/>
      <c r="AY223" s="314"/>
      <c r="AZ223" s="314"/>
      <c r="BA223" s="314"/>
      <c r="BB223" s="314"/>
      <c r="BC223" s="314"/>
      <c r="BD223" s="314"/>
      <c r="BE223" s="314"/>
      <c r="BF223" s="314"/>
      <c r="BG223" s="314"/>
      <c r="BH223" s="314"/>
      <c r="BI223" s="314"/>
      <c r="BJ223" s="314"/>
      <c r="BK223" s="314"/>
      <c r="BL223" s="314"/>
      <c r="BM223" s="314"/>
      <c r="BN223" s="314"/>
      <c r="BO223" s="314"/>
      <c r="BP223" s="314"/>
      <c r="BQ223" s="314"/>
      <c r="BR223" s="314"/>
      <c r="BS223" s="314"/>
      <c r="BT223" s="314"/>
      <c r="BU223" s="314"/>
      <c r="BV223" s="314"/>
      <c r="BW223" s="314"/>
    </row>
    <row r="224" spans="1:75" ht="14.4" x14ac:dyDescent="0.3">
      <c r="A224" s="316" t="s">
        <v>2853</v>
      </c>
      <c r="B224" s="313">
        <v>40806</v>
      </c>
      <c r="C224" s="316" t="s">
        <v>2851</v>
      </c>
      <c r="D224" s="316" t="s">
        <v>102</v>
      </c>
      <c r="E224" s="316" t="s">
        <v>1372</v>
      </c>
      <c r="F224" s="316" t="s">
        <v>500</v>
      </c>
      <c r="H224" s="1208"/>
      <c r="I224" s="1208"/>
      <c r="J224" s="1274">
        <v>15116.66</v>
      </c>
      <c r="L224" s="1274">
        <v>7600.22</v>
      </c>
      <c r="N224" s="1274">
        <v>3426.9391980000005</v>
      </c>
      <c r="O224" s="1274">
        <v>117.04338800000001</v>
      </c>
      <c r="AA224" s="1274">
        <v>4880</v>
      </c>
      <c r="AC224" s="1274">
        <v>2118.4079999999999</v>
      </c>
      <c r="AD224" s="1171">
        <v>51.728000000000002</v>
      </c>
    </row>
    <row r="225" spans="1:75" ht="14.4" x14ac:dyDescent="0.3">
      <c r="A225" s="316" t="s">
        <v>2854</v>
      </c>
      <c r="B225" s="313">
        <v>40806</v>
      </c>
      <c r="C225" s="316" t="s">
        <v>2855</v>
      </c>
      <c r="D225" s="316" t="s">
        <v>102</v>
      </c>
      <c r="E225" s="316" t="s">
        <v>1372</v>
      </c>
      <c r="F225" s="316" t="s">
        <v>495</v>
      </c>
      <c r="H225" s="1208"/>
      <c r="I225" s="1208"/>
      <c r="J225" s="1274">
        <v>14696.14</v>
      </c>
      <c r="L225" s="1274">
        <v>7772.25</v>
      </c>
      <c r="N225" s="1274">
        <v>3496.7352750000005</v>
      </c>
      <c r="O225" s="1274">
        <v>106.47982500000001</v>
      </c>
      <c r="AA225" s="1274">
        <v>0</v>
      </c>
      <c r="AC225" s="1274">
        <v>0</v>
      </c>
      <c r="AD225" s="1171">
        <v>0</v>
      </c>
    </row>
    <row r="226" spans="1:75" ht="14.4" x14ac:dyDescent="0.3">
      <c r="A226" s="316" t="s">
        <v>2856</v>
      </c>
      <c r="B226" s="313">
        <v>40806</v>
      </c>
      <c r="C226" s="316" t="s">
        <v>2855</v>
      </c>
      <c r="D226" s="316" t="s">
        <v>102</v>
      </c>
      <c r="E226" s="316" t="s">
        <v>1372</v>
      </c>
      <c r="F226" s="316" t="s">
        <v>495</v>
      </c>
      <c r="H226" s="1208"/>
      <c r="I226" s="1208"/>
      <c r="J226" s="1274">
        <v>9210.91</v>
      </c>
      <c r="L226" s="1274">
        <v>4127.3</v>
      </c>
      <c r="N226" s="1274">
        <v>1874.6196600000001</v>
      </c>
      <c r="O226" s="1274">
        <v>69.338639999999998</v>
      </c>
      <c r="AA226" s="1274">
        <v>0</v>
      </c>
      <c r="AC226" s="1274">
        <v>0</v>
      </c>
      <c r="AD226" s="1171">
        <v>0</v>
      </c>
    </row>
    <row r="227" spans="1:75" ht="14.4" x14ac:dyDescent="0.3">
      <c r="A227" s="316" t="s">
        <v>2857</v>
      </c>
      <c r="B227" s="313">
        <v>40806</v>
      </c>
      <c r="C227" s="316" t="s">
        <v>2855</v>
      </c>
      <c r="D227" s="316" t="s">
        <v>102</v>
      </c>
      <c r="E227" s="316" t="s">
        <v>1372</v>
      </c>
      <c r="F227" s="316" t="s">
        <v>495</v>
      </c>
      <c r="H227" s="1208"/>
      <c r="I227" s="1208"/>
      <c r="J227" s="1274">
        <v>14096.64</v>
      </c>
      <c r="L227" s="1274">
        <v>7192.06</v>
      </c>
      <c r="N227" s="1274">
        <v>3288.9290379999998</v>
      </c>
      <c r="O227" s="1274">
        <v>107.8809</v>
      </c>
      <c r="AA227" s="1274">
        <v>0</v>
      </c>
      <c r="AC227" s="1274">
        <v>0</v>
      </c>
      <c r="AD227" s="1171">
        <v>0</v>
      </c>
    </row>
    <row r="228" spans="1:75" ht="14.4" x14ac:dyDescent="0.3">
      <c r="A228" s="316" t="s">
        <v>2858</v>
      </c>
      <c r="B228" s="313">
        <v>40806</v>
      </c>
      <c r="C228" s="316" t="s">
        <v>2859</v>
      </c>
      <c r="D228" s="316" t="s">
        <v>102</v>
      </c>
      <c r="E228" s="316" t="s">
        <v>1372</v>
      </c>
      <c r="F228" s="316" t="s">
        <v>500</v>
      </c>
      <c r="H228" s="1208"/>
      <c r="I228" s="1208"/>
      <c r="J228" s="1274">
        <v>6993.9800000000005</v>
      </c>
      <c r="L228" s="1274">
        <v>2849.51</v>
      </c>
      <c r="N228" s="1274">
        <v>1299.3765600000002</v>
      </c>
      <c r="O228" s="1274">
        <v>52.715935000000009</v>
      </c>
      <c r="AA228" s="1274">
        <v>3690</v>
      </c>
      <c r="AC228" s="1274">
        <v>1630.98</v>
      </c>
      <c r="AD228" s="1171">
        <v>56.826000000000001</v>
      </c>
    </row>
    <row r="229" spans="1:75" ht="14.4" x14ac:dyDescent="0.3">
      <c r="A229" s="316" t="s">
        <v>2860</v>
      </c>
      <c r="B229" s="313">
        <v>40806</v>
      </c>
      <c r="C229" s="316" t="s">
        <v>2859</v>
      </c>
      <c r="D229" s="316" t="s">
        <v>102</v>
      </c>
      <c r="E229" s="316" t="s">
        <v>1372</v>
      </c>
      <c r="F229" s="316" t="s">
        <v>500</v>
      </c>
      <c r="H229" s="1208"/>
      <c r="I229" s="1208"/>
      <c r="J229" s="1274">
        <v>10555.18</v>
      </c>
      <c r="L229" s="1274">
        <v>4918.05</v>
      </c>
      <c r="N229" s="1274">
        <v>2234.7619199999999</v>
      </c>
      <c r="O229" s="1274">
        <v>86.065874999999991</v>
      </c>
      <c r="AA229" s="1274">
        <v>3750</v>
      </c>
      <c r="AC229" s="1274">
        <v>1655.625</v>
      </c>
      <c r="AD229" s="1171">
        <v>51.375</v>
      </c>
    </row>
    <row r="230" spans="1:75" s="1247" customFormat="1" ht="14.4" x14ac:dyDescent="0.3">
      <c r="A230" s="316" t="s">
        <v>2861</v>
      </c>
      <c r="B230" s="313">
        <v>40806</v>
      </c>
      <c r="C230" s="316" t="s">
        <v>2859</v>
      </c>
      <c r="D230" s="316" t="s">
        <v>102</v>
      </c>
      <c r="E230" s="316" t="s">
        <v>1372</v>
      </c>
      <c r="F230" s="316" t="s">
        <v>500</v>
      </c>
      <c r="G230" s="314"/>
      <c r="H230" s="1208"/>
      <c r="I230" s="1208"/>
      <c r="J230" s="1274">
        <v>13531.119999999999</v>
      </c>
      <c r="K230" s="314"/>
      <c r="L230" s="1274">
        <v>7738.03</v>
      </c>
      <c r="M230" s="314"/>
      <c r="N230" s="1274">
        <v>3485.2087120000001</v>
      </c>
      <c r="O230" s="1274">
        <v>119.165662</v>
      </c>
      <c r="P230" s="1274"/>
      <c r="Q230" s="1274"/>
      <c r="R230" s="1274"/>
      <c r="S230" s="1274"/>
      <c r="T230" s="1274"/>
      <c r="U230" s="1274"/>
      <c r="V230" s="1274"/>
      <c r="W230" s="1274"/>
      <c r="X230" s="1274"/>
      <c r="Y230" s="1274"/>
      <c r="Z230" s="1274"/>
      <c r="AA230" s="1274">
        <v>4070.0000000000005</v>
      </c>
      <c r="AB230" s="314"/>
      <c r="AC230" s="1274">
        <v>1809.5220000000002</v>
      </c>
      <c r="AD230" s="1171">
        <v>32.56</v>
      </c>
      <c r="AE230" s="1171"/>
      <c r="AF230" s="1171"/>
      <c r="AG230" s="1171"/>
      <c r="AH230" s="1171"/>
      <c r="AI230" s="1171"/>
      <c r="AJ230" s="1171"/>
      <c r="AK230" s="1171"/>
      <c r="AL230" s="1171"/>
      <c r="AM230" s="1171"/>
      <c r="AN230" s="1171"/>
      <c r="AO230" s="1171"/>
      <c r="AP230" s="314"/>
      <c r="AQ230" s="314"/>
      <c r="AR230" s="314"/>
      <c r="AS230" s="314"/>
      <c r="AT230" s="314"/>
      <c r="AU230" s="314"/>
      <c r="AV230" s="314"/>
      <c r="AW230" s="314"/>
      <c r="AX230" s="314"/>
      <c r="AY230" s="314"/>
      <c r="AZ230" s="314"/>
      <c r="BA230" s="314"/>
      <c r="BB230" s="314"/>
      <c r="BC230" s="314"/>
      <c r="BD230" s="314"/>
      <c r="BE230" s="314"/>
      <c r="BF230" s="314"/>
      <c r="BG230" s="314"/>
      <c r="BH230" s="314"/>
      <c r="BI230" s="314"/>
      <c r="BJ230" s="314"/>
      <c r="BK230" s="314"/>
      <c r="BL230" s="314"/>
      <c r="BM230" s="314"/>
      <c r="BN230" s="314"/>
      <c r="BO230" s="314"/>
      <c r="BP230" s="314"/>
      <c r="BQ230" s="314"/>
      <c r="BR230" s="314"/>
      <c r="BS230" s="314"/>
      <c r="BT230" s="314"/>
      <c r="BU230" s="314"/>
      <c r="BV230" s="314"/>
      <c r="BW230" s="314"/>
    </row>
    <row r="231" spans="1:75" s="1247" customFormat="1" ht="14.4" x14ac:dyDescent="0.3">
      <c r="A231" s="316" t="s">
        <v>2888</v>
      </c>
      <c r="B231" s="313">
        <v>40806</v>
      </c>
      <c r="C231" s="316" t="s">
        <v>2889</v>
      </c>
      <c r="D231" s="316" t="s">
        <v>102</v>
      </c>
      <c r="E231" s="316" t="s">
        <v>1372</v>
      </c>
      <c r="F231" s="316" t="s">
        <v>495</v>
      </c>
      <c r="G231" s="314"/>
      <c r="H231" s="1208"/>
      <c r="I231" s="1208"/>
      <c r="J231" s="1274">
        <v>6167.87</v>
      </c>
      <c r="K231" s="314"/>
      <c r="L231" s="1274">
        <v>2482.92</v>
      </c>
      <c r="M231" s="314"/>
      <c r="N231" s="1274">
        <v>1118.307168</v>
      </c>
      <c r="O231" s="1274">
        <v>44.69256</v>
      </c>
      <c r="P231" s="1274"/>
      <c r="Q231" s="1274"/>
      <c r="R231" s="1274"/>
      <c r="S231" s="1274"/>
      <c r="T231" s="1274"/>
      <c r="U231" s="1274"/>
      <c r="V231" s="1274"/>
      <c r="W231" s="1274"/>
      <c r="X231" s="1274"/>
      <c r="Y231" s="1274"/>
      <c r="Z231" s="1274"/>
      <c r="AA231" s="1274">
        <v>0</v>
      </c>
      <c r="AB231" s="314"/>
      <c r="AC231" s="1274">
        <v>0</v>
      </c>
      <c r="AD231" s="1171">
        <v>0</v>
      </c>
      <c r="AE231" s="1171"/>
      <c r="AF231" s="1171"/>
      <c r="AG231" s="1171"/>
      <c r="AH231" s="1171"/>
      <c r="AI231" s="1171"/>
      <c r="AJ231" s="1171"/>
      <c r="AK231" s="1171"/>
      <c r="AL231" s="1171"/>
      <c r="AM231" s="1171"/>
      <c r="AN231" s="1171"/>
      <c r="AO231" s="1171"/>
      <c r="AP231" s="314"/>
      <c r="AQ231" s="314"/>
      <c r="AR231" s="314"/>
      <c r="AS231" s="314"/>
      <c r="AT231" s="314"/>
      <c r="AU231" s="314"/>
      <c r="AV231" s="314"/>
      <c r="AW231" s="314"/>
      <c r="AX231" s="314"/>
      <c r="AY231" s="314"/>
      <c r="AZ231" s="314"/>
      <c r="BA231" s="314"/>
      <c r="BB231" s="314"/>
      <c r="BC231" s="314"/>
      <c r="BD231" s="314"/>
      <c r="BE231" s="314"/>
      <c r="BF231" s="314"/>
      <c r="BG231" s="314"/>
      <c r="BH231" s="314"/>
      <c r="BI231" s="314"/>
      <c r="BJ231" s="314"/>
      <c r="BK231" s="314"/>
      <c r="BL231" s="314"/>
      <c r="BM231" s="314"/>
      <c r="BN231" s="314"/>
      <c r="BO231" s="314"/>
      <c r="BP231" s="314"/>
      <c r="BQ231" s="314"/>
      <c r="BR231" s="314"/>
      <c r="BS231" s="314"/>
      <c r="BT231" s="314"/>
      <c r="BU231" s="314"/>
      <c r="BV231" s="314"/>
      <c r="BW231" s="314"/>
    </row>
    <row r="232" spans="1:75" s="1247" customFormat="1" ht="14.4" x14ac:dyDescent="0.3">
      <c r="A232" s="316" t="s">
        <v>2890</v>
      </c>
      <c r="B232" s="313">
        <v>40806</v>
      </c>
      <c r="C232" s="316" t="s">
        <v>2889</v>
      </c>
      <c r="D232" s="316" t="s">
        <v>102</v>
      </c>
      <c r="E232" s="316" t="s">
        <v>1372</v>
      </c>
      <c r="F232" s="316" t="s">
        <v>495</v>
      </c>
      <c r="G232" s="314"/>
      <c r="H232" s="1208"/>
      <c r="I232" s="1208"/>
      <c r="J232" s="1274">
        <v>12699.09</v>
      </c>
      <c r="K232" s="314"/>
      <c r="L232" s="1274">
        <v>6015.75</v>
      </c>
      <c r="M232" s="314"/>
      <c r="N232" s="1274">
        <v>2714.3063999999995</v>
      </c>
      <c r="O232" s="1274">
        <v>98.658299999999997</v>
      </c>
      <c r="P232" s="1274"/>
      <c r="Q232" s="1274"/>
      <c r="R232" s="1274"/>
      <c r="S232" s="1274"/>
      <c r="T232" s="1274"/>
      <c r="U232" s="1274"/>
      <c r="V232" s="1274"/>
      <c r="W232" s="1274"/>
      <c r="X232" s="1274"/>
      <c r="Y232" s="1274"/>
      <c r="Z232" s="1274"/>
      <c r="AA232" s="1274">
        <v>0</v>
      </c>
      <c r="AB232" s="314"/>
      <c r="AC232" s="1274">
        <v>0</v>
      </c>
      <c r="AD232" s="1171">
        <v>0</v>
      </c>
      <c r="AE232" s="1171"/>
      <c r="AF232" s="1171"/>
      <c r="AG232" s="1171"/>
      <c r="AH232" s="1171"/>
      <c r="AI232" s="1171"/>
      <c r="AJ232" s="1171"/>
      <c r="AK232" s="1171"/>
      <c r="AL232" s="1171"/>
      <c r="AM232" s="1171"/>
      <c r="AN232" s="1171"/>
      <c r="AO232" s="1171"/>
      <c r="AP232" s="314"/>
      <c r="AQ232" s="314"/>
      <c r="AR232" s="314"/>
      <c r="AS232" s="314"/>
      <c r="AT232" s="314"/>
      <c r="AU232" s="314"/>
      <c r="AV232" s="314"/>
      <c r="AW232" s="314"/>
      <c r="AX232" s="314"/>
      <c r="AY232" s="314"/>
      <c r="AZ232" s="314"/>
      <c r="BA232" s="314"/>
      <c r="BB232" s="314"/>
      <c r="BC232" s="314"/>
      <c r="BD232" s="314"/>
      <c r="BE232" s="314"/>
      <c r="BF232" s="314"/>
      <c r="BG232" s="314"/>
      <c r="BH232" s="314"/>
      <c r="BI232" s="314"/>
      <c r="BJ232" s="314"/>
      <c r="BK232" s="314"/>
      <c r="BL232" s="314"/>
      <c r="BM232" s="314"/>
      <c r="BN232" s="314"/>
      <c r="BO232" s="314"/>
      <c r="BP232" s="314"/>
      <c r="BQ232" s="314"/>
      <c r="BR232" s="314"/>
      <c r="BS232" s="314"/>
      <c r="BT232" s="314"/>
      <c r="BU232" s="314"/>
      <c r="BV232" s="314"/>
      <c r="BW232" s="314"/>
    </row>
    <row r="233" spans="1:75" s="1247" customFormat="1" ht="14.4" x14ac:dyDescent="0.3">
      <c r="A233" s="316" t="s">
        <v>2892</v>
      </c>
      <c r="B233" s="313">
        <v>40806</v>
      </c>
      <c r="C233" s="316" t="s">
        <v>2889</v>
      </c>
      <c r="D233" s="316" t="s">
        <v>102</v>
      </c>
      <c r="E233" s="316" t="s">
        <v>1372</v>
      </c>
      <c r="F233" s="316" t="s">
        <v>495</v>
      </c>
      <c r="G233" s="314"/>
      <c r="H233" s="1208"/>
      <c r="I233" s="1208"/>
      <c r="J233" s="1274">
        <v>13380.05</v>
      </c>
      <c r="K233" s="314"/>
      <c r="L233" s="1274">
        <v>6546.4</v>
      </c>
      <c r="M233" s="314"/>
      <c r="N233" s="1274">
        <v>2975.9934399999997</v>
      </c>
      <c r="O233" s="1274">
        <v>102.12384</v>
      </c>
      <c r="P233" s="1274"/>
      <c r="Q233" s="1274"/>
      <c r="R233" s="1274"/>
      <c r="S233" s="1274"/>
      <c r="T233" s="1274"/>
      <c r="U233" s="1274"/>
      <c r="V233" s="1274"/>
      <c r="W233" s="1274"/>
      <c r="X233" s="1274"/>
      <c r="Y233" s="1274"/>
      <c r="Z233" s="1274"/>
      <c r="AA233" s="1274">
        <v>0</v>
      </c>
      <c r="AB233" s="314"/>
      <c r="AC233" s="1274">
        <v>0</v>
      </c>
      <c r="AD233" s="1171">
        <v>0</v>
      </c>
      <c r="AE233" s="1171"/>
      <c r="AF233" s="1171"/>
      <c r="AG233" s="1171"/>
      <c r="AH233" s="1171"/>
      <c r="AI233" s="1171"/>
      <c r="AJ233" s="1171"/>
      <c r="AK233" s="1171"/>
      <c r="AL233" s="1171"/>
      <c r="AM233" s="1171"/>
      <c r="AN233" s="1171"/>
      <c r="AO233" s="1171"/>
      <c r="AP233" s="314"/>
      <c r="AQ233" s="314"/>
      <c r="AR233" s="314"/>
      <c r="AS233" s="314"/>
      <c r="AT233" s="314"/>
      <c r="AU233" s="314"/>
      <c r="AV233" s="314"/>
      <c r="AW233" s="314"/>
      <c r="AX233" s="314"/>
      <c r="AY233" s="314"/>
      <c r="AZ233" s="314"/>
      <c r="BA233" s="314"/>
      <c r="BB233" s="314"/>
      <c r="BC233" s="314"/>
      <c r="BD233" s="314"/>
      <c r="BE233" s="314"/>
      <c r="BF233" s="314"/>
      <c r="BG233" s="314"/>
      <c r="BH233" s="314"/>
      <c r="BI233" s="314"/>
      <c r="BJ233" s="314"/>
      <c r="BK233" s="314"/>
      <c r="BL233" s="314"/>
      <c r="BM233" s="314"/>
      <c r="BN233" s="314"/>
      <c r="BO233" s="314"/>
      <c r="BP233" s="314"/>
      <c r="BQ233" s="314"/>
      <c r="BR233" s="314"/>
      <c r="BS233" s="314"/>
      <c r="BT233" s="314"/>
      <c r="BU233" s="314"/>
      <c r="BV233" s="314"/>
      <c r="BW233" s="314"/>
    </row>
    <row r="234" spans="1:75" ht="14.4" x14ac:dyDescent="0.3">
      <c r="H234" s="1208"/>
      <c r="I234" s="1208"/>
    </row>
    <row r="235" spans="1:75" ht="14.4" x14ac:dyDescent="0.3">
      <c r="H235" s="1208"/>
      <c r="I235" s="1208"/>
    </row>
    <row r="236" spans="1:75" ht="14.4" x14ac:dyDescent="0.3">
      <c r="H236" s="1208"/>
      <c r="I236" s="1208"/>
    </row>
    <row r="237" spans="1:75" ht="14.4" x14ac:dyDescent="0.3">
      <c r="H237" s="1208"/>
      <c r="I237" s="1208"/>
    </row>
    <row r="238" spans="1:75" ht="14.4" x14ac:dyDescent="0.3">
      <c r="H238" s="1208"/>
      <c r="I238" s="1208"/>
    </row>
    <row r="239" spans="1:75" ht="14.4" x14ac:dyDescent="0.3">
      <c r="H239" s="1208"/>
      <c r="I239" s="1208"/>
    </row>
    <row r="240" spans="1:75" ht="14.4" x14ac:dyDescent="0.3">
      <c r="H240" s="1208"/>
      <c r="I240" s="1208"/>
    </row>
    <row r="241" spans="8:9" ht="14.4" x14ac:dyDescent="0.3">
      <c r="H241" s="1208"/>
      <c r="I241" s="1208"/>
    </row>
    <row r="242" spans="8:9" ht="14.4" x14ac:dyDescent="0.3">
      <c r="H242" s="1208"/>
      <c r="I242" s="1208"/>
    </row>
    <row r="243" spans="8:9" ht="14.4" x14ac:dyDescent="0.3">
      <c r="H243" s="1208"/>
      <c r="I243" s="1208"/>
    </row>
    <row r="244" spans="8:9" ht="14.4" x14ac:dyDescent="0.3">
      <c r="H244" s="1208"/>
      <c r="I244" s="1208"/>
    </row>
    <row r="245" spans="8:9" ht="14.4" x14ac:dyDescent="0.3">
      <c r="H245" s="1208"/>
      <c r="I245" s="1208"/>
    </row>
    <row r="246" spans="8:9" ht="14.4" x14ac:dyDescent="0.3">
      <c r="H246" s="1208"/>
      <c r="I246" s="1208"/>
    </row>
    <row r="247" spans="8:9" ht="14.4" x14ac:dyDescent="0.3">
      <c r="H247" s="1208"/>
      <c r="I247" s="1208"/>
    </row>
    <row r="248" spans="8:9" ht="14.4" x14ac:dyDescent="0.3">
      <c r="H248" s="1208"/>
      <c r="I248" s="1208"/>
    </row>
    <row r="249" spans="8:9" ht="14.4" x14ac:dyDescent="0.3">
      <c r="H249" s="1208"/>
      <c r="I249" s="1208"/>
    </row>
    <row r="250" spans="8:9" ht="14.4" x14ac:dyDescent="0.3">
      <c r="H250" s="1208"/>
      <c r="I250" s="1208"/>
    </row>
    <row r="251" spans="8:9" ht="14.4" x14ac:dyDescent="0.3">
      <c r="H251" s="1208"/>
      <c r="I251" s="1208"/>
    </row>
    <row r="252" spans="8:9" ht="14.4" x14ac:dyDescent="0.3">
      <c r="H252" s="1208"/>
      <c r="I252" s="1208"/>
    </row>
    <row r="253" spans="8:9" ht="14.4" x14ac:dyDescent="0.3">
      <c r="H253" s="1208"/>
      <c r="I253" s="1208"/>
    </row>
    <row r="254" spans="8:9" ht="14.4" x14ac:dyDescent="0.3">
      <c r="H254" s="1208"/>
      <c r="I254" s="1208"/>
    </row>
    <row r="255" spans="8:9" ht="14.4" x14ac:dyDescent="0.3">
      <c r="H255" s="1208"/>
      <c r="I255" s="1208"/>
    </row>
    <row r="256" spans="8:9" ht="14.4" x14ac:dyDescent="0.3">
      <c r="H256" s="1208"/>
      <c r="I256" s="1208"/>
    </row>
    <row r="257" spans="8:9" ht="14.4" x14ac:dyDescent="0.3">
      <c r="H257" s="1208"/>
      <c r="I257" s="1208"/>
    </row>
    <row r="258" spans="8:9" ht="14.4" x14ac:dyDescent="0.3">
      <c r="H258" s="1208"/>
      <c r="I258" s="1208"/>
    </row>
    <row r="259" spans="8:9" ht="14.4" x14ac:dyDescent="0.3">
      <c r="H259" s="1208"/>
      <c r="I259" s="1208"/>
    </row>
    <row r="260" spans="8:9" ht="14.4" x14ac:dyDescent="0.3">
      <c r="H260" s="1208"/>
      <c r="I260" s="1208"/>
    </row>
    <row r="261" spans="8:9" ht="14.4" x14ac:dyDescent="0.3">
      <c r="H261" s="1208"/>
      <c r="I261" s="1208"/>
    </row>
    <row r="262" spans="8:9" ht="14.4" x14ac:dyDescent="0.3">
      <c r="H262" s="1208"/>
      <c r="I262" s="1208"/>
    </row>
    <row r="263" spans="8:9" ht="14.4" x14ac:dyDescent="0.3">
      <c r="H263" s="1208"/>
      <c r="I263" s="1208"/>
    </row>
    <row r="264" spans="8:9" ht="14.4" x14ac:dyDescent="0.3">
      <c r="H264" s="1208"/>
      <c r="I264" s="1208"/>
    </row>
    <row r="265" spans="8:9" ht="14.4" x14ac:dyDescent="0.3">
      <c r="H265" s="1208"/>
      <c r="I265" s="1208"/>
    </row>
    <row r="266" spans="8:9" ht="14.4" x14ac:dyDescent="0.3">
      <c r="H266" s="1208"/>
      <c r="I266" s="1208"/>
    </row>
    <row r="267" spans="8:9" ht="14.4" x14ac:dyDescent="0.3">
      <c r="H267" s="1208"/>
      <c r="I267" s="1208"/>
    </row>
    <row r="268" spans="8:9" ht="14.4" x14ac:dyDescent="0.3">
      <c r="H268" s="1208"/>
      <c r="I268" s="1208"/>
    </row>
    <row r="269" spans="8:9" ht="14.4" x14ac:dyDescent="0.3">
      <c r="H269" s="1208"/>
      <c r="I269" s="1208"/>
    </row>
    <row r="270" spans="8:9" ht="14.4" x14ac:dyDescent="0.3">
      <c r="H270" s="1208"/>
      <c r="I270" s="1208"/>
    </row>
    <row r="271" spans="8:9" ht="14.4" x14ac:dyDescent="0.3">
      <c r="H271" s="1208"/>
      <c r="I271" s="1208"/>
    </row>
    <row r="272" spans="8:9" ht="14.4" x14ac:dyDescent="0.3">
      <c r="H272" s="1208"/>
      <c r="I272" s="1208"/>
    </row>
    <row r="273" spans="8:9" ht="14.4" x14ac:dyDescent="0.3">
      <c r="H273" s="1208"/>
      <c r="I273" s="1208"/>
    </row>
    <row r="274" spans="8:9" ht="14.4" x14ac:dyDescent="0.3">
      <c r="H274" s="1208"/>
      <c r="I274" s="1208"/>
    </row>
    <row r="275" spans="8:9" ht="14.4" x14ac:dyDescent="0.3">
      <c r="H275" s="1208"/>
      <c r="I275" s="1208"/>
    </row>
    <row r="276" spans="8:9" ht="14.4" x14ac:dyDescent="0.3">
      <c r="H276" s="1208"/>
      <c r="I276" s="1208"/>
    </row>
    <row r="277" spans="8:9" ht="14.4" x14ac:dyDescent="0.3">
      <c r="H277" s="1208"/>
      <c r="I277" s="1208"/>
    </row>
    <row r="278" spans="8:9" ht="14.4" x14ac:dyDescent="0.3">
      <c r="H278" s="1208"/>
      <c r="I278" s="1208"/>
    </row>
    <row r="279" spans="8:9" ht="14.4" x14ac:dyDescent="0.3">
      <c r="H279" s="1208"/>
      <c r="I279" s="1208"/>
    </row>
    <row r="280" spans="8:9" ht="14.4" x14ac:dyDescent="0.3">
      <c r="H280" s="1208"/>
      <c r="I280" s="1208"/>
    </row>
    <row r="281" spans="8:9" ht="14.4" x14ac:dyDescent="0.3">
      <c r="H281" s="1208"/>
      <c r="I281" s="1208"/>
    </row>
    <row r="282" spans="8:9" ht="14.4" x14ac:dyDescent="0.3">
      <c r="H282" s="1208"/>
      <c r="I282" s="1208"/>
    </row>
    <row r="283" spans="8:9" ht="14.4" x14ac:dyDescent="0.3">
      <c r="H283" s="1208"/>
      <c r="I283" s="1208"/>
    </row>
    <row r="284" spans="8:9" ht="14.4" x14ac:dyDescent="0.3">
      <c r="H284" s="1208"/>
      <c r="I284" s="1208"/>
    </row>
    <row r="285" spans="8:9" ht="14.4" x14ac:dyDescent="0.3">
      <c r="H285" s="1208"/>
      <c r="I285" s="1208"/>
    </row>
    <row r="286" spans="8:9" ht="14.4" x14ac:dyDescent="0.3">
      <c r="H286" s="1208"/>
      <c r="I286" s="1208"/>
    </row>
    <row r="287" spans="8:9" ht="14.4" x14ac:dyDescent="0.3">
      <c r="H287" s="1208"/>
      <c r="I287" s="1208"/>
    </row>
    <row r="288" spans="8:9" ht="14.4" x14ac:dyDescent="0.3">
      <c r="H288" s="1208"/>
      <c r="I288" s="1208"/>
    </row>
    <row r="289" spans="8:9" ht="14.4" x14ac:dyDescent="0.3">
      <c r="H289" s="1208"/>
      <c r="I289" s="1208"/>
    </row>
    <row r="290" spans="8:9" ht="14.4" x14ac:dyDescent="0.3">
      <c r="H290" s="1208"/>
      <c r="I290" s="1208"/>
    </row>
    <row r="291" spans="8:9" ht="14.4" x14ac:dyDescent="0.3">
      <c r="H291" s="1208"/>
      <c r="I291" s="1208"/>
    </row>
    <row r="292" spans="8:9" ht="14.4" x14ac:dyDescent="0.3">
      <c r="H292" s="1208"/>
      <c r="I292" s="1208"/>
    </row>
    <row r="293" spans="8:9" ht="14.4" x14ac:dyDescent="0.3">
      <c r="H293" s="1208"/>
      <c r="I293" s="1208"/>
    </row>
    <row r="294" spans="8:9" ht="14.4" x14ac:dyDescent="0.3">
      <c r="H294" s="1208"/>
      <c r="I294" s="1208"/>
    </row>
    <row r="295" spans="8:9" ht="14.4" x14ac:dyDescent="0.3">
      <c r="H295" s="1208"/>
      <c r="I295" s="1208"/>
    </row>
    <row r="296" spans="8:9" ht="14.4" x14ac:dyDescent="0.3">
      <c r="H296" s="1208"/>
      <c r="I296" s="1208"/>
    </row>
    <row r="297" spans="8:9" ht="14.4" x14ac:dyDescent="0.3">
      <c r="H297" s="1208"/>
      <c r="I297" s="1208"/>
    </row>
    <row r="298" spans="8:9" ht="14.4" x14ac:dyDescent="0.3">
      <c r="H298" s="1208"/>
      <c r="I298" s="1208"/>
    </row>
    <row r="299" spans="8:9" ht="14.4" x14ac:dyDescent="0.3">
      <c r="H299" s="1208"/>
      <c r="I299" s="1208"/>
    </row>
    <row r="300" spans="8:9" ht="14.4" x14ac:dyDescent="0.3">
      <c r="H300" s="1208"/>
      <c r="I300" s="1208"/>
    </row>
    <row r="301" spans="8:9" ht="14.4" x14ac:dyDescent="0.3">
      <c r="H301" s="1208"/>
      <c r="I301" s="1208"/>
    </row>
    <row r="302" spans="8:9" ht="14.4" x14ac:dyDescent="0.3">
      <c r="H302" s="1208"/>
      <c r="I302" s="1208"/>
    </row>
    <row r="303" spans="8:9" ht="14.4" x14ac:dyDescent="0.3">
      <c r="H303" s="1208"/>
      <c r="I303" s="1208"/>
    </row>
    <row r="304" spans="8:9" ht="14.4" x14ac:dyDescent="0.3">
      <c r="H304" s="1208"/>
      <c r="I304" s="1208"/>
    </row>
    <row r="305" spans="8:9" ht="14.4" x14ac:dyDescent="0.3">
      <c r="H305" s="1208"/>
      <c r="I305" s="1208"/>
    </row>
    <row r="306" spans="8:9" ht="14.4" x14ac:dyDescent="0.3">
      <c r="H306" s="1208"/>
      <c r="I306" s="1208"/>
    </row>
    <row r="307" spans="8:9" ht="14.4" x14ac:dyDescent="0.3">
      <c r="H307" s="1208"/>
      <c r="I307" s="1208"/>
    </row>
    <row r="308" spans="8:9" ht="14.4" x14ac:dyDescent="0.3">
      <c r="H308" s="1208"/>
      <c r="I308" s="1208"/>
    </row>
    <row r="309" spans="8:9" ht="14.4" x14ac:dyDescent="0.3">
      <c r="H309" s="1208"/>
      <c r="I309" s="1208"/>
    </row>
    <row r="310" spans="8:9" ht="14.4" x14ac:dyDescent="0.3">
      <c r="H310" s="1208"/>
      <c r="I310" s="1208"/>
    </row>
    <row r="311" spans="8:9" ht="14.4" x14ac:dyDescent="0.3">
      <c r="H311" s="1208"/>
      <c r="I311" s="1208"/>
    </row>
    <row r="312" spans="8:9" ht="14.4" x14ac:dyDescent="0.3">
      <c r="H312" s="1208"/>
      <c r="I312" s="1208"/>
    </row>
    <row r="313" spans="8:9" ht="14.4" x14ac:dyDescent="0.3">
      <c r="H313" s="1208"/>
      <c r="I313" s="1208"/>
    </row>
    <row r="314" spans="8:9" ht="14.4" x14ac:dyDescent="0.3">
      <c r="H314" s="1208"/>
      <c r="I314" s="1208"/>
    </row>
    <row r="315" spans="8:9" ht="14.4" x14ac:dyDescent="0.3">
      <c r="H315" s="1208"/>
      <c r="I315" s="1208"/>
    </row>
    <row r="316" spans="8:9" ht="14.4" x14ac:dyDescent="0.3">
      <c r="H316" s="1208"/>
      <c r="I316" s="1208"/>
    </row>
    <row r="317" spans="8:9" ht="14.4" x14ac:dyDescent="0.3">
      <c r="H317" s="1208"/>
      <c r="I317" s="1208"/>
    </row>
    <row r="318" spans="8:9" ht="14.4" x14ac:dyDescent="0.3">
      <c r="H318" s="1208"/>
      <c r="I318" s="1208"/>
    </row>
    <row r="319" spans="8:9" ht="14.4" x14ac:dyDescent="0.3">
      <c r="H319" s="1208"/>
      <c r="I319" s="1208"/>
    </row>
    <row r="320" spans="8:9" ht="14.4" x14ac:dyDescent="0.3">
      <c r="H320" s="1208"/>
      <c r="I320" s="1208"/>
    </row>
    <row r="321" spans="8:9" ht="14.4" x14ac:dyDescent="0.3">
      <c r="H321" s="1208"/>
      <c r="I321" s="1208"/>
    </row>
    <row r="322" spans="8:9" ht="14.4" x14ac:dyDescent="0.3">
      <c r="H322" s="1208"/>
      <c r="I322" s="1208"/>
    </row>
    <row r="323" spans="8:9" ht="14.4" x14ac:dyDescent="0.3">
      <c r="H323" s="1208"/>
      <c r="I323" s="1208"/>
    </row>
    <row r="324" spans="8:9" ht="14.4" x14ac:dyDescent="0.3">
      <c r="H324" s="1208"/>
      <c r="I324" s="1208"/>
    </row>
    <row r="325" spans="8:9" ht="14.4" x14ac:dyDescent="0.3">
      <c r="H325" s="1208"/>
      <c r="I325" s="1208"/>
    </row>
    <row r="326" spans="8:9" ht="14.4" x14ac:dyDescent="0.3">
      <c r="H326" s="1208"/>
      <c r="I326" s="1208"/>
    </row>
    <row r="327" spans="8:9" ht="14.4" x14ac:dyDescent="0.3">
      <c r="H327" s="1208"/>
      <c r="I327" s="1208"/>
    </row>
    <row r="328" spans="8:9" ht="14.4" x14ac:dyDescent="0.3">
      <c r="H328" s="1208"/>
      <c r="I328" s="1208"/>
    </row>
    <row r="329" spans="8:9" ht="14.4" x14ac:dyDescent="0.3">
      <c r="H329" s="1208"/>
      <c r="I329" s="1208"/>
    </row>
    <row r="330" spans="8:9" ht="14.4" x14ac:dyDescent="0.3">
      <c r="H330" s="1208"/>
      <c r="I330" s="1208"/>
    </row>
    <row r="331" spans="8:9" ht="14.4" x14ac:dyDescent="0.3">
      <c r="H331" s="1208"/>
      <c r="I331" s="1208"/>
    </row>
    <row r="332" spans="8:9" ht="14.4" x14ac:dyDescent="0.3">
      <c r="H332" s="1208"/>
      <c r="I332" s="1208"/>
    </row>
    <row r="333" spans="8:9" ht="14.4" x14ac:dyDescent="0.3">
      <c r="H333" s="1208"/>
      <c r="I333" s="1208"/>
    </row>
    <row r="334" spans="8:9" ht="14.4" x14ac:dyDescent="0.3">
      <c r="H334" s="1208"/>
      <c r="I334" s="1208"/>
    </row>
    <row r="335" spans="8:9" ht="14.4" x14ac:dyDescent="0.3">
      <c r="H335" s="1208"/>
      <c r="I335" s="1208"/>
    </row>
    <row r="336" spans="8:9" ht="14.4" x14ac:dyDescent="0.3">
      <c r="H336" s="1208"/>
      <c r="I336" s="1208"/>
    </row>
    <row r="337" spans="8:9" ht="14.4" x14ac:dyDescent="0.3">
      <c r="H337" s="1208"/>
      <c r="I337" s="1208"/>
    </row>
    <row r="338" spans="8:9" ht="14.4" x14ac:dyDescent="0.3">
      <c r="H338" s="1208"/>
      <c r="I338" s="1208"/>
    </row>
    <row r="339" spans="8:9" ht="14.4" x14ac:dyDescent="0.3">
      <c r="H339" s="1208"/>
      <c r="I339" s="1208"/>
    </row>
    <row r="340" spans="8:9" ht="14.4" x14ac:dyDescent="0.3">
      <c r="H340" s="1208"/>
      <c r="I340" s="1208"/>
    </row>
    <row r="341" spans="8:9" ht="14.4" x14ac:dyDescent="0.3">
      <c r="H341" s="1208"/>
      <c r="I341" s="1208"/>
    </row>
    <row r="342" spans="8:9" ht="14.4" x14ac:dyDescent="0.3">
      <c r="H342" s="1208"/>
      <c r="I342" s="1208"/>
    </row>
    <row r="343" spans="8:9" ht="14.4" x14ac:dyDescent="0.3">
      <c r="H343" s="1208"/>
      <c r="I343" s="1208"/>
    </row>
    <row r="344" spans="8:9" ht="14.4" x14ac:dyDescent="0.3">
      <c r="H344" s="1208"/>
      <c r="I344" s="1208"/>
    </row>
    <row r="345" spans="8:9" ht="14.4" x14ac:dyDescent="0.3">
      <c r="H345" s="1208"/>
      <c r="I345" s="1208"/>
    </row>
    <row r="346" spans="8:9" ht="14.4" x14ac:dyDescent="0.3">
      <c r="H346" s="1208"/>
      <c r="I346" s="1208"/>
    </row>
    <row r="347" spans="8:9" ht="14.4" x14ac:dyDescent="0.3">
      <c r="H347" s="1208"/>
      <c r="I347" s="1208"/>
    </row>
    <row r="348" spans="8:9" ht="14.4" x14ac:dyDescent="0.3">
      <c r="H348" s="1208"/>
      <c r="I348" s="1208"/>
    </row>
    <row r="349" spans="8:9" ht="14.4" x14ac:dyDescent="0.3">
      <c r="H349" s="1208"/>
      <c r="I349" s="1208"/>
    </row>
    <row r="350" spans="8:9" ht="14.4" x14ac:dyDescent="0.3">
      <c r="H350" s="1208"/>
      <c r="I350" s="1208"/>
    </row>
    <row r="351" spans="8:9" ht="14.4" x14ac:dyDescent="0.3">
      <c r="H351" s="1208"/>
      <c r="I351" s="1208"/>
    </row>
    <row r="352" spans="8:9" ht="14.4" x14ac:dyDescent="0.3">
      <c r="H352" s="1208"/>
      <c r="I352" s="1208"/>
    </row>
    <row r="353" spans="8:9" ht="14.4" x14ac:dyDescent="0.3">
      <c r="H353" s="1208"/>
      <c r="I353" s="1208"/>
    </row>
    <row r="354" spans="8:9" ht="14.4" x14ac:dyDescent="0.3">
      <c r="H354" s="1208"/>
      <c r="I354" s="1208"/>
    </row>
    <row r="355" spans="8:9" ht="14.4" x14ac:dyDescent="0.3">
      <c r="H355" s="1208"/>
      <c r="I355" s="1208"/>
    </row>
    <row r="356" spans="8:9" ht="14.4" x14ac:dyDescent="0.3">
      <c r="H356" s="1208"/>
      <c r="I356" s="1208"/>
    </row>
    <row r="357" spans="8:9" ht="14.4" x14ac:dyDescent="0.3">
      <c r="H357" s="1208"/>
      <c r="I357" s="1208"/>
    </row>
    <row r="358" spans="8:9" ht="14.4" x14ac:dyDescent="0.3">
      <c r="H358" s="1208"/>
      <c r="I358" s="1208"/>
    </row>
    <row r="359" spans="8:9" ht="14.4" x14ac:dyDescent="0.3">
      <c r="H359" s="1208"/>
      <c r="I359" s="1208"/>
    </row>
    <row r="360" spans="8:9" ht="14.4" x14ac:dyDescent="0.3">
      <c r="H360" s="1208"/>
      <c r="I360" s="1208"/>
    </row>
    <row r="361" spans="8:9" ht="14.4" x14ac:dyDescent="0.3">
      <c r="H361" s="1208"/>
      <c r="I361" s="1208"/>
    </row>
    <row r="362" spans="8:9" ht="14.4" x14ac:dyDescent="0.3">
      <c r="H362" s="1208"/>
      <c r="I362" s="1208"/>
    </row>
    <row r="363" spans="8:9" ht="14.4" x14ac:dyDescent="0.3">
      <c r="H363" s="1208"/>
      <c r="I363" s="1208"/>
    </row>
    <row r="364" spans="8:9" ht="14.4" x14ac:dyDescent="0.3">
      <c r="H364" s="1208"/>
      <c r="I364" s="1208"/>
    </row>
    <row r="365" spans="8:9" ht="14.4" x14ac:dyDescent="0.3">
      <c r="H365" s="1208"/>
      <c r="I365" s="1208"/>
    </row>
    <row r="366" spans="8:9" ht="14.4" x14ac:dyDescent="0.3">
      <c r="H366" s="1208"/>
      <c r="I366" s="1208"/>
    </row>
    <row r="367" spans="8:9" ht="14.4" x14ac:dyDescent="0.3">
      <c r="H367" s="1208"/>
      <c r="I367" s="1208"/>
    </row>
    <row r="368" spans="8:9" ht="14.4" x14ac:dyDescent="0.3">
      <c r="H368" s="1208"/>
      <c r="I368" s="1208"/>
    </row>
    <row r="369" spans="8:9" ht="14.4" x14ac:dyDescent="0.3">
      <c r="H369" s="1208"/>
      <c r="I369" s="1208"/>
    </row>
    <row r="370" spans="8:9" ht="14.4" x14ac:dyDescent="0.3">
      <c r="H370" s="1208"/>
      <c r="I370" s="1208"/>
    </row>
    <row r="371" spans="8:9" ht="14.4" x14ac:dyDescent="0.3">
      <c r="H371" s="1208"/>
      <c r="I371" s="1208"/>
    </row>
    <row r="372" spans="8:9" ht="14.4" x14ac:dyDescent="0.3">
      <c r="H372" s="1208"/>
      <c r="I372" s="1208"/>
    </row>
    <row r="373" spans="8:9" ht="14.4" x14ac:dyDescent="0.3">
      <c r="H373" s="1208"/>
      <c r="I373" s="1208"/>
    </row>
    <row r="374" spans="8:9" ht="14.4" x14ac:dyDescent="0.3">
      <c r="H374" s="1208"/>
      <c r="I374" s="1208"/>
    </row>
    <row r="375" spans="8:9" ht="14.4" x14ac:dyDescent="0.3">
      <c r="H375" s="1208"/>
      <c r="I375" s="1208"/>
    </row>
    <row r="376" spans="8:9" ht="14.4" x14ac:dyDescent="0.3">
      <c r="H376" s="1208"/>
      <c r="I376" s="1208"/>
    </row>
    <row r="377" spans="8:9" ht="14.4" x14ac:dyDescent="0.3">
      <c r="H377" s="1208"/>
      <c r="I377" s="1208"/>
    </row>
    <row r="378" spans="8:9" ht="14.4" x14ac:dyDescent="0.3">
      <c r="H378" s="1208"/>
      <c r="I378" s="1208"/>
    </row>
    <row r="379" spans="8:9" ht="14.4" x14ac:dyDescent="0.3">
      <c r="H379" s="1208"/>
      <c r="I379" s="1208"/>
    </row>
    <row r="380" spans="8:9" ht="14.4" x14ac:dyDescent="0.3">
      <c r="H380" s="1208"/>
      <c r="I380" s="1208"/>
    </row>
    <row r="381" spans="8:9" ht="14.4" x14ac:dyDescent="0.3">
      <c r="H381" s="1208"/>
      <c r="I381" s="1208"/>
    </row>
    <row r="382" spans="8:9" ht="14.4" x14ac:dyDescent="0.3">
      <c r="H382" s="1208"/>
      <c r="I382" s="1208"/>
    </row>
    <row r="383" spans="8:9" ht="14.4" x14ac:dyDescent="0.3">
      <c r="H383" s="1208"/>
      <c r="I383" s="1208"/>
    </row>
    <row r="384" spans="8:9" ht="14.4" x14ac:dyDescent="0.3">
      <c r="H384" s="1208"/>
      <c r="I384" s="1208"/>
    </row>
    <row r="385" spans="8:9" ht="14.4" x14ac:dyDescent="0.3">
      <c r="H385" s="1208"/>
      <c r="I385" s="1208"/>
    </row>
    <row r="386" spans="8:9" ht="14.4" x14ac:dyDescent="0.3">
      <c r="H386" s="1208"/>
      <c r="I386" s="1208"/>
    </row>
    <row r="387" spans="8:9" ht="14.4" x14ac:dyDescent="0.3">
      <c r="H387" s="1208"/>
      <c r="I387" s="1208"/>
    </row>
    <row r="388" spans="8:9" ht="14.4" x14ac:dyDescent="0.3">
      <c r="H388" s="1208"/>
      <c r="I388" s="1208"/>
    </row>
    <row r="389" spans="8:9" ht="14.4" x14ac:dyDescent="0.3">
      <c r="H389" s="1208"/>
      <c r="I389" s="1208"/>
    </row>
    <row r="390" spans="8:9" ht="14.4" x14ac:dyDescent="0.3">
      <c r="H390" s="1208"/>
      <c r="I390" s="1208"/>
    </row>
    <row r="391" spans="8:9" ht="14.4" x14ac:dyDescent="0.3">
      <c r="H391" s="1208"/>
      <c r="I391" s="1208"/>
    </row>
    <row r="392" spans="8:9" ht="14.4" x14ac:dyDescent="0.3">
      <c r="H392" s="1208"/>
      <c r="I392" s="1208"/>
    </row>
    <row r="393" spans="8:9" ht="14.4" x14ac:dyDescent="0.3">
      <c r="H393" s="1208"/>
      <c r="I393" s="1208"/>
    </row>
    <row r="394" spans="8:9" ht="14.4" x14ac:dyDescent="0.3">
      <c r="H394" s="1208"/>
      <c r="I394" s="1208"/>
    </row>
    <row r="395" spans="8:9" ht="14.4" x14ac:dyDescent="0.3">
      <c r="H395" s="1208"/>
      <c r="I395" s="1208"/>
    </row>
    <row r="396" spans="8:9" ht="14.4" x14ac:dyDescent="0.3">
      <c r="H396" s="1208"/>
      <c r="I396" s="1208"/>
    </row>
    <row r="397" spans="8:9" ht="14.4" x14ac:dyDescent="0.3">
      <c r="H397" s="1208"/>
      <c r="I397" s="1208"/>
    </row>
    <row r="398" spans="8:9" ht="14.4" x14ac:dyDescent="0.3">
      <c r="H398" s="1208"/>
      <c r="I398" s="1208"/>
    </row>
    <row r="399" spans="8:9" ht="14.4" x14ac:dyDescent="0.3">
      <c r="H399" s="1208"/>
      <c r="I399" s="1208"/>
    </row>
    <row r="400" spans="8:9" ht="14.4" x14ac:dyDescent="0.3">
      <c r="H400" s="1208"/>
      <c r="I400" s="1208"/>
    </row>
    <row r="401" spans="8:9" ht="14.4" x14ac:dyDescent="0.3">
      <c r="H401" s="1208"/>
      <c r="I401" s="1208"/>
    </row>
    <row r="402" spans="8:9" ht="14.4" x14ac:dyDescent="0.3">
      <c r="H402" s="1208"/>
      <c r="I402" s="1208"/>
    </row>
    <row r="403" spans="8:9" ht="14.4" x14ac:dyDescent="0.3">
      <c r="H403" s="1208"/>
      <c r="I403" s="1208"/>
    </row>
    <row r="404" spans="8:9" ht="14.4" x14ac:dyDescent="0.3">
      <c r="H404" s="1208"/>
      <c r="I404" s="1208"/>
    </row>
    <row r="405" spans="8:9" ht="14.4" x14ac:dyDescent="0.3">
      <c r="H405" s="1208"/>
      <c r="I405" s="1208"/>
    </row>
    <row r="406" spans="8:9" ht="14.4" x14ac:dyDescent="0.3">
      <c r="H406" s="1208"/>
      <c r="I406" s="1208"/>
    </row>
    <row r="407" spans="8:9" ht="14.4" x14ac:dyDescent="0.3">
      <c r="H407" s="1208"/>
      <c r="I407" s="1208"/>
    </row>
    <row r="408" spans="8:9" ht="14.4" x14ac:dyDescent="0.3">
      <c r="H408" s="1208"/>
      <c r="I408" s="1208"/>
    </row>
    <row r="409" spans="8:9" ht="14.4" x14ac:dyDescent="0.3">
      <c r="H409" s="1208"/>
      <c r="I409" s="1208"/>
    </row>
    <row r="410" spans="8:9" ht="14.4" x14ac:dyDescent="0.3">
      <c r="H410" s="1208"/>
      <c r="I410" s="1208"/>
    </row>
    <row r="411" spans="8:9" ht="14.4" x14ac:dyDescent="0.3">
      <c r="H411" s="1208"/>
      <c r="I411" s="1208"/>
    </row>
    <row r="412" spans="8:9" ht="14.4" x14ac:dyDescent="0.3">
      <c r="H412" s="1208"/>
      <c r="I412" s="1208"/>
    </row>
    <row r="413" spans="8:9" ht="14.4" x14ac:dyDescent="0.3">
      <c r="H413" s="1208"/>
      <c r="I413" s="1208"/>
    </row>
    <row r="414" spans="8:9" ht="14.4" x14ac:dyDescent="0.3">
      <c r="H414" s="1208"/>
      <c r="I414" s="1208"/>
    </row>
    <row r="415" spans="8:9" ht="14.4" x14ac:dyDescent="0.3">
      <c r="H415" s="1208"/>
      <c r="I415" s="1208"/>
    </row>
    <row r="416" spans="8:9" ht="14.4" x14ac:dyDescent="0.3">
      <c r="H416" s="1208"/>
      <c r="I416" s="1208"/>
    </row>
    <row r="417" spans="8:9" ht="14.4" x14ac:dyDescent="0.3">
      <c r="H417" s="1208"/>
      <c r="I417" s="1208"/>
    </row>
    <row r="418" spans="8:9" ht="14.4" x14ac:dyDescent="0.3">
      <c r="H418" s="1208"/>
      <c r="I418" s="1208"/>
    </row>
    <row r="419" spans="8:9" ht="14.4" x14ac:dyDescent="0.3">
      <c r="H419" s="1208"/>
      <c r="I419" s="1208"/>
    </row>
    <row r="420" spans="8:9" ht="14.4" x14ac:dyDescent="0.3">
      <c r="H420" s="1208"/>
      <c r="I420" s="1208"/>
    </row>
    <row r="421" spans="8:9" ht="14.4" x14ac:dyDescent="0.3">
      <c r="H421" s="1208"/>
      <c r="I421" s="1208"/>
    </row>
    <row r="422" spans="8:9" ht="14.4" x14ac:dyDescent="0.3">
      <c r="H422" s="1208"/>
      <c r="I422" s="1208"/>
    </row>
    <row r="423" spans="8:9" ht="14.4" x14ac:dyDescent="0.3">
      <c r="H423" s="1208"/>
      <c r="I423" s="1208"/>
    </row>
    <row r="424" spans="8:9" ht="14.4" x14ac:dyDescent="0.3">
      <c r="H424" s="1208"/>
      <c r="I424" s="1208"/>
    </row>
    <row r="425" spans="8:9" ht="14.4" x14ac:dyDescent="0.3">
      <c r="H425" s="1208"/>
      <c r="I425" s="1208"/>
    </row>
    <row r="426" spans="8:9" ht="14.4" x14ac:dyDescent="0.3">
      <c r="H426" s="1208"/>
      <c r="I426" s="1208"/>
    </row>
    <row r="427" spans="8:9" ht="14.4" x14ac:dyDescent="0.3">
      <c r="H427" s="1208"/>
      <c r="I427" s="1208"/>
    </row>
    <row r="428" spans="8:9" ht="14.4" x14ac:dyDescent="0.3">
      <c r="H428" s="1208"/>
      <c r="I428" s="1208"/>
    </row>
    <row r="429" spans="8:9" ht="14.4" x14ac:dyDescent="0.3">
      <c r="H429" s="1208"/>
      <c r="I429" s="1208"/>
    </row>
    <row r="430" spans="8:9" ht="14.4" x14ac:dyDescent="0.3">
      <c r="H430" s="1208"/>
      <c r="I430" s="1208"/>
    </row>
    <row r="431" spans="8:9" ht="14.4" x14ac:dyDescent="0.3">
      <c r="H431" s="1208"/>
      <c r="I431" s="1208"/>
    </row>
    <row r="432" spans="8:9" ht="14.4" x14ac:dyDescent="0.3">
      <c r="H432" s="1208"/>
      <c r="I432" s="1208"/>
    </row>
    <row r="433" spans="8:9" ht="14.4" x14ac:dyDescent="0.3">
      <c r="H433" s="1208"/>
      <c r="I433" s="1208"/>
    </row>
    <row r="434" spans="8:9" ht="14.4" x14ac:dyDescent="0.3">
      <c r="H434" s="1208"/>
      <c r="I434" s="1208"/>
    </row>
    <row r="435" spans="8:9" ht="14.4" x14ac:dyDescent="0.3">
      <c r="H435" s="1208"/>
      <c r="I435" s="1208"/>
    </row>
    <row r="436" spans="8:9" ht="14.4" x14ac:dyDescent="0.3">
      <c r="H436" s="1208"/>
      <c r="I436" s="1208"/>
    </row>
    <row r="437" spans="8:9" ht="14.4" x14ac:dyDescent="0.3">
      <c r="H437" s="1208"/>
      <c r="I437" s="1208"/>
    </row>
    <row r="438" spans="8:9" ht="14.4" x14ac:dyDescent="0.3">
      <c r="H438" s="1208"/>
      <c r="I438" s="1208"/>
    </row>
    <row r="439" spans="8:9" ht="14.4" x14ac:dyDescent="0.3">
      <c r="H439" s="1208"/>
      <c r="I439" s="1208"/>
    </row>
    <row r="440" spans="8:9" ht="14.4" x14ac:dyDescent="0.3">
      <c r="H440" s="1208"/>
      <c r="I440" s="1208"/>
    </row>
    <row r="441" spans="8:9" ht="14.4" x14ac:dyDescent="0.3">
      <c r="H441" s="1208"/>
      <c r="I441" s="1208"/>
    </row>
    <row r="442" spans="8:9" ht="14.4" x14ac:dyDescent="0.3">
      <c r="H442" s="1208"/>
      <c r="I442" s="1208"/>
    </row>
    <row r="443" spans="8:9" ht="14.4" x14ac:dyDescent="0.3">
      <c r="H443" s="1208"/>
      <c r="I443" s="1208"/>
    </row>
    <row r="444" spans="8:9" ht="14.4" x14ac:dyDescent="0.3">
      <c r="H444" s="1208"/>
      <c r="I444" s="1208"/>
    </row>
    <row r="445" spans="8:9" ht="14.4" x14ac:dyDescent="0.3">
      <c r="H445" s="1208"/>
      <c r="I445" s="1208"/>
    </row>
    <row r="446" spans="8:9" ht="14.4" x14ac:dyDescent="0.3">
      <c r="H446" s="1208"/>
      <c r="I446" s="1208"/>
    </row>
    <row r="447" spans="8:9" ht="14.4" x14ac:dyDescent="0.3">
      <c r="H447" s="1208"/>
      <c r="I447" s="1208"/>
    </row>
    <row r="448" spans="8:9" ht="14.4" x14ac:dyDescent="0.3">
      <c r="H448" s="1208"/>
      <c r="I448" s="1208"/>
    </row>
    <row r="449" spans="8:9" ht="14.4" x14ac:dyDescent="0.3">
      <c r="H449" s="1208"/>
      <c r="I449" s="1208"/>
    </row>
    <row r="450" spans="8:9" ht="14.4" x14ac:dyDescent="0.3">
      <c r="H450" s="1208"/>
      <c r="I450" s="1208"/>
    </row>
    <row r="451" spans="8:9" ht="14.4" x14ac:dyDescent="0.3">
      <c r="H451" s="1208"/>
      <c r="I451" s="1208"/>
    </row>
    <row r="452" spans="8:9" ht="14.4" x14ac:dyDescent="0.3">
      <c r="H452" s="1208"/>
      <c r="I452" s="1208"/>
    </row>
    <row r="453" spans="8:9" ht="14.4" x14ac:dyDescent="0.3">
      <c r="H453" s="1208"/>
      <c r="I453" s="1208"/>
    </row>
    <row r="454" spans="8:9" ht="14.4" x14ac:dyDescent="0.3">
      <c r="H454" s="1208"/>
      <c r="I454" s="1208"/>
    </row>
    <row r="455" spans="8:9" ht="14.4" x14ac:dyDescent="0.3">
      <c r="H455" s="1208"/>
      <c r="I455" s="1208"/>
    </row>
    <row r="456" spans="8:9" ht="14.4" x14ac:dyDescent="0.3">
      <c r="H456" s="1208"/>
      <c r="I456" s="1208"/>
    </row>
    <row r="457" spans="8:9" ht="14.4" x14ac:dyDescent="0.3">
      <c r="H457" s="1208"/>
      <c r="I457" s="1208"/>
    </row>
    <row r="458" spans="8:9" ht="14.4" x14ac:dyDescent="0.3">
      <c r="H458" s="1208"/>
      <c r="I458" s="1208"/>
    </row>
    <row r="459" spans="8:9" ht="14.4" x14ac:dyDescent="0.3">
      <c r="H459" s="1208"/>
      <c r="I459" s="1208"/>
    </row>
  </sheetData>
  <mergeCells count="33">
    <mergeCell ref="CI7:CK7"/>
    <mergeCell ref="CL7:CO7"/>
    <mergeCell ref="CP7:CS7"/>
    <mergeCell ref="CT7:CW7"/>
    <mergeCell ref="CX7:CZ7"/>
    <mergeCell ref="CE7:CH7"/>
    <mergeCell ref="AP7:AS7"/>
    <mergeCell ref="AT7:AW7"/>
    <mergeCell ref="AX7:BA7"/>
    <mergeCell ref="BB7:BD7"/>
    <mergeCell ref="BG7:BI7"/>
    <mergeCell ref="BJ7:BL7"/>
    <mergeCell ref="BM7:BO7"/>
    <mergeCell ref="BP7:BR7"/>
    <mergeCell ref="BS7:BV7"/>
    <mergeCell ref="BW7:BZ7"/>
    <mergeCell ref="CA7:CD7"/>
    <mergeCell ref="BP5:BS5"/>
    <mergeCell ref="A7:F7"/>
    <mergeCell ref="K7:N7"/>
    <mergeCell ref="O7:R7"/>
    <mergeCell ref="S7:V7"/>
    <mergeCell ref="W7:Z7"/>
    <mergeCell ref="AA7:AD7"/>
    <mergeCell ref="AE7:AH7"/>
    <mergeCell ref="AI7:AL7"/>
    <mergeCell ref="AM7:AO7"/>
    <mergeCell ref="J2:J5"/>
    <mergeCell ref="A3:E3"/>
    <mergeCell ref="F3:F5"/>
    <mergeCell ref="L3:L5"/>
    <mergeCell ref="M3:M5"/>
    <mergeCell ref="A4:E4"/>
  </mergeCells>
  <conditionalFormatting sqref="A8:F8 K8 H8 P8:Z8 AE8:AO8 AT8:CZ8">
    <cfRule type="expression" dxfId="32" priority="7">
      <formula>IF(INDEX(VAD_nMeasModNutrientCycling,COLUMN(A8),5)&gt;0,TRUE(),FALSE())</formula>
    </cfRule>
  </conditionalFormatting>
  <conditionalFormatting sqref="I8">
    <cfRule type="expression" dxfId="31" priority="6">
      <formula>IF(INDEX(VAD_nMeasModYieldNutrientUptake,COLUMN(I8),5)&gt;0,TRUE(),FALSE())</formula>
    </cfRule>
  </conditionalFormatting>
  <conditionalFormatting sqref="G8">
    <cfRule type="expression" dxfId="30" priority="5">
      <formula>IF(INDEX(Vad_MeasResidueMgnt,COLUMN(G8),5)&gt;0,TRUE(),FALSE())</formula>
    </cfRule>
  </conditionalFormatting>
  <conditionalFormatting sqref="J8">
    <cfRule type="expression" dxfId="29" priority="4">
      <formula>IF(INDEX(Vad_MeasResidueMgnt,COLUMN(J8),5)&gt;0,TRUE(),FALSE())</formula>
    </cfRule>
  </conditionalFormatting>
  <conditionalFormatting sqref="L8:O8">
    <cfRule type="expression" dxfId="28" priority="3">
      <formula>IF(INDEX(Vad_MeasResidueMgnt,COLUMN(L8),5)&gt;0,TRUE(),FALSE())</formula>
    </cfRule>
  </conditionalFormatting>
  <conditionalFormatting sqref="AA8:AD8">
    <cfRule type="expression" dxfId="27" priority="2">
      <formula>IF(INDEX(Vad_MeasResidueMgnt,COLUMN(AA8),5)&gt;0,TRUE(),FALSE())</formula>
    </cfRule>
  </conditionalFormatting>
  <conditionalFormatting sqref="AP8:AS8">
    <cfRule type="expression" dxfId="26" priority="1">
      <formula>IF(INDEX(Vad_MeasResidueMgnt,COLUMN(AP8),5)&gt;0,TRUE(),FALSE())</formula>
    </cfRule>
  </conditionalFormatting>
  <dataValidations count="64">
    <dataValidation allowBlank="1" showInputMessage="1" showErrorMessage="1" prompt="Enter the Standard Deviation of this measurement if you entered a Mean on the left." sqref="BE8:BK8 BW8:BZ8 CL8:CO8"/>
    <dataValidation allowBlank="1" showInputMessage="1" showErrorMessage="1" prompt="Enter the boron content of non-harvested residue, in units specified above." sqref="BC8 CY8"/>
    <dataValidation allowBlank="1" showInputMessage="1" showErrorMessage="1" prompt="Enter the zinc content of non-harvested residue, in units specified above." sqref="BB8 CX8"/>
    <dataValidation allowBlank="1" showInputMessage="1" showErrorMessage="1" prompt="Enter the manganese content of non-harvested residue, in units specified above." sqref="BA8 CW8"/>
    <dataValidation allowBlank="1" showInputMessage="1" showErrorMessage="1" prompt="Enter the iron content of non-harvested residue, in units specified above." sqref="AZ8 CV8"/>
    <dataValidation allowBlank="1" showInputMessage="1" showErrorMessage="1" prompt="Enter the copper content of non-harvested residue, in units specified above." sqref="AY8 CU8"/>
    <dataValidation allowBlank="1" showInputMessage="1" showErrorMessage="1" prompt="Enter the magnesium content of non-harvested residue, in units specified above." sqref="AX8 CT8"/>
    <dataValidation allowBlank="1" showInputMessage="1" showErrorMessage="1" prompt="Enter the calcium content of non-harvested residue, in units specified above." sqref="AW8 CS8"/>
    <dataValidation allowBlank="1" showInputMessage="1" showErrorMessage="1" prompt="Enter the sulfur content of non-harvested residue, in units specified above." sqref="AV8 CR8"/>
    <dataValidation allowBlank="1" showInputMessage="1" showErrorMessage="1" prompt="Enter the potassium content of non-harvested residue, in units specified above." sqref="AU8 CQ8"/>
    <dataValidation allowBlank="1" showInputMessage="1" showErrorMessage="1" prompt="Enter the phosphorus content of non-harvested residue, in units specified above." sqref="AT8 CP8"/>
    <dataValidation allowBlank="1" showInputMessage="1" showErrorMessage="1" prompt="Enter molybdenum content of harvested residue in kg/ha. The entry can be a mean or a single measurement, depending on the exper_unit for this value." sqref="AO8 CK8"/>
    <dataValidation allowBlank="1" showInputMessage="1" showErrorMessage="1" prompt="Enter boron content of harvested residue in kg/ha. The entry can be a mean or a single measurement, depending on the exper_unit for this value." sqref="AN8 CJ8"/>
    <dataValidation allowBlank="1" showInputMessage="1" showErrorMessage="1" prompt="Enter zinc content of harvested residue in kg/ha. The entry can be a mean or a single measurement, depending on the exper_unit for this value." sqref="AM8 CI8"/>
    <dataValidation allowBlank="1" showInputMessage="1" showErrorMessage="1" prompt="Enter manganese content of harvested residue in kg/ha. The entry can be a mean or a single measurement, depending on the exper_unit for this value." sqref="AL8 CH8"/>
    <dataValidation allowBlank="1" showInputMessage="1" showErrorMessage="1" prompt="Enter iron content of harvested residue in kg/ha. The entry can be a mean or a single measurement, depending on the exper_unit for this value." sqref="AK8 CG8"/>
    <dataValidation allowBlank="1" showInputMessage="1" showErrorMessage="1" prompt="Enter copper content of harvested residue in kg/ha. The entry can be a mean or a single measurement, depending on the exper_unit for this value." sqref="AJ8 CF8"/>
    <dataValidation allowBlank="1" showInputMessage="1" showErrorMessage="1" prompt="Enter magnesium content of harvested residue in kg/ha. The entry can be a mean or a single measurement, depending on the exper_unit for this value." sqref="AI8 CE8"/>
    <dataValidation allowBlank="1" showInputMessage="1" showErrorMessage="1" prompt="Enter calcium content of harvested residue in kg/ha. The entry can be a mean or a single measurement, depending on the exper_unit for this value." sqref="AH8 CD8"/>
    <dataValidation allowBlank="1" showInputMessage="1" showErrorMessage="1" prompt="Enter sulfur content of harvested residue in kg/ha. The entry can be a mean or a single measurement, depending on the exper_unit for this value." sqref="AG8 CC8"/>
    <dataValidation allowBlank="1" showInputMessage="1" showErrorMessage="1" prompt="Enter nitrogen content of harvested residue in kg/ha. The entry can be a mean or a single measurement, depending on the exper_unit for this value." sqref="AF8 CB8"/>
    <dataValidation allowBlank="1" showInputMessage="1" showErrorMessage="1" prompt="Enter phosphorus content of harvested residue in kg/ha. The entry can be a mean or a single measurement, depending on the exper_unit for this value." sqref="AE8 CA8"/>
    <dataValidation allowBlank="1" showInputMessage="1" showErrorMessage="1" prompt="Enter molybdenum content of harvested grain in kg/ha. The entry can be a mean or a single measurement, depending on the exper_unit for this value." sqref="Z8 BV12 BV8"/>
    <dataValidation allowBlank="1" showInputMessage="1" showErrorMessage="1" prompt="Enter boron content of harvested grain in kg/ha. The entry can be a mean or a single measurement, depending on the exper_unit for this value." sqref="Y8 BU12 BU8"/>
    <dataValidation allowBlank="1" showInputMessage="1" showErrorMessage="1" prompt="Enter zinc content of harvested grain in kg/ha. The entry can be a mean or a single measurement, depending on the exper_unit for this value." sqref="X8 BT12 BT8"/>
    <dataValidation allowBlank="1" showInputMessage="1" showErrorMessage="1" prompt="Enter manganese content of harvested grain in kg/ha. The entry can be a mean or a single measurement, depending on the exper_unit for this value." sqref="W8 BS12 BS8"/>
    <dataValidation allowBlank="1" showInputMessage="1" showErrorMessage="1" prompt="Enter iron content of harvested grain in kg/ha. The entry can be a mean or a single measurement, depending on the exper_unit for this value." sqref="V8 BR12 BR8"/>
    <dataValidation allowBlank="1" showInputMessage="1" showErrorMessage="1" prompt="Enter copper content of harvested grain in kg/ha. The entry can be a mean or a single measurement, depending on the exper_unit for this value." sqref="U8 BQ12 BQ8"/>
    <dataValidation allowBlank="1" showInputMessage="1" showErrorMessage="1" prompt="Enter magnesium content of harvested grain in kg/ha. The entry can be a mean or a single measurement, depending on the exper_unit for this value." sqref="T8 BP12 BP8"/>
    <dataValidation allowBlank="1" showInputMessage="1" showErrorMessage="1" prompt="Enter calcium content of harvested grain in kg/ha. The entry can be a mean or a single measurement, depending on the exper_unit for this value." sqref="S8 BO12 BO8"/>
    <dataValidation allowBlank="1" showInputMessage="1" showErrorMessage="1" prompt="Enter sulfur content of harvested grain in kg/ha. The entry can be a mean or a single measurement, depending on the exper_unit for this value." sqref="R8 BN12 BN8"/>
    <dataValidation allowBlank="1" showInputMessage="1" showErrorMessage="1" prompt="Enter potassium content of harvested grain in kg/ha. The entry can be a mean or a single measurement, depending on the exper_unit for this value." sqref="Q8 BM12 BM8"/>
    <dataValidation allowBlank="1" showInputMessage="1" showErrorMessage="1" prompt="Enter phosphorus content of harvested grain in kg/ha. The entry can be a mean or a single measurement, depending on the exper_unit for this value." sqref="P8 BL12 BL8"/>
    <dataValidation type="list" allowBlank="1" showInputMessage="1" showErrorMessage="1" sqref="A1473:A65508 C1473:C65508 D10:D1098">
      <formula1>#REF!</formula1>
    </dataValidation>
    <dataValidation type="list" allowBlank="1" showInputMessage="1" showErrorMessage="1" sqref="D9">
      <formula1>Growth_Stage</formula1>
    </dataValidation>
    <dataValidation type="list" allowBlank="1" showInputMessage="1" showErrorMessage="1" sqref="E9:E1048576 E7 E1">
      <formula1>Crop</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F9:F972 H460:I696">
      <formula1>Harvested_Fraction</formula1>
    </dataValidation>
    <dataValidation type="list" allowBlank="1" showInputMessage="1" showErrorMessage="1" sqref="C9:C1472">
      <formula1>TreatmentID</formula1>
    </dataValidation>
    <dataValidation type="list" allowBlank="1" showInputMessage="1" showErrorMessage="1" sqref="A9:A1472">
      <formula1>Exp_UnitID</formula1>
    </dataValidation>
    <dataValidation allowBlank="1" showErrorMessage="1" sqref="BI37:BJ1048576 J9:J1048576 G9:G1048576 BK13:BM1048576 BI9:BX9"/>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nitrogen content of non-harvested residue, in units specified above." sqref="AS8"/>
    <dataValidation allowBlank="1" showInputMessage="1" showErrorMessage="1" prompt="Enter mass of dried harvested residue, in units specified above." sqref="BW12 AA8"/>
    <dataValidation allowBlank="1" showInputMessage="1" showErrorMessage="1" prompt="Enter nitrogen content of harvested grain, in units specified above. " sqref="BK12 O8"/>
    <dataValidation allowBlank="1" showInputMessage="1" showErrorMessage="1" prompt="Enter the carbon content of the harvested residue, in units specified above." sqref="BY12"/>
    <dataValidation allowBlank="1" showInputMessage="1" showErrorMessage="1" prompt="Enter carbon content of harvested grain, in units specified above. " sqref="BJ12 N8"/>
    <dataValidation allowBlank="1" showInputMessage="1" showErrorMessage="1" prompt="Enter percent moisture of non-harvested residue, in units specified above." sqref="AQ8"/>
    <dataValidation allowBlank="1" showInputMessage="1" showErrorMessage="1" prompt="Enter mass of dried non-harvested residue (i.e. non-grain above ground plant material not removed during harvest event), in units specified above." sqref="AP8"/>
    <dataValidation allowBlank="1" showInputMessage="1" showErrorMessage="1" prompt="Enter the harvested (dry) grain yield, in units specified above." sqref="BH12 L8"/>
    <dataValidation allowBlank="1" showInputMessage="1" showErrorMessage="1" prompt="Enter the grain (kernel) weight, in units specified above." sqref="K8 BG12"/>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height of the base of the ear above the ground, in units specified above._x000a__x000a_" sqref="G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date that the harvesting event occurred, in the format specified above." sqref="B8"/>
    <dataValidation allowBlank="1" showInputMessage="1" showErrorMessage="1" prompt="Enter above ground biomass (grain plus leaves, stems, cobs, etc.), in units specified above." sqref="BF12 J8"/>
    <dataValidation allowBlank="1" showInputMessage="1" showErrorMessage="1" prompt="Enter the carbon content of non-harveseted residue, in units specified above." sqref="AR8"/>
    <dataValidation allowBlank="1" showInputMessage="1" showErrorMessage="1" prompt="Enter the nitrogen content of the harvested residue, in units specified above.  " sqref="BZ12"/>
    <dataValidation allowBlank="1" showInputMessage="1" showErrorMessage="1" prompt="Enter percent moisture of harvested residue at harvest, in units specified above." sqref="BX12 AB8"/>
    <dataValidation allowBlank="1" showInputMessage="1" showErrorMessage="1" prompt="Enter grain percent moisture, in units specified above." sqref="BI12 M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molybdenum content of non-harvested residue, in units specified above." sqref="BD8 CZ8"/>
    <dataValidation allowBlank="1" showInputMessage="1" showErrorMessage="1" prompt="Enter the carbon content of the residue, in units specified above." sqref="AC8"/>
    <dataValidation allowBlank="1" showInputMessage="1" showErrorMessage="1" prompt="Enter the nitrogen content of the residue, in units specified above.  " sqref="AD8"/>
  </dataValidation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A459"/>
  <sheetViews>
    <sheetView workbookViewId="0">
      <pane xSplit="6" ySplit="8" topLeftCell="G9" activePane="bottomRight" state="frozen"/>
      <selection pane="topRight" activeCell="G1" sqref="G1"/>
      <selection pane="bottomLeft" activeCell="A9" sqref="A9"/>
      <selection pane="bottomRight" activeCell="H20" sqref="H20"/>
    </sheetView>
  </sheetViews>
  <sheetFormatPr defaultColWidth="8.88671875" defaultRowHeight="14.4" x14ac:dyDescent="0.3"/>
  <cols>
    <col min="1" max="1" width="12.44140625" style="316" customWidth="1"/>
    <col min="2" max="2" width="13" style="313" customWidth="1"/>
    <col min="3" max="3" width="10.5546875" style="316" bestFit="1" customWidth="1"/>
    <col min="4" max="4" width="27.109375" style="316" bestFit="1" customWidth="1"/>
    <col min="5" max="5" width="13.6640625" style="316" bestFit="1" customWidth="1"/>
    <col min="6" max="6" width="21.44140625" style="316" bestFit="1" customWidth="1"/>
    <col min="7" max="7" width="10.6640625" style="316" bestFit="1" customWidth="1"/>
    <col min="8" max="8" width="15.109375" style="316" bestFit="1" customWidth="1"/>
    <col min="9" max="9" width="11.44140625" style="316" bestFit="1" customWidth="1"/>
    <col min="10" max="10" width="5.88671875" style="316" bestFit="1" customWidth="1"/>
    <col min="11" max="12" width="15.33203125" style="316" bestFit="1" customWidth="1"/>
    <col min="13" max="13" width="13.6640625" style="108" bestFit="1" customWidth="1"/>
    <col min="14" max="14" width="16.44140625" style="108" customWidth="1"/>
    <col min="15" max="15" width="14.109375" style="108" customWidth="1"/>
    <col min="16" max="17" width="15" style="108" customWidth="1"/>
    <col min="18" max="18" width="17.88671875" style="108" customWidth="1"/>
    <col min="19" max="19" width="14.5546875" style="108" customWidth="1"/>
    <col min="20" max="20" width="11.88671875" style="108" customWidth="1"/>
    <col min="21" max="21" width="18.44140625" style="108" customWidth="1"/>
    <col min="22" max="22" width="14.6640625" style="108" customWidth="1"/>
    <col min="23" max="23" width="18" style="108" customWidth="1"/>
    <col min="24" max="24" width="11.88671875" style="108" customWidth="1"/>
    <col min="25" max="25" width="20.6640625" style="108" customWidth="1"/>
    <col min="26" max="26" width="27.33203125" style="108" customWidth="1"/>
    <col min="27" max="16384" width="8.88671875" style="108"/>
  </cols>
  <sheetData>
    <row r="1" spans="1:27" ht="17.399999999999999" x14ac:dyDescent="0.3">
      <c r="A1" s="1294" t="s">
        <v>2973</v>
      </c>
      <c r="B1" s="1295"/>
      <c r="C1" s="1296"/>
      <c r="D1" s="1296"/>
      <c r="E1" s="1296"/>
      <c r="F1" s="1296"/>
      <c r="G1" s="1296"/>
      <c r="H1" s="1296"/>
      <c r="I1" s="1296"/>
      <c r="J1" s="1296"/>
      <c r="K1" s="1296"/>
      <c r="L1" s="1296"/>
      <c r="M1" s="1296"/>
      <c r="N1" s="1296"/>
      <c r="O1" s="1296"/>
      <c r="P1" s="1296"/>
      <c r="Q1" s="1296"/>
      <c r="R1" s="1296"/>
      <c r="S1" s="1296"/>
      <c r="T1" s="1296"/>
      <c r="U1" s="1296"/>
      <c r="V1" s="1296"/>
      <c r="W1" s="1296"/>
      <c r="X1" s="1296"/>
      <c r="Y1" s="1296"/>
      <c r="Z1" s="1296"/>
    </row>
    <row r="2" spans="1:27" ht="20.399999999999999" x14ac:dyDescent="0.3">
      <c r="A2" s="1507" t="s">
        <v>2974</v>
      </c>
      <c r="B2" s="1507"/>
      <c r="C2" s="1507"/>
      <c r="D2" s="1507"/>
      <c r="E2" s="1507"/>
      <c r="F2" s="73"/>
      <c r="G2" s="73"/>
      <c r="H2" s="73"/>
      <c r="I2" s="583" t="s">
        <v>448</v>
      </c>
      <c r="J2" s="73"/>
      <c r="K2" s="73"/>
      <c r="L2" s="73"/>
      <c r="M2" s="73"/>
      <c r="N2" s="73"/>
      <c r="O2" s="73"/>
      <c r="P2" s="73"/>
      <c r="Q2" s="73"/>
      <c r="R2" s="73"/>
      <c r="S2" s="73"/>
      <c r="T2" s="73"/>
      <c r="U2" s="73" t="s">
        <v>3434</v>
      </c>
      <c r="V2" s="73"/>
      <c r="W2" s="73"/>
      <c r="X2" s="73"/>
      <c r="Y2" s="73"/>
      <c r="Z2" s="1331"/>
    </row>
    <row r="3" spans="1:27" x14ac:dyDescent="0.3">
      <c r="A3" s="1507"/>
      <c r="B3" s="1507"/>
      <c r="C3" s="1507"/>
      <c r="D3" s="1507"/>
      <c r="E3" s="1507"/>
      <c r="F3" s="1154"/>
      <c r="G3" s="1251"/>
      <c r="H3" s="1251"/>
      <c r="I3" s="1251"/>
      <c r="J3" s="1251"/>
      <c r="K3" s="1251"/>
      <c r="L3" s="1251"/>
      <c r="M3" s="1251"/>
      <c r="N3" s="1251"/>
      <c r="O3" s="1251"/>
      <c r="P3" s="1251"/>
      <c r="Q3" s="1251"/>
      <c r="R3" s="1251"/>
      <c r="S3" s="1251"/>
      <c r="T3" s="1251"/>
      <c r="U3" s="1251"/>
      <c r="V3" s="1251"/>
      <c r="W3" s="1251"/>
      <c r="X3" s="1251"/>
      <c r="Y3" s="1251"/>
      <c r="Z3" s="1300"/>
      <c r="AA3" s="959"/>
    </row>
    <row r="4" spans="1:27" x14ac:dyDescent="0.3">
      <c r="A4" s="1155"/>
      <c r="B4" s="1156"/>
      <c r="C4" s="1157"/>
      <c r="D4" s="1158"/>
      <c r="E4" s="1158"/>
      <c r="F4" s="639"/>
      <c r="G4" s="73"/>
      <c r="H4" s="73"/>
      <c r="I4" s="73"/>
      <c r="J4" s="73"/>
      <c r="K4" s="73"/>
      <c r="L4" s="73"/>
      <c r="M4" s="73"/>
      <c r="N4" s="73"/>
      <c r="O4" s="73"/>
      <c r="P4" s="73"/>
      <c r="Q4" s="73"/>
      <c r="R4" s="73"/>
      <c r="S4" s="73"/>
      <c r="T4" s="73"/>
      <c r="U4" s="73"/>
      <c r="V4" s="73"/>
      <c r="W4" s="73"/>
      <c r="X4" s="73"/>
      <c r="Y4" s="73"/>
      <c r="Z4" s="1331"/>
      <c r="AA4" s="959"/>
    </row>
    <row r="5" spans="1:27" ht="15.6" x14ac:dyDescent="0.3">
      <c r="A5" s="1302" t="s">
        <v>343</v>
      </c>
      <c r="B5" s="1160"/>
      <c r="C5" s="1161"/>
      <c r="D5" s="1162" t="s">
        <v>394</v>
      </c>
      <c r="E5" s="1120"/>
      <c r="F5" s="1120"/>
      <c r="G5" s="1332"/>
      <c r="H5" s="1332"/>
      <c r="I5" s="1332"/>
      <c r="J5" s="1332"/>
      <c r="K5" s="1332"/>
      <c r="L5" s="1332"/>
      <c r="M5" s="1332"/>
      <c r="N5" s="1332"/>
      <c r="O5" s="1332"/>
      <c r="P5" s="1332"/>
      <c r="Q5" s="1332"/>
      <c r="R5" s="1332"/>
      <c r="S5" s="1332"/>
      <c r="T5" s="1332"/>
      <c r="U5" s="1332"/>
      <c r="V5" s="1332"/>
      <c r="W5" s="1332"/>
      <c r="X5" s="1332"/>
      <c r="Y5" s="1332"/>
      <c r="Z5" s="1333"/>
      <c r="AA5" s="959"/>
    </row>
    <row r="6" spans="1:27" ht="16.2" x14ac:dyDescent="0.35">
      <c r="A6" s="667"/>
      <c r="B6" s="274" t="s">
        <v>116</v>
      </c>
      <c r="C6" s="641"/>
      <c r="D6" s="1163" t="str">
        <f>HYPERLINK("#DropDownLists!O6","Add to this list")</f>
        <v>Add to this list</v>
      </c>
      <c r="E6" s="1163" t="str">
        <f>HYPERLINK("#DropDownLists!K6","Add to this list")</f>
        <v>Add to this list</v>
      </c>
      <c r="F6" s="1163" t="str">
        <f>HYPERLINK("#DropDownLists!P6","Add to this list")</f>
        <v>Add to this list</v>
      </c>
      <c r="G6" s="1336"/>
      <c r="H6" s="1336"/>
      <c r="I6" s="1336"/>
      <c r="J6" s="1336" t="s">
        <v>46</v>
      </c>
      <c r="K6" s="1336" t="s">
        <v>119</v>
      </c>
      <c r="L6" s="1336" t="s">
        <v>91</v>
      </c>
      <c r="M6" s="1336" t="s">
        <v>91</v>
      </c>
      <c r="N6" s="1336" t="s">
        <v>185</v>
      </c>
      <c r="O6" s="1337" t="s">
        <v>115</v>
      </c>
      <c r="P6" s="1335"/>
      <c r="Q6" s="1336"/>
      <c r="R6" s="1336" t="s">
        <v>2975</v>
      </c>
      <c r="S6" s="1337" t="s">
        <v>2976</v>
      </c>
      <c r="T6" s="1336"/>
      <c r="U6" s="1336"/>
      <c r="V6" s="1336" t="s">
        <v>2975</v>
      </c>
      <c r="W6" s="1337" t="s">
        <v>2977</v>
      </c>
      <c r="X6" s="1335"/>
      <c r="Y6" s="1336"/>
      <c r="Z6" s="1337" t="s">
        <v>2978</v>
      </c>
      <c r="AA6" s="959"/>
    </row>
    <row r="7" spans="1:27" x14ac:dyDescent="0.3">
      <c r="A7" s="1506" t="s">
        <v>390</v>
      </c>
      <c r="B7" s="1506"/>
      <c r="C7" s="1506"/>
      <c r="D7" s="1506"/>
      <c r="E7" s="1506"/>
      <c r="F7" s="1506"/>
      <c r="G7" s="1416" t="s">
        <v>2979</v>
      </c>
      <c r="H7" s="1416"/>
      <c r="I7" s="1416"/>
      <c r="J7" s="1416"/>
      <c r="K7" s="1416"/>
      <c r="L7" s="1416"/>
      <c r="M7" s="1416"/>
      <c r="N7" s="1416"/>
      <c r="O7" s="1417"/>
      <c r="P7" s="1408" t="s">
        <v>2980</v>
      </c>
      <c r="Q7" s="1409"/>
      <c r="R7" s="1409"/>
      <c r="S7" s="1410"/>
      <c r="T7" s="1408" t="s">
        <v>2981</v>
      </c>
      <c r="U7" s="1409"/>
      <c r="V7" s="1409"/>
      <c r="W7" s="1410"/>
      <c r="X7" s="1408" t="s">
        <v>2982</v>
      </c>
      <c r="Y7" s="1409"/>
      <c r="Z7" s="1410"/>
      <c r="AA7" s="959"/>
    </row>
    <row r="8" spans="1:27" ht="27.6" thickBot="1" x14ac:dyDescent="0.35">
      <c r="A8" s="1037" t="s">
        <v>3474</v>
      </c>
      <c r="B8" s="1167" t="s">
        <v>35</v>
      </c>
      <c r="C8" s="625" t="s">
        <v>152</v>
      </c>
      <c r="D8" s="625" t="s">
        <v>1659</v>
      </c>
      <c r="E8" s="556" t="s">
        <v>77</v>
      </c>
      <c r="F8" s="1338" t="s">
        <v>2983</v>
      </c>
      <c r="G8" s="1200" t="s">
        <v>2918</v>
      </c>
      <c r="H8" s="1200" t="s">
        <v>3430</v>
      </c>
      <c r="I8" s="1200" t="s">
        <v>3436</v>
      </c>
      <c r="J8" s="1200" t="s">
        <v>2984</v>
      </c>
      <c r="K8" s="1339" t="s">
        <v>2985</v>
      </c>
      <c r="L8" s="1339" t="s">
        <v>2986</v>
      </c>
      <c r="M8" s="1353" t="s">
        <v>2987</v>
      </c>
      <c r="N8" s="1353" t="s">
        <v>185</v>
      </c>
      <c r="O8" s="1415" t="s">
        <v>2988</v>
      </c>
      <c r="P8" s="1411" t="s">
        <v>2918</v>
      </c>
      <c r="Q8" s="1412" t="s">
        <v>3430</v>
      </c>
      <c r="R8" s="1413" t="s">
        <v>2989</v>
      </c>
      <c r="S8" s="1414" t="s">
        <v>2989</v>
      </c>
      <c r="T8" s="1411" t="s">
        <v>2918</v>
      </c>
      <c r="U8" s="1412" t="s">
        <v>3430</v>
      </c>
      <c r="V8" s="1413" t="s">
        <v>2989</v>
      </c>
      <c r="W8" s="1414" t="s">
        <v>2989</v>
      </c>
      <c r="X8" s="1267" t="s">
        <v>2918</v>
      </c>
      <c r="Y8" s="1200" t="s">
        <v>3430</v>
      </c>
      <c r="Z8" s="1308" t="s">
        <v>2989</v>
      </c>
      <c r="AA8" s="959"/>
    </row>
    <row r="9" spans="1:27" x14ac:dyDescent="0.3">
      <c r="G9" s="1208"/>
      <c r="H9" s="1208"/>
      <c r="I9" s="1269"/>
      <c r="J9" s="1269"/>
      <c r="K9" s="1269"/>
      <c r="L9" s="1269"/>
      <c r="M9" s="959"/>
      <c r="N9" s="959"/>
      <c r="O9" s="959"/>
      <c r="P9" s="959"/>
      <c r="Q9" s="959"/>
      <c r="R9" s="959"/>
      <c r="S9" s="959"/>
      <c r="T9" s="959"/>
      <c r="U9" s="959"/>
      <c r="V9" s="959"/>
      <c r="W9" s="959"/>
      <c r="X9" s="959"/>
      <c r="Y9" s="959"/>
      <c r="Z9" s="959"/>
      <c r="AA9" s="959"/>
    </row>
    <row r="10" spans="1:27" x14ac:dyDescent="0.3">
      <c r="F10" s="1207" t="s">
        <v>2990</v>
      </c>
      <c r="G10" s="1208"/>
      <c r="H10" s="1208"/>
      <c r="I10" s="1208"/>
      <c r="J10" s="1208"/>
      <c r="K10" s="1208"/>
      <c r="L10" s="1208"/>
    </row>
    <row r="11" spans="1:27" x14ac:dyDescent="0.3">
      <c r="F11" s="1207" t="s">
        <v>2991</v>
      </c>
      <c r="G11" s="1208"/>
      <c r="H11" s="1208"/>
      <c r="I11" s="1208"/>
      <c r="J11" s="1208"/>
      <c r="K11" s="1208"/>
      <c r="L11" s="1208"/>
    </row>
    <row r="12" spans="1:27" x14ac:dyDescent="0.3">
      <c r="F12" s="1207" t="s">
        <v>2992</v>
      </c>
      <c r="G12" s="1208"/>
      <c r="H12" s="1208"/>
      <c r="I12" s="1208"/>
      <c r="J12" s="1208"/>
      <c r="K12" s="1208"/>
      <c r="L12" s="1208"/>
    </row>
    <row r="13" spans="1:27" x14ac:dyDescent="0.3">
      <c r="F13" s="1207" t="s">
        <v>2993</v>
      </c>
      <c r="G13" s="1208"/>
      <c r="H13" s="1208"/>
      <c r="I13" s="1208"/>
      <c r="J13" s="1208"/>
      <c r="K13" s="1208"/>
      <c r="L13" s="1208"/>
    </row>
    <row r="14" spans="1:27" x14ac:dyDescent="0.3">
      <c r="F14" s="1208"/>
      <c r="G14" s="1208"/>
      <c r="H14" s="1208"/>
      <c r="I14" s="1208"/>
      <c r="J14" s="1208"/>
      <c r="K14" s="1208"/>
      <c r="L14" s="1208"/>
    </row>
    <row r="15" spans="1:27" x14ac:dyDescent="0.3">
      <c r="F15" s="1208"/>
      <c r="G15" s="1208"/>
      <c r="H15" s="1208"/>
      <c r="I15" s="1208"/>
      <c r="J15" s="1208"/>
      <c r="K15" s="1208"/>
      <c r="L15" s="1208"/>
    </row>
    <row r="16" spans="1:27" x14ac:dyDescent="0.3">
      <c r="F16" s="1208"/>
      <c r="G16" s="1208"/>
      <c r="H16" s="1208"/>
      <c r="I16" s="1208"/>
      <c r="J16" s="1208"/>
      <c r="K16" s="1208"/>
      <c r="L16" s="1208"/>
    </row>
    <row r="17" spans="1:12" x14ac:dyDescent="0.3">
      <c r="A17" s="108"/>
      <c r="B17" s="108"/>
      <c r="C17" s="108"/>
      <c r="D17" s="108"/>
      <c r="E17" s="108"/>
      <c r="F17" s="1208"/>
      <c r="G17" s="1208"/>
      <c r="H17" s="1208"/>
      <c r="I17" s="1208"/>
      <c r="J17" s="1208"/>
      <c r="K17" s="1208"/>
      <c r="L17" s="1208"/>
    </row>
    <row r="18" spans="1:12" ht="14.4" customHeight="1" x14ac:dyDescent="0.3">
      <c r="A18" s="108"/>
      <c r="B18" s="108"/>
      <c r="C18" s="108"/>
      <c r="D18" s="108"/>
      <c r="E18" s="108"/>
      <c r="F18" s="1207" t="s">
        <v>2994</v>
      </c>
      <c r="G18" s="1208"/>
      <c r="H18" s="1208"/>
      <c r="I18" s="1208"/>
      <c r="J18" s="1208"/>
      <c r="K18" s="1208"/>
      <c r="L18" s="1208"/>
    </row>
    <row r="19" spans="1:12" x14ac:dyDescent="0.3">
      <c r="A19" s="108"/>
      <c r="B19" s="108"/>
      <c r="C19" s="108"/>
      <c r="D19" s="108"/>
      <c r="E19" s="108"/>
      <c r="F19" s="1208"/>
      <c r="G19" s="1208"/>
      <c r="H19" s="1208"/>
      <c r="I19" s="1208"/>
      <c r="J19" s="1208"/>
      <c r="K19" s="1208"/>
      <c r="L19" s="1208"/>
    </row>
    <row r="20" spans="1:12" x14ac:dyDescent="0.3">
      <c r="A20" s="108"/>
      <c r="B20" s="108"/>
      <c r="C20" s="108"/>
      <c r="D20" s="108"/>
      <c r="E20" s="108"/>
      <c r="F20" s="1207" t="s">
        <v>2995</v>
      </c>
      <c r="G20" s="1208"/>
      <c r="H20" s="1208"/>
      <c r="I20" s="1208"/>
      <c r="J20" s="1208"/>
      <c r="K20" s="1208"/>
      <c r="L20" s="1208"/>
    </row>
    <row r="21" spans="1:12" x14ac:dyDescent="0.3">
      <c r="A21" s="108"/>
      <c r="B21" s="108"/>
      <c r="C21" s="108"/>
      <c r="D21" s="108"/>
      <c r="E21" s="108"/>
      <c r="F21" s="1208"/>
      <c r="G21" s="1208"/>
      <c r="H21" s="1208"/>
      <c r="I21" s="1208"/>
      <c r="J21" s="1208"/>
      <c r="K21" s="1208"/>
      <c r="L21" s="1208"/>
    </row>
    <row r="22" spans="1:12" x14ac:dyDescent="0.3">
      <c r="A22" s="108"/>
      <c r="B22" s="108"/>
      <c r="C22" s="108"/>
      <c r="D22" s="108"/>
      <c r="E22" s="108"/>
      <c r="F22" s="1208"/>
      <c r="G22" s="1208"/>
      <c r="H22" s="1208"/>
      <c r="I22" s="1208"/>
      <c r="J22" s="1208"/>
      <c r="K22" s="1208"/>
      <c r="L22" s="1208"/>
    </row>
    <row r="23" spans="1:12" x14ac:dyDescent="0.3">
      <c r="A23" s="108"/>
      <c r="B23" s="108"/>
      <c r="C23" s="108"/>
      <c r="D23" s="108"/>
      <c r="E23" s="108"/>
      <c r="F23" s="1208"/>
      <c r="G23" s="1208"/>
      <c r="H23" s="1208"/>
      <c r="I23" s="1208"/>
      <c r="J23" s="1208"/>
      <c r="K23" s="1208"/>
      <c r="L23" s="1208"/>
    </row>
    <row r="24" spans="1:12" x14ac:dyDescent="0.3">
      <c r="A24" s="108"/>
      <c r="B24" s="108"/>
      <c r="C24" s="108"/>
      <c r="D24" s="108"/>
      <c r="E24" s="108"/>
      <c r="F24" s="1208"/>
      <c r="G24" s="1208"/>
      <c r="H24" s="1208"/>
      <c r="I24" s="1208"/>
      <c r="J24" s="1208"/>
      <c r="K24" s="1208"/>
      <c r="L24" s="1208"/>
    </row>
    <row r="25" spans="1:12" x14ac:dyDescent="0.3">
      <c r="A25" s="108"/>
      <c r="B25" s="108"/>
      <c r="C25" s="108"/>
      <c r="D25" s="108"/>
      <c r="E25" s="108"/>
      <c r="F25" s="1208"/>
      <c r="G25" s="1208"/>
      <c r="H25" s="1208"/>
      <c r="I25" s="1208"/>
      <c r="J25" s="1208"/>
      <c r="K25" s="1208"/>
      <c r="L25" s="1208"/>
    </row>
    <row r="26" spans="1:12" x14ac:dyDescent="0.3">
      <c r="A26" s="108"/>
      <c r="B26" s="108"/>
      <c r="C26" s="108"/>
      <c r="D26" s="108"/>
      <c r="E26" s="108"/>
      <c r="F26" s="1208"/>
      <c r="G26" s="1208"/>
      <c r="H26" s="1208"/>
      <c r="I26" s="1208"/>
      <c r="J26" s="1208"/>
      <c r="K26" s="1208"/>
      <c r="L26" s="1208"/>
    </row>
    <row r="27" spans="1:12" x14ac:dyDescent="0.3">
      <c r="G27" s="1208"/>
      <c r="H27" s="1208"/>
    </row>
    <row r="28" spans="1:12" x14ac:dyDescent="0.3">
      <c r="G28" s="1208"/>
      <c r="H28" s="1208"/>
    </row>
    <row r="29" spans="1:12" x14ac:dyDescent="0.3">
      <c r="G29" s="1208"/>
      <c r="H29" s="1208"/>
    </row>
    <row r="30" spans="1:12" x14ac:dyDescent="0.3">
      <c r="G30" s="1208"/>
      <c r="H30" s="1208"/>
    </row>
    <row r="31" spans="1:12" x14ac:dyDescent="0.3">
      <c r="G31" s="1208"/>
      <c r="H31" s="1208"/>
    </row>
    <row r="32" spans="1:12" x14ac:dyDescent="0.3">
      <c r="G32" s="1208"/>
      <c r="H32" s="1208"/>
    </row>
    <row r="33" spans="7:8" x14ac:dyDescent="0.3">
      <c r="G33" s="1208"/>
      <c r="H33" s="1208"/>
    </row>
    <row r="34" spans="7:8" x14ac:dyDescent="0.3">
      <c r="G34" s="1208"/>
      <c r="H34" s="1208"/>
    </row>
    <row r="35" spans="7:8" x14ac:dyDescent="0.3">
      <c r="G35" s="1208"/>
      <c r="H35" s="1208"/>
    </row>
    <row r="36" spans="7:8" x14ac:dyDescent="0.3">
      <c r="G36" s="1208"/>
      <c r="H36" s="1208"/>
    </row>
    <row r="37" spans="7:8" x14ac:dyDescent="0.3">
      <c r="G37" s="1208"/>
      <c r="H37" s="1208"/>
    </row>
    <row r="38" spans="7:8" x14ac:dyDescent="0.3">
      <c r="G38" s="1208"/>
      <c r="H38" s="1208"/>
    </row>
    <row r="39" spans="7:8" x14ac:dyDescent="0.3">
      <c r="G39" s="1208"/>
      <c r="H39" s="1208"/>
    </row>
    <row r="40" spans="7:8" x14ac:dyDescent="0.3">
      <c r="G40" s="1208"/>
      <c r="H40" s="1208"/>
    </row>
    <row r="41" spans="7:8" x14ac:dyDescent="0.3">
      <c r="G41" s="1208"/>
      <c r="H41" s="1208"/>
    </row>
    <row r="42" spans="7:8" x14ac:dyDescent="0.3">
      <c r="G42" s="1208"/>
      <c r="H42" s="1208"/>
    </row>
    <row r="43" spans="7:8" x14ac:dyDescent="0.3">
      <c r="G43" s="1208"/>
      <c r="H43" s="1208"/>
    </row>
    <row r="44" spans="7:8" x14ac:dyDescent="0.3">
      <c r="G44" s="1208"/>
      <c r="H44" s="1208"/>
    </row>
    <row r="45" spans="7:8" x14ac:dyDescent="0.3">
      <c r="G45" s="1208"/>
      <c r="H45" s="1208"/>
    </row>
    <row r="46" spans="7:8" x14ac:dyDescent="0.3">
      <c r="G46" s="1208"/>
      <c r="H46" s="1208"/>
    </row>
    <row r="47" spans="7:8" x14ac:dyDescent="0.3">
      <c r="G47" s="1208"/>
      <c r="H47" s="1208"/>
    </row>
    <row r="48" spans="7:8" x14ac:dyDescent="0.3">
      <c r="G48" s="1208"/>
      <c r="H48" s="1208"/>
    </row>
    <row r="49" spans="7:8" x14ac:dyDescent="0.3">
      <c r="G49" s="1208"/>
      <c r="H49" s="1208"/>
    </row>
    <row r="50" spans="7:8" x14ac:dyDescent="0.3">
      <c r="G50" s="1208"/>
      <c r="H50" s="1208"/>
    </row>
    <row r="51" spans="7:8" x14ac:dyDescent="0.3">
      <c r="G51" s="1208"/>
      <c r="H51" s="1208"/>
    </row>
    <row r="52" spans="7:8" x14ac:dyDescent="0.3">
      <c r="G52" s="1208"/>
      <c r="H52" s="1208"/>
    </row>
    <row r="53" spans="7:8" x14ac:dyDescent="0.3">
      <c r="G53" s="1208"/>
      <c r="H53" s="1208"/>
    </row>
    <row r="54" spans="7:8" x14ac:dyDescent="0.3">
      <c r="G54" s="1208"/>
      <c r="H54" s="1208"/>
    </row>
    <row r="55" spans="7:8" x14ac:dyDescent="0.3">
      <c r="G55" s="1208"/>
      <c r="H55" s="1208"/>
    </row>
    <row r="56" spans="7:8" x14ac:dyDescent="0.3">
      <c r="G56" s="1208"/>
      <c r="H56" s="1208"/>
    </row>
    <row r="57" spans="7:8" x14ac:dyDescent="0.3">
      <c r="G57" s="1208"/>
      <c r="H57" s="1208"/>
    </row>
    <row r="58" spans="7:8" x14ac:dyDescent="0.3">
      <c r="G58" s="1208"/>
      <c r="H58" s="1208"/>
    </row>
    <row r="59" spans="7:8" x14ac:dyDescent="0.3">
      <c r="G59" s="1208"/>
      <c r="H59" s="1208"/>
    </row>
    <row r="60" spans="7:8" x14ac:dyDescent="0.3">
      <c r="G60" s="1208"/>
      <c r="H60" s="1208"/>
    </row>
    <row r="61" spans="7:8" x14ac:dyDescent="0.3">
      <c r="G61" s="1208"/>
      <c r="H61" s="1208"/>
    </row>
    <row r="62" spans="7:8" x14ac:dyDescent="0.3">
      <c r="G62" s="1208"/>
      <c r="H62" s="1208"/>
    </row>
    <row r="63" spans="7:8" x14ac:dyDescent="0.3">
      <c r="G63" s="1208"/>
      <c r="H63" s="1208"/>
    </row>
    <row r="64" spans="7:8" x14ac:dyDescent="0.3">
      <c r="G64" s="1208"/>
      <c r="H64" s="1208"/>
    </row>
    <row r="65" spans="7:8" x14ac:dyDescent="0.3">
      <c r="G65" s="1208"/>
      <c r="H65" s="1208"/>
    </row>
    <row r="66" spans="7:8" x14ac:dyDescent="0.3">
      <c r="G66" s="1208"/>
      <c r="H66" s="1208"/>
    </row>
    <row r="67" spans="7:8" x14ac:dyDescent="0.3">
      <c r="G67" s="1208"/>
      <c r="H67" s="1208"/>
    </row>
    <row r="68" spans="7:8" x14ac:dyDescent="0.3">
      <c r="G68" s="1208"/>
      <c r="H68" s="1208"/>
    </row>
    <row r="69" spans="7:8" x14ac:dyDescent="0.3">
      <c r="G69" s="1208"/>
      <c r="H69" s="1208"/>
    </row>
    <row r="70" spans="7:8" x14ac:dyDescent="0.3">
      <c r="G70" s="1208"/>
      <c r="H70" s="1208"/>
    </row>
    <row r="71" spans="7:8" x14ac:dyDescent="0.3">
      <c r="G71" s="1208"/>
      <c r="H71" s="1208"/>
    </row>
    <row r="72" spans="7:8" x14ac:dyDescent="0.3">
      <c r="G72" s="1208"/>
      <c r="H72" s="1208"/>
    </row>
    <row r="73" spans="7:8" x14ac:dyDescent="0.3">
      <c r="G73" s="1208"/>
      <c r="H73" s="1208"/>
    </row>
    <row r="74" spans="7:8" x14ac:dyDescent="0.3">
      <c r="G74" s="1208"/>
      <c r="H74" s="1208"/>
    </row>
    <row r="75" spans="7:8" x14ac:dyDescent="0.3">
      <c r="G75" s="1208"/>
      <c r="H75" s="1208"/>
    </row>
    <row r="76" spans="7:8" x14ac:dyDescent="0.3">
      <c r="G76" s="1208"/>
      <c r="H76" s="1208"/>
    </row>
    <row r="77" spans="7:8" x14ac:dyDescent="0.3">
      <c r="G77" s="1208"/>
      <c r="H77" s="1208"/>
    </row>
    <row r="78" spans="7:8" x14ac:dyDescent="0.3">
      <c r="G78" s="1208"/>
      <c r="H78" s="1208"/>
    </row>
    <row r="79" spans="7:8" x14ac:dyDescent="0.3">
      <c r="G79" s="1208"/>
      <c r="H79" s="1208"/>
    </row>
    <row r="80" spans="7:8" x14ac:dyDescent="0.3">
      <c r="G80" s="1208"/>
      <c r="H80" s="1208"/>
    </row>
    <row r="81" spans="7:8" x14ac:dyDescent="0.3">
      <c r="G81" s="1208"/>
      <c r="H81" s="1208"/>
    </row>
    <row r="82" spans="7:8" x14ac:dyDescent="0.3">
      <c r="G82" s="1208"/>
      <c r="H82" s="1208"/>
    </row>
    <row r="83" spans="7:8" x14ac:dyDescent="0.3">
      <c r="G83" s="1208"/>
      <c r="H83" s="1208"/>
    </row>
    <row r="84" spans="7:8" x14ac:dyDescent="0.3">
      <c r="G84" s="1208"/>
      <c r="H84" s="1208"/>
    </row>
    <row r="85" spans="7:8" x14ac:dyDescent="0.3">
      <c r="G85" s="1208"/>
      <c r="H85" s="1208"/>
    </row>
    <row r="86" spans="7:8" x14ac:dyDescent="0.3">
      <c r="G86" s="1208"/>
      <c r="H86" s="1208"/>
    </row>
    <row r="87" spans="7:8" x14ac:dyDescent="0.3">
      <c r="G87" s="1208"/>
      <c r="H87" s="1208"/>
    </row>
    <row r="88" spans="7:8" x14ac:dyDescent="0.3">
      <c r="G88" s="1208"/>
      <c r="H88" s="1208"/>
    </row>
    <row r="89" spans="7:8" x14ac:dyDescent="0.3">
      <c r="G89" s="1208"/>
      <c r="H89" s="1208"/>
    </row>
    <row r="90" spans="7:8" x14ac:dyDescent="0.3">
      <c r="G90" s="1208"/>
      <c r="H90" s="1208"/>
    </row>
    <row r="91" spans="7:8" x14ac:dyDescent="0.3">
      <c r="G91" s="1208"/>
      <c r="H91" s="1208"/>
    </row>
    <row r="92" spans="7:8" x14ac:dyDescent="0.3">
      <c r="G92" s="1208"/>
      <c r="H92" s="1208"/>
    </row>
    <row r="93" spans="7:8" x14ac:dyDescent="0.3">
      <c r="G93" s="1208"/>
      <c r="H93" s="1208"/>
    </row>
    <row r="94" spans="7:8" x14ac:dyDescent="0.3">
      <c r="G94" s="1208"/>
      <c r="H94" s="1208"/>
    </row>
    <row r="95" spans="7:8" x14ac:dyDescent="0.3">
      <c r="G95" s="1208"/>
      <c r="H95" s="1208"/>
    </row>
    <row r="96" spans="7:8" x14ac:dyDescent="0.3">
      <c r="G96" s="1208"/>
      <c r="H96" s="1208"/>
    </row>
    <row r="97" spans="7:8" x14ac:dyDescent="0.3">
      <c r="G97" s="1208"/>
      <c r="H97" s="1208"/>
    </row>
    <row r="98" spans="7:8" x14ac:dyDescent="0.3">
      <c r="G98" s="1208"/>
      <c r="H98" s="1208"/>
    </row>
    <row r="99" spans="7:8" x14ac:dyDescent="0.3">
      <c r="G99" s="1208"/>
      <c r="H99" s="1208"/>
    </row>
    <row r="100" spans="7:8" x14ac:dyDescent="0.3">
      <c r="G100" s="1208"/>
      <c r="H100" s="1208"/>
    </row>
    <row r="101" spans="7:8" x14ac:dyDescent="0.3">
      <c r="G101" s="1208"/>
      <c r="H101" s="1208"/>
    </row>
    <row r="102" spans="7:8" x14ac:dyDescent="0.3">
      <c r="G102" s="1208"/>
      <c r="H102" s="1208"/>
    </row>
    <row r="103" spans="7:8" x14ac:dyDescent="0.3">
      <c r="G103" s="1208"/>
      <c r="H103" s="1208"/>
    </row>
    <row r="104" spans="7:8" x14ac:dyDescent="0.3">
      <c r="G104" s="1208"/>
      <c r="H104" s="1208"/>
    </row>
    <row r="105" spans="7:8" x14ac:dyDescent="0.3">
      <c r="G105" s="1208"/>
      <c r="H105" s="1208"/>
    </row>
    <row r="106" spans="7:8" x14ac:dyDescent="0.3">
      <c r="G106" s="1208"/>
      <c r="H106" s="1208"/>
    </row>
    <row r="107" spans="7:8" x14ac:dyDescent="0.3">
      <c r="G107" s="1208"/>
      <c r="H107" s="1208"/>
    </row>
    <row r="108" spans="7:8" x14ac:dyDescent="0.3">
      <c r="G108" s="1208"/>
      <c r="H108" s="1208"/>
    </row>
    <row r="109" spans="7:8" x14ac:dyDescent="0.3">
      <c r="G109" s="1208"/>
      <c r="H109" s="1208"/>
    </row>
    <row r="110" spans="7:8" x14ac:dyDescent="0.3">
      <c r="G110" s="1208"/>
      <c r="H110" s="1208"/>
    </row>
    <row r="111" spans="7:8" x14ac:dyDescent="0.3">
      <c r="G111" s="1208"/>
      <c r="H111" s="1208"/>
    </row>
    <row r="112" spans="7:8" x14ac:dyDescent="0.3">
      <c r="G112" s="1208"/>
      <c r="H112" s="1208"/>
    </row>
    <row r="113" spans="7:8" x14ac:dyDescent="0.3">
      <c r="G113" s="1208"/>
      <c r="H113" s="1208"/>
    </row>
    <row r="114" spans="7:8" x14ac:dyDescent="0.3">
      <c r="G114" s="1208"/>
      <c r="H114" s="1208"/>
    </row>
    <row r="115" spans="7:8" x14ac:dyDescent="0.3">
      <c r="G115" s="1208"/>
      <c r="H115" s="1208"/>
    </row>
    <row r="116" spans="7:8" x14ac:dyDescent="0.3">
      <c r="G116" s="1208"/>
      <c r="H116" s="1208"/>
    </row>
    <row r="117" spans="7:8" x14ac:dyDescent="0.3">
      <c r="G117" s="1208"/>
      <c r="H117" s="1208"/>
    </row>
    <row r="118" spans="7:8" x14ac:dyDescent="0.3">
      <c r="G118" s="1208"/>
      <c r="H118" s="1208"/>
    </row>
    <row r="119" spans="7:8" x14ac:dyDescent="0.3">
      <c r="G119" s="1208"/>
      <c r="H119" s="1208"/>
    </row>
    <row r="120" spans="7:8" x14ac:dyDescent="0.3">
      <c r="G120" s="1208"/>
      <c r="H120" s="1208"/>
    </row>
    <row r="121" spans="7:8" x14ac:dyDescent="0.3">
      <c r="G121" s="1208"/>
      <c r="H121" s="1208"/>
    </row>
    <row r="122" spans="7:8" x14ac:dyDescent="0.3">
      <c r="G122" s="1208"/>
      <c r="H122" s="1208"/>
    </row>
    <row r="123" spans="7:8" x14ac:dyDescent="0.3">
      <c r="G123" s="1208"/>
      <c r="H123" s="1208"/>
    </row>
    <row r="124" spans="7:8" x14ac:dyDescent="0.3">
      <c r="G124" s="1208"/>
      <c r="H124" s="1208"/>
    </row>
    <row r="125" spans="7:8" x14ac:dyDescent="0.3">
      <c r="G125" s="1208"/>
      <c r="H125" s="1208"/>
    </row>
    <row r="126" spans="7:8" x14ac:dyDescent="0.3">
      <c r="G126" s="1208"/>
      <c r="H126" s="1208"/>
    </row>
    <row r="127" spans="7:8" x14ac:dyDescent="0.3">
      <c r="G127" s="1208"/>
      <c r="H127" s="1208"/>
    </row>
    <row r="128" spans="7:8" x14ac:dyDescent="0.3">
      <c r="G128" s="1208"/>
      <c r="H128" s="1208"/>
    </row>
    <row r="129" spans="7:8" x14ac:dyDescent="0.3">
      <c r="G129" s="1208"/>
      <c r="H129" s="1208"/>
    </row>
    <row r="130" spans="7:8" x14ac:dyDescent="0.3">
      <c r="G130" s="1208"/>
      <c r="H130" s="1208"/>
    </row>
    <row r="131" spans="7:8" x14ac:dyDescent="0.3">
      <c r="G131" s="1208"/>
      <c r="H131" s="1208"/>
    </row>
    <row r="132" spans="7:8" x14ac:dyDescent="0.3">
      <c r="G132" s="1208"/>
      <c r="H132" s="1208"/>
    </row>
    <row r="133" spans="7:8" x14ac:dyDescent="0.3">
      <c r="G133" s="1208"/>
      <c r="H133" s="1208"/>
    </row>
    <row r="134" spans="7:8" x14ac:dyDescent="0.3">
      <c r="G134" s="1208"/>
      <c r="H134" s="1208"/>
    </row>
    <row r="135" spans="7:8" x14ac:dyDescent="0.3">
      <c r="G135" s="1208"/>
      <c r="H135" s="1208"/>
    </row>
    <row r="136" spans="7:8" x14ac:dyDescent="0.3">
      <c r="G136" s="1208"/>
      <c r="H136" s="1208"/>
    </row>
    <row r="137" spans="7:8" x14ac:dyDescent="0.3">
      <c r="G137" s="1208"/>
      <c r="H137" s="1208"/>
    </row>
    <row r="138" spans="7:8" x14ac:dyDescent="0.3">
      <c r="G138" s="1208"/>
      <c r="H138" s="1208"/>
    </row>
    <row r="139" spans="7:8" x14ac:dyDescent="0.3">
      <c r="G139" s="1208"/>
      <c r="H139" s="1208"/>
    </row>
    <row r="140" spans="7:8" x14ac:dyDescent="0.3">
      <c r="G140" s="1208"/>
      <c r="H140" s="1208"/>
    </row>
    <row r="141" spans="7:8" x14ac:dyDescent="0.3">
      <c r="G141" s="1208"/>
      <c r="H141" s="1208"/>
    </row>
    <row r="142" spans="7:8" x14ac:dyDescent="0.3">
      <c r="G142" s="1208"/>
      <c r="H142" s="1208"/>
    </row>
    <row r="143" spans="7:8" x14ac:dyDescent="0.3">
      <c r="G143" s="1208"/>
      <c r="H143" s="1208"/>
    </row>
    <row r="144" spans="7:8" x14ac:dyDescent="0.3">
      <c r="G144" s="1208"/>
      <c r="H144" s="1208"/>
    </row>
    <row r="145" spans="7:8" x14ac:dyDescent="0.3">
      <c r="G145" s="1208"/>
      <c r="H145" s="1208"/>
    </row>
    <row r="146" spans="7:8" x14ac:dyDescent="0.3">
      <c r="G146" s="1208"/>
      <c r="H146" s="1208"/>
    </row>
    <row r="147" spans="7:8" x14ac:dyDescent="0.3">
      <c r="G147" s="1208"/>
      <c r="H147" s="1208"/>
    </row>
    <row r="148" spans="7:8" x14ac:dyDescent="0.3">
      <c r="G148" s="1208"/>
      <c r="H148" s="1208"/>
    </row>
    <row r="149" spans="7:8" x14ac:dyDescent="0.3">
      <c r="G149" s="1208"/>
      <c r="H149" s="1208"/>
    </row>
    <row r="150" spans="7:8" x14ac:dyDescent="0.3">
      <c r="G150" s="1208"/>
      <c r="H150" s="1208"/>
    </row>
    <row r="151" spans="7:8" x14ac:dyDescent="0.3">
      <c r="G151" s="1208"/>
      <c r="H151" s="1208"/>
    </row>
    <row r="152" spans="7:8" x14ac:dyDescent="0.3">
      <c r="G152" s="1208"/>
      <c r="H152" s="1208"/>
    </row>
    <row r="153" spans="7:8" x14ac:dyDescent="0.3">
      <c r="G153" s="1208"/>
      <c r="H153" s="1208"/>
    </row>
    <row r="154" spans="7:8" x14ac:dyDescent="0.3">
      <c r="G154" s="1208"/>
      <c r="H154" s="1208"/>
    </row>
    <row r="155" spans="7:8" x14ac:dyDescent="0.3">
      <c r="G155" s="1208"/>
      <c r="H155" s="1208"/>
    </row>
    <row r="156" spans="7:8" x14ac:dyDescent="0.3">
      <c r="G156" s="1208"/>
      <c r="H156" s="1208"/>
    </row>
    <row r="157" spans="7:8" x14ac:dyDescent="0.3">
      <c r="G157" s="1208"/>
      <c r="H157" s="1208"/>
    </row>
    <row r="158" spans="7:8" x14ac:dyDescent="0.3">
      <c r="G158" s="1208"/>
      <c r="H158" s="1208"/>
    </row>
    <row r="159" spans="7:8" x14ac:dyDescent="0.3">
      <c r="G159" s="1208"/>
      <c r="H159" s="1208"/>
    </row>
    <row r="160" spans="7:8" x14ac:dyDescent="0.3">
      <c r="G160" s="1208"/>
      <c r="H160" s="1208"/>
    </row>
    <row r="161" spans="7:8" x14ac:dyDescent="0.3">
      <c r="G161" s="1208"/>
      <c r="H161" s="1208"/>
    </row>
    <row r="162" spans="7:8" x14ac:dyDescent="0.3">
      <c r="G162" s="1208"/>
      <c r="H162" s="1208"/>
    </row>
    <row r="163" spans="7:8" x14ac:dyDescent="0.3">
      <c r="G163" s="1208"/>
      <c r="H163" s="1208"/>
    </row>
    <row r="164" spans="7:8" x14ac:dyDescent="0.3">
      <c r="G164" s="1208"/>
      <c r="H164" s="1208"/>
    </row>
    <row r="165" spans="7:8" x14ac:dyDescent="0.3">
      <c r="G165" s="1208"/>
      <c r="H165" s="1208"/>
    </row>
    <row r="166" spans="7:8" x14ac:dyDescent="0.3">
      <c r="G166" s="1208"/>
      <c r="H166" s="1208"/>
    </row>
    <row r="167" spans="7:8" x14ac:dyDescent="0.3">
      <c r="G167" s="1208"/>
      <c r="H167" s="1208"/>
    </row>
    <row r="168" spans="7:8" x14ac:dyDescent="0.3">
      <c r="G168" s="1208"/>
      <c r="H168" s="1208"/>
    </row>
    <row r="169" spans="7:8" x14ac:dyDescent="0.3">
      <c r="G169" s="1208"/>
      <c r="H169" s="1208"/>
    </row>
    <row r="170" spans="7:8" x14ac:dyDescent="0.3">
      <c r="G170" s="1208"/>
      <c r="H170" s="1208"/>
    </row>
    <row r="171" spans="7:8" x14ac:dyDescent="0.3">
      <c r="G171" s="1208"/>
      <c r="H171" s="1208"/>
    </row>
    <row r="172" spans="7:8" x14ac:dyDescent="0.3">
      <c r="G172" s="1208"/>
      <c r="H172" s="1208"/>
    </row>
    <row r="173" spans="7:8" x14ac:dyDescent="0.3">
      <c r="G173" s="1208"/>
      <c r="H173" s="1208"/>
    </row>
    <row r="174" spans="7:8" x14ac:dyDescent="0.3">
      <c r="G174" s="1208"/>
      <c r="H174" s="1208"/>
    </row>
    <row r="175" spans="7:8" x14ac:dyDescent="0.3">
      <c r="G175" s="1208"/>
      <c r="H175" s="1208"/>
    </row>
    <row r="176" spans="7:8" x14ac:dyDescent="0.3">
      <c r="G176" s="1208"/>
      <c r="H176" s="1208"/>
    </row>
    <row r="177" spans="7:8" x14ac:dyDescent="0.3">
      <c r="G177" s="1208"/>
      <c r="H177" s="1208"/>
    </row>
    <row r="178" spans="7:8" x14ac:dyDescent="0.3">
      <c r="G178" s="1208"/>
      <c r="H178" s="1208"/>
    </row>
    <row r="179" spans="7:8" x14ac:dyDescent="0.3">
      <c r="G179" s="1208"/>
      <c r="H179" s="1208"/>
    </row>
    <row r="180" spans="7:8" x14ac:dyDescent="0.3">
      <c r="G180" s="1208"/>
      <c r="H180" s="1208"/>
    </row>
    <row r="181" spans="7:8" x14ac:dyDescent="0.3">
      <c r="G181" s="1208"/>
      <c r="H181" s="1208"/>
    </row>
    <row r="182" spans="7:8" x14ac:dyDescent="0.3">
      <c r="G182" s="1208"/>
      <c r="H182" s="1208"/>
    </row>
    <row r="183" spans="7:8" x14ac:dyDescent="0.3">
      <c r="G183" s="1208"/>
      <c r="H183" s="1208"/>
    </row>
    <row r="184" spans="7:8" x14ac:dyDescent="0.3">
      <c r="G184" s="1208"/>
      <c r="H184" s="1208"/>
    </row>
    <row r="185" spans="7:8" x14ac:dyDescent="0.3">
      <c r="G185" s="1208"/>
      <c r="H185" s="1208"/>
    </row>
    <row r="186" spans="7:8" x14ac:dyDescent="0.3">
      <c r="G186" s="1208"/>
      <c r="H186" s="1208"/>
    </row>
    <row r="187" spans="7:8" x14ac:dyDescent="0.3">
      <c r="G187" s="1208"/>
      <c r="H187" s="1208"/>
    </row>
    <row r="188" spans="7:8" x14ac:dyDescent="0.3">
      <c r="G188" s="1208"/>
      <c r="H188" s="1208"/>
    </row>
    <row r="189" spans="7:8" x14ac:dyDescent="0.3">
      <c r="G189" s="1208"/>
      <c r="H189" s="1208"/>
    </row>
    <row r="190" spans="7:8" x14ac:dyDescent="0.3">
      <c r="G190" s="1208"/>
      <c r="H190" s="1208"/>
    </row>
    <row r="191" spans="7:8" x14ac:dyDescent="0.3">
      <c r="G191" s="1208"/>
      <c r="H191" s="1208"/>
    </row>
    <row r="192" spans="7:8" x14ac:dyDescent="0.3">
      <c r="G192" s="1208"/>
      <c r="H192" s="1208"/>
    </row>
    <row r="193" spans="7:8" x14ac:dyDescent="0.3">
      <c r="G193" s="1208"/>
      <c r="H193" s="1208"/>
    </row>
    <row r="194" spans="7:8" x14ac:dyDescent="0.3">
      <c r="G194" s="1208"/>
      <c r="H194" s="1208"/>
    </row>
    <row r="195" spans="7:8" x14ac:dyDescent="0.3">
      <c r="G195" s="1208"/>
      <c r="H195" s="1208"/>
    </row>
    <row r="196" spans="7:8" x14ac:dyDescent="0.3">
      <c r="G196" s="1208"/>
      <c r="H196" s="1208"/>
    </row>
    <row r="197" spans="7:8" x14ac:dyDescent="0.3">
      <c r="G197" s="1208"/>
      <c r="H197" s="1208"/>
    </row>
    <row r="198" spans="7:8" x14ac:dyDescent="0.3">
      <c r="G198" s="1208"/>
      <c r="H198" s="1208"/>
    </row>
    <row r="199" spans="7:8" x14ac:dyDescent="0.3">
      <c r="G199" s="1208"/>
      <c r="H199" s="1208"/>
    </row>
    <row r="200" spans="7:8" x14ac:dyDescent="0.3">
      <c r="G200" s="1208"/>
      <c r="H200" s="1208"/>
    </row>
    <row r="201" spans="7:8" x14ac:dyDescent="0.3">
      <c r="G201" s="1208"/>
      <c r="H201" s="1208"/>
    </row>
    <row r="202" spans="7:8" x14ac:dyDescent="0.3">
      <c r="G202" s="1208"/>
      <c r="H202" s="1208"/>
    </row>
    <row r="203" spans="7:8" x14ac:dyDescent="0.3">
      <c r="G203" s="1208"/>
      <c r="H203" s="1208"/>
    </row>
    <row r="204" spans="7:8" x14ac:dyDescent="0.3">
      <c r="G204" s="1208"/>
      <c r="H204" s="1208"/>
    </row>
    <row r="205" spans="7:8" x14ac:dyDescent="0.3">
      <c r="G205" s="1208"/>
      <c r="H205" s="1208"/>
    </row>
    <row r="206" spans="7:8" x14ac:dyDescent="0.3">
      <c r="G206" s="1208"/>
      <c r="H206" s="1208"/>
    </row>
    <row r="207" spans="7:8" x14ac:dyDescent="0.3">
      <c r="G207" s="1208"/>
      <c r="H207" s="1208"/>
    </row>
    <row r="208" spans="7:8" x14ac:dyDescent="0.3">
      <c r="G208" s="1208"/>
      <c r="H208" s="1208"/>
    </row>
    <row r="209" spans="7:8" x14ac:dyDescent="0.3">
      <c r="G209" s="1208"/>
      <c r="H209" s="1208"/>
    </row>
    <row r="210" spans="7:8" x14ac:dyDescent="0.3">
      <c r="G210" s="1208"/>
      <c r="H210" s="1208"/>
    </row>
    <row r="211" spans="7:8" x14ac:dyDescent="0.3">
      <c r="G211" s="1208"/>
      <c r="H211" s="1208"/>
    </row>
    <row r="212" spans="7:8" x14ac:dyDescent="0.3">
      <c r="G212" s="1208"/>
      <c r="H212" s="1208"/>
    </row>
    <row r="213" spans="7:8" x14ac:dyDescent="0.3">
      <c r="G213" s="1208"/>
      <c r="H213" s="1208"/>
    </row>
    <row r="214" spans="7:8" x14ac:dyDescent="0.3">
      <c r="G214" s="1208"/>
      <c r="H214" s="1208"/>
    </row>
    <row r="215" spans="7:8" x14ac:dyDescent="0.3">
      <c r="G215" s="1208"/>
      <c r="H215" s="1208"/>
    </row>
    <row r="216" spans="7:8" x14ac:dyDescent="0.3">
      <c r="G216" s="1208"/>
      <c r="H216" s="1208"/>
    </row>
    <row r="217" spans="7:8" x14ac:dyDescent="0.3">
      <c r="G217" s="1208"/>
      <c r="H217" s="1208"/>
    </row>
    <row r="218" spans="7:8" x14ac:dyDescent="0.3">
      <c r="G218" s="1208"/>
      <c r="H218" s="1208"/>
    </row>
    <row r="219" spans="7:8" x14ac:dyDescent="0.3">
      <c r="G219" s="1208"/>
      <c r="H219" s="1208"/>
    </row>
    <row r="220" spans="7:8" x14ac:dyDescent="0.3">
      <c r="G220" s="1208"/>
      <c r="H220" s="1208"/>
    </row>
    <row r="221" spans="7:8" x14ac:dyDescent="0.3">
      <c r="G221" s="1208"/>
      <c r="H221" s="1208"/>
    </row>
    <row r="222" spans="7:8" x14ac:dyDescent="0.3">
      <c r="G222" s="1208"/>
      <c r="H222" s="1208"/>
    </row>
    <row r="223" spans="7:8" x14ac:dyDescent="0.3">
      <c r="G223" s="1208"/>
      <c r="H223" s="1208"/>
    </row>
    <row r="224" spans="7:8" x14ac:dyDescent="0.3">
      <c r="G224" s="1208"/>
      <c r="H224" s="1208"/>
    </row>
    <row r="225" spans="7:8" x14ac:dyDescent="0.3">
      <c r="G225" s="1208"/>
      <c r="H225" s="1208"/>
    </row>
    <row r="226" spans="7:8" x14ac:dyDescent="0.3">
      <c r="G226" s="1208"/>
      <c r="H226" s="1208"/>
    </row>
    <row r="227" spans="7:8" x14ac:dyDescent="0.3">
      <c r="G227" s="1208"/>
      <c r="H227" s="1208"/>
    </row>
    <row r="228" spans="7:8" x14ac:dyDescent="0.3">
      <c r="G228" s="1208"/>
      <c r="H228" s="1208"/>
    </row>
    <row r="229" spans="7:8" x14ac:dyDescent="0.3">
      <c r="G229" s="1208"/>
      <c r="H229" s="1208"/>
    </row>
    <row r="230" spans="7:8" x14ac:dyDescent="0.3">
      <c r="G230" s="1208"/>
      <c r="H230" s="1208"/>
    </row>
    <row r="231" spans="7:8" x14ac:dyDescent="0.3">
      <c r="G231" s="1208"/>
      <c r="H231" s="1208"/>
    </row>
    <row r="232" spans="7:8" x14ac:dyDescent="0.3">
      <c r="G232" s="1208"/>
      <c r="H232" s="1208"/>
    </row>
    <row r="233" spans="7:8" x14ac:dyDescent="0.3">
      <c r="G233" s="1208"/>
      <c r="H233" s="1208"/>
    </row>
    <row r="234" spans="7:8" x14ac:dyDescent="0.3">
      <c r="G234" s="1208"/>
      <c r="H234" s="1208"/>
    </row>
    <row r="235" spans="7:8" x14ac:dyDescent="0.3">
      <c r="G235" s="1208"/>
      <c r="H235" s="1208"/>
    </row>
    <row r="236" spans="7:8" x14ac:dyDescent="0.3">
      <c r="G236" s="1208"/>
      <c r="H236" s="1208"/>
    </row>
    <row r="237" spans="7:8" x14ac:dyDescent="0.3">
      <c r="G237" s="1208"/>
      <c r="H237" s="1208"/>
    </row>
    <row r="238" spans="7:8" x14ac:dyDescent="0.3">
      <c r="G238" s="1208"/>
      <c r="H238" s="1208"/>
    </row>
    <row r="239" spans="7:8" x14ac:dyDescent="0.3">
      <c r="G239" s="1208"/>
      <c r="H239" s="1208"/>
    </row>
    <row r="240" spans="7:8" x14ac:dyDescent="0.3">
      <c r="G240" s="1208"/>
      <c r="H240" s="1208"/>
    </row>
    <row r="241" spans="7:8" x14ac:dyDescent="0.3">
      <c r="G241" s="1208"/>
      <c r="H241" s="1208"/>
    </row>
    <row r="242" spans="7:8" x14ac:dyDescent="0.3">
      <c r="G242" s="1208"/>
      <c r="H242" s="1208"/>
    </row>
    <row r="243" spans="7:8" x14ac:dyDescent="0.3">
      <c r="G243" s="1208"/>
      <c r="H243" s="1208"/>
    </row>
    <row r="244" spans="7:8" x14ac:dyDescent="0.3">
      <c r="G244" s="1208"/>
      <c r="H244" s="1208"/>
    </row>
    <row r="245" spans="7:8" x14ac:dyDescent="0.3">
      <c r="G245" s="1208"/>
      <c r="H245" s="1208"/>
    </row>
    <row r="246" spans="7:8" x14ac:dyDescent="0.3">
      <c r="G246" s="1208"/>
      <c r="H246" s="1208"/>
    </row>
    <row r="247" spans="7:8" x14ac:dyDescent="0.3">
      <c r="G247" s="1208"/>
      <c r="H247" s="1208"/>
    </row>
    <row r="248" spans="7:8" x14ac:dyDescent="0.3">
      <c r="G248" s="1208"/>
      <c r="H248" s="1208"/>
    </row>
    <row r="249" spans="7:8" x14ac:dyDescent="0.3">
      <c r="G249" s="1208"/>
      <c r="H249" s="1208"/>
    </row>
    <row r="250" spans="7:8" x14ac:dyDescent="0.3">
      <c r="G250" s="1208"/>
      <c r="H250" s="1208"/>
    </row>
    <row r="251" spans="7:8" x14ac:dyDescent="0.3">
      <c r="G251" s="1208"/>
      <c r="H251" s="1208"/>
    </row>
    <row r="252" spans="7:8" x14ac:dyDescent="0.3">
      <c r="G252" s="1208"/>
      <c r="H252" s="1208"/>
    </row>
    <row r="253" spans="7:8" x14ac:dyDescent="0.3">
      <c r="G253" s="1208"/>
      <c r="H253" s="1208"/>
    </row>
    <row r="254" spans="7:8" x14ac:dyDescent="0.3">
      <c r="G254" s="1208"/>
      <c r="H254" s="1208"/>
    </row>
    <row r="255" spans="7:8" x14ac:dyDescent="0.3">
      <c r="G255" s="1208"/>
      <c r="H255" s="1208"/>
    </row>
    <row r="256" spans="7:8" x14ac:dyDescent="0.3">
      <c r="G256" s="1208"/>
      <c r="H256" s="1208"/>
    </row>
    <row r="257" spans="7:8" x14ac:dyDescent="0.3">
      <c r="G257" s="1208"/>
      <c r="H257" s="1208"/>
    </row>
    <row r="258" spans="7:8" x14ac:dyDescent="0.3">
      <c r="G258" s="1208"/>
      <c r="H258" s="1208"/>
    </row>
    <row r="259" spans="7:8" x14ac:dyDescent="0.3">
      <c r="G259" s="1208"/>
      <c r="H259" s="1208"/>
    </row>
    <row r="260" spans="7:8" x14ac:dyDescent="0.3">
      <c r="G260" s="1208"/>
      <c r="H260" s="1208"/>
    </row>
    <row r="261" spans="7:8" x14ac:dyDescent="0.3">
      <c r="G261" s="1208"/>
      <c r="H261" s="1208"/>
    </row>
    <row r="262" spans="7:8" x14ac:dyDescent="0.3">
      <c r="G262" s="1208"/>
      <c r="H262" s="1208"/>
    </row>
    <row r="263" spans="7:8" x14ac:dyDescent="0.3">
      <c r="G263" s="1208"/>
      <c r="H263" s="1208"/>
    </row>
    <row r="264" spans="7:8" x14ac:dyDescent="0.3">
      <c r="G264" s="1208"/>
      <c r="H264" s="1208"/>
    </row>
    <row r="265" spans="7:8" x14ac:dyDescent="0.3">
      <c r="G265" s="1208"/>
      <c r="H265" s="1208"/>
    </row>
    <row r="266" spans="7:8" x14ac:dyDescent="0.3">
      <c r="G266" s="1208"/>
      <c r="H266" s="1208"/>
    </row>
    <row r="267" spans="7:8" x14ac:dyDescent="0.3">
      <c r="G267" s="1208"/>
      <c r="H267" s="1208"/>
    </row>
    <row r="268" spans="7:8" x14ac:dyDescent="0.3">
      <c r="G268" s="1208"/>
      <c r="H268" s="1208"/>
    </row>
    <row r="269" spans="7:8" x14ac:dyDescent="0.3">
      <c r="G269" s="1208"/>
      <c r="H269" s="1208"/>
    </row>
    <row r="270" spans="7:8" x14ac:dyDescent="0.3">
      <c r="G270" s="1208"/>
      <c r="H270" s="1208"/>
    </row>
    <row r="271" spans="7:8" x14ac:dyDescent="0.3">
      <c r="G271" s="1208"/>
      <c r="H271" s="1208"/>
    </row>
    <row r="272" spans="7:8" x14ac:dyDescent="0.3">
      <c r="G272" s="1208"/>
      <c r="H272" s="1208"/>
    </row>
    <row r="273" spans="7:8" x14ac:dyDescent="0.3">
      <c r="G273" s="1208"/>
      <c r="H273" s="1208"/>
    </row>
    <row r="274" spans="7:8" x14ac:dyDescent="0.3">
      <c r="G274" s="1208"/>
      <c r="H274" s="1208"/>
    </row>
    <row r="275" spans="7:8" x14ac:dyDescent="0.3">
      <c r="G275" s="1208"/>
      <c r="H275" s="1208"/>
    </row>
    <row r="276" spans="7:8" x14ac:dyDescent="0.3">
      <c r="G276" s="1208"/>
      <c r="H276" s="1208"/>
    </row>
    <row r="277" spans="7:8" x14ac:dyDescent="0.3">
      <c r="G277" s="1208"/>
      <c r="H277" s="1208"/>
    </row>
    <row r="278" spans="7:8" x14ac:dyDescent="0.3">
      <c r="G278" s="1208"/>
      <c r="H278" s="1208"/>
    </row>
    <row r="279" spans="7:8" x14ac:dyDescent="0.3">
      <c r="G279" s="1208"/>
      <c r="H279" s="1208"/>
    </row>
    <row r="280" spans="7:8" x14ac:dyDescent="0.3">
      <c r="G280" s="1208"/>
      <c r="H280" s="1208"/>
    </row>
    <row r="281" spans="7:8" x14ac:dyDescent="0.3">
      <c r="G281" s="1208"/>
      <c r="H281" s="1208"/>
    </row>
    <row r="282" spans="7:8" x14ac:dyDescent="0.3">
      <c r="G282" s="1208"/>
      <c r="H282" s="1208"/>
    </row>
    <row r="283" spans="7:8" x14ac:dyDescent="0.3">
      <c r="G283" s="1208"/>
      <c r="H283" s="1208"/>
    </row>
    <row r="284" spans="7:8" x14ac:dyDescent="0.3">
      <c r="G284" s="1208"/>
      <c r="H284" s="1208"/>
    </row>
    <row r="285" spans="7:8" x14ac:dyDescent="0.3">
      <c r="G285" s="1208"/>
      <c r="H285" s="1208"/>
    </row>
    <row r="286" spans="7:8" x14ac:dyDescent="0.3">
      <c r="G286" s="1208"/>
      <c r="H286" s="1208"/>
    </row>
    <row r="287" spans="7:8" x14ac:dyDescent="0.3">
      <c r="G287" s="1208"/>
      <c r="H287" s="1208"/>
    </row>
    <row r="288" spans="7:8" x14ac:dyDescent="0.3">
      <c r="G288" s="1208"/>
      <c r="H288" s="1208"/>
    </row>
    <row r="289" spans="7:8" x14ac:dyDescent="0.3">
      <c r="G289" s="1208"/>
      <c r="H289" s="1208"/>
    </row>
    <row r="290" spans="7:8" x14ac:dyDescent="0.3">
      <c r="G290" s="1208"/>
      <c r="H290" s="1208"/>
    </row>
    <row r="291" spans="7:8" x14ac:dyDescent="0.3">
      <c r="G291" s="1208"/>
      <c r="H291" s="1208"/>
    </row>
    <row r="292" spans="7:8" x14ac:dyDescent="0.3">
      <c r="G292" s="1208"/>
      <c r="H292" s="1208"/>
    </row>
    <row r="293" spans="7:8" x14ac:dyDescent="0.3">
      <c r="G293" s="1208"/>
      <c r="H293" s="1208"/>
    </row>
    <row r="294" spans="7:8" x14ac:dyDescent="0.3">
      <c r="G294" s="1208"/>
      <c r="H294" s="1208"/>
    </row>
    <row r="295" spans="7:8" x14ac:dyDescent="0.3">
      <c r="G295" s="1208"/>
      <c r="H295" s="1208"/>
    </row>
    <row r="296" spans="7:8" x14ac:dyDescent="0.3">
      <c r="G296" s="1208"/>
      <c r="H296" s="1208"/>
    </row>
    <row r="297" spans="7:8" x14ac:dyDescent="0.3">
      <c r="G297" s="1208"/>
      <c r="H297" s="1208"/>
    </row>
    <row r="298" spans="7:8" x14ac:dyDescent="0.3">
      <c r="G298" s="1208"/>
      <c r="H298" s="1208"/>
    </row>
    <row r="299" spans="7:8" x14ac:dyDescent="0.3">
      <c r="G299" s="1208"/>
      <c r="H299" s="1208"/>
    </row>
    <row r="300" spans="7:8" x14ac:dyDescent="0.3">
      <c r="G300" s="1208"/>
      <c r="H300" s="1208"/>
    </row>
    <row r="301" spans="7:8" x14ac:dyDescent="0.3">
      <c r="G301" s="1208"/>
      <c r="H301" s="1208"/>
    </row>
    <row r="302" spans="7:8" x14ac:dyDescent="0.3">
      <c r="G302" s="1208"/>
      <c r="H302" s="1208"/>
    </row>
    <row r="303" spans="7:8" x14ac:dyDescent="0.3">
      <c r="G303" s="1208"/>
      <c r="H303" s="1208"/>
    </row>
    <row r="304" spans="7:8" x14ac:dyDescent="0.3">
      <c r="G304" s="1208"/>
      <c r="H304" s="1208"/>
    </row>
    <row r="305" spans="7:8" x14ac:dyDescent="0.3">
      <c r="G305" s="1208"/>
      <c r="H305" s="1208"/>
    </row>
    <row r="306" spans="7:8" x14ac:dyDescent="0.3">
      <c r="G306" s="1208"/>
      <c r="H306" s="1208"/>
    </row>
    <row r="307" spans="7:8" x14ac:dyDescent="0.3">
      <c r="G307" s="1208"/>
      <c r="H307" s="1208"/>
    </row>
    <row r="308" spans="7:8" x14ac:dyDescent="0.3">
      <c r="G308" s="1208"/>
      <c r="H308" s="1208"/>
    </row>
    <row r="309" spans="7:8" x14ac:dyDescent="0.3">
      <c r="G309" s="1208"/>
      <c r="H309" s="1208"/>
    </row>
    <row r="310" spans="7:8" x14ac:dyDescent="0.3">
      <c r="G310" s="1208"/>
      <c r="H310" s="1208"/>
    </row>
    <row r="311" spans="7:8" x14ac:dyDescent="0.3">
      <c r="G311" s="1208"/>
      <c r="H311" s="1208"/>
    </row>
    <row r="312" spans="7:8" x14ac:dyDescent="0.3">
      <c r="G312" s="1208"/>
      <c r="H312" s="1208"/>
    </row>
    <row r="313" spans="7:8" x14ac:dyDescent="0.3">
      <c r="G313" s="1208"/>
      <c r="H313" s="1208"/>
    </row>
    <row r="314" spans="7:8" x14ac:dyDescent="0.3">
      <c r="G314" s="1208"/>
      <c r="H314" s="1208"/>
    </row>
    <row r="315" spans="7:8" x14ac:dyDescent="0.3">
      <c r="G315" s="1208"/>
      <c r="H315" s="1208"/>
    </row>
    <row r="316" spans="7:8" x14ac:dyDescent="0.3">
      <c r="G316" s="1208"/>
      <c r="H316" s="1208"/>
    </row>
    <row r="317" spans="7:8" x14ac:dyDescent="0.3">
      <c r="G317" s="1208"/>
      <c r="H317" s="1208"/>
    </row>
    <row r="318" spans="7:8" x14ac:dyDescent="0.3">
      <c r="G318" s="1208"/>
      <c r="H318" s="1208"/>
    </row>
    <row r="319" spans="7:8" x14ac:dyDescent="0.3">
      <c r="G319" s="1208"/>
      <c r="H319" s="1208"/>
    </row>
    <row r="320" spans="7:8" x14ac:dyDescent="0.3">
      <c r="G320" s="1208"/>
      <c r="H320" s="1208"/>
    </row>
    <row r="321" spans="7:8" x14ac:dyDescent="0.3">
      <c r="G321" s="1208"/>
      <c r="H321" s="1208"/>
    </row>
    <row r="322" spans="7:8" x14ac:dyDescent="0.3">
      <c r="G322" s="1208"/>
      <c r="H322" s="1208"/>
    </row>
    <row r="323" spans="7:8" x14ac:dyDescent="0.3">
      <c r="G323" s="1208"/>
      <c r="H323" s="1208"/>
    </row>
    <row r="324" spans="7:8" x14ac:dyDescent="0.3">
      <c r="G324" s="1208"/>
      <c r="H324" s="1208"/>
    </row>
    <row r="325" spans="7:8" x14ac:dyDescent="0.3">
      <c r="G325" s="1208"/>
      <c r="H325" s="1208"/>
    </row>
    <row r="326" spans="7:8" x14ac:dyDescent="0.3">
      <c r="G326" s="1208"/>
      <c r="H326" s="1208"/>
    </row>
    <row r="327" spans="7:8" x14ac:dyDescent="0.3">
      <c r="G327" s="1208"/>
      <c r="H327" s="1208"/>
    </row>
    <row r="328" spans="7:8" x14ac:dyDescent="0.3">
      <c r="G328" s="1208"/>
      <c r="H328" s="1208"/>
    </row>
    <row r="329" spans="7:8" x14ac:dyDescent="0.3">
      <c r="G329" s="1208"/>
      <c r="H329" s="1208"/>
    </row>
    <row r="330" spans="7:8" x14ac:dyDescent="0.3">
      <c r="G330" s="1208"/>
      <c r="H330" s="1208"/>
    </row>
    <row r="331" spans="7:8" x14ac:dyDescent="0.3">
      <c r="G331" s="1208"/>
      <c r="H331" s="1208"/>
    </row>
    <row r="332" spans="7:8" x14ac:dyDescent="0.3">
      <c r="G332" s="1208"/>
      <c r="H332" s="1208"/>
    </row>
    <row r="333" spans="7:8" x14ac:dyDescent="0.3">
      <c r="G333" s="1208"/>
      <c r="H333" s="1208"/>
    </row>
    <row r="334" spans="7:8" x14ac:dyDescent="0.3">
      <c r="G334" s="1208"/>
      <c r="H334" s="1208"/>
    </row>
    <row r="335" spans="7:8" x14ac:dyDescent="0.3">
      <c r="G335" s="1208"/>
      <c r="H335" s="1208"/>
    </row>
    <row r="336" spans="7:8" x14ac:dyDescent="0.3">
      <c r="G336" s="1208"/>
      <c r="H336" s="1208"/>
    </row>
    <row r="337" spans="7:8" x14ac:dyDescent="0.3">
      <c r="G337" s="1208"/>
      <c r="H337" s="1208"/>
    </row>
    <row r="338" spans="7:8" x14ac:dyDescent="0.3">
      <c r="G338" s="1208"/>
      <c r="H338" s="1208"/>
    </row>
    <row r="339" spans="7:8" x14ac:dyDescent="0.3">
      <c r="G339" s="1208"/>
      <c r="H339" s="1208"/>
    </row>
    <row r="340" spans="7:8" x14ac:dyDescent="0.3">
      <c r="G340" s="1208"/>
      <c r="H340" s="1208"/>
    </row>
    <row r="341" spans="7:8" x14ac:dyDescent="0.3">
      <c r="G341" s="1208"/>
      <c r="H341" s="1208"/>
    </row>
    <row r="342" spans="7:8" x14ac:dyDescent="0.3">
      <c r="G342" s="1208"/>
      <c r="H342" s="1208"/>
    </row>
    <row r="343" spans="7:8" x14ac:dyDescent="0.3">
      <c r="G343" s="1208"/>
      <c r="H343" s="1208"/>
    </row>
    <row r="344" spans="7:8" x14ac:dyDescent="0.3">
      <c r="G344" s="1208"/>
      <c r="H344" s="1208"/>
    </row>
    <row r="345" spans="7:8" x14ac:dyDescent="0.3">
      <c r="G345" s="1208"/>
      <c r="H345" s="1208"/>
    </row>
    <row r="346" spans="7:8" x14ac:dyDescent="0.3">
      <c r="G346" s="1208"/>
      <c r="H346" s="1208"/>
    </row>
    <row r="347" spans="7:8" x14ac:dyDescent="0.3">
      <c r="G347" s="1208"/>
      <c r="H347" s="1208"/>
    </row>
    <row r="348" spans="7:8" x14ac:dyDescent="0.3">
      <c r="G348" s="1208"/>
      <c r="H348" s="1208"/>
    </row>
    <row r="349" spans="7:8" x14ac:dyDescent="0.3">
      <c r="G349" s="1208"/>
      <c r="H349" s="1208"/>
    </row>
    <row r="350" spans="7:8" x14ac:dyDescent="0.3">
      <c r="G350" s="1208"/>
      <c r="H350" s="1208"/>
    </row>
    <row r="351" spans="7:8" x14ac:dyDescent="0.3">
      <c r="G351" s="1208"/>
      <c r="H351" s="1208"/>
    </row>
    <row r="352" spans="7:8" x14ac:dyDescent="0.3">
      <c r="G352" s="1208"/>
      <c r="H352" s="1208"/>
    </row>
    <row r="353" spans="7:8" x14ac:dyDescent="0.3">
      <c r="G353" s="1208"/>
      <c r="H353" s="1208"/>
    </row>
    <row r="354" spans="7:8" x14ac:dyDescent="0.3">
      <c r="G354" s="1208"/>
      <c r="H354" s="1208"/>
    </row>
    <row r="355" spans="7:8" x14ac:dyDescent="0.3">
      <c r="G355" s="1208"/>
      <c r="H355" s="1208"/>
    </row>
    <row r="356" spans="7:8" x14ac:dyDescent="0.3">
      <c r="G356" s="1208"/>
      <c r="H356" s="1208"/>
    </row>
    <row r="357" spans="7:8" x14ac:dyDescent="0.3">
      <c r="G357" s="1208"/>
      <c r="H357" s="1208"/>
    </row>
    <row r="358" spans="7:8" x14ac:dyDescent="0.3">
      <c r="G358" s="1208"/>
      <c r="H358" s="1208"/>
    </row>
    <row r="359" spans="7:8" x14ac:dyDescent="0.3">
      <c r="G359" s="1208"/>
      <c r="H359" s="1208"/>
    </row>
    <row r="360" spans="7:8" x14ac:dyDescent="0.3">
      <c r="G360" s="1208"/>
      <c r="H360" s="1208"/>
    </row>
    <row r="361" spans="7:8" x14ac:dyDescent="0.3">
      <c r="G361" s="1208"/>
      <c r="H361" s="1208"/>
    </row>
    <row r="362" spans="7:8" x14ac:dyDescent="0.3">
      <c r="G362" s="1208"/>
      <c r="H362" s="1208"/>
    </row>
    <row r="363" spans="7:8" x14ac:dyDescent="0.3">
      <c r="G363" s="1208"/>
      <c r="H363" s="1208"/>
    </row>
    <row r="364" spans="7:8" x14ac:dyDescent="0.3">
      <c r="G364" s="1208"/>
      <c r="H364" s="1208"/>
    </row>
    <row r="365" spans="7:8" x14ac:dyDescent="0.3">
      <c r="G365" s="1208"/>
      <c r="H365" s="1208"/>
    </row>
    <row r="366" spans="7:8" x14ac:dyDescent="0.3">
      <c r="G366" s="1208"/>
      <c r="H366" s="1208"/>
    </row>
    <row r="367" spans="7:8" x14ac:dyDescent="0.3">
      <c r="G367" s="1208"/>
      <c r="H367" s="1208"/>
    </row>
    <row r="368" spans="7:8" x14ac:dyDescent="0.3">
      <c r="G368" s="1208"/>
      <c r="H368" s="1208"/>
    </row>
    <row r="369" spans="7:8" x14ac:dyDescent="0.3">
      <c r="G369" s="1208"/>
      <c r="H369" s="1208"/>
    </row>
    <row r="370" spans="7:8" x14ac:dyDescent="0.3">
      <c r="G370" s="1208"/>
      <c r="H370" s="1208"/>
    </row>
    <row r="371" spans="7:8" x14ac:dyDescent="0.3">
      <c r="G371" s="1208"/>
      <c r="H371" s="1208"/>
    </row>
    <row r="372" spans="7:8" x14ac:dyDescent="0.3">
      <c r="G372" s="1208"/>
      <c r="H372" s="1208"/>
    </row>
    <row r="373" spans="7:8" x14ac:dyDescent="0.3">
      <c r="G373" s="1208"/>
      <c r="H373" s="1208"/>
    </row>
    <row r="374" spans="7:8" x14ac:dyDescent="0.3">
      <c r="G374" s="1208"/>
      <c r="H374" s="1208"/>
    </row>
    <row r="375" spans="7:8" x14ac:dyDescent="0.3">
      <c r="G375" s="1208"/>
      <c r="H375" s="1208"/>
    </row>
    <row r="376" spans="7:8" x14ac:dyDescent="0.3">
      <c r="G376" s="1208"/>
      <c r="H376" s="1208"/>
    </row>
    <row r="377" spans="7:8" x14ac:dyDescent="0.3">
      <c r="G377" s="1208"/>
      <c r="H377" s="1208"/>
    </row>
    <row r="378" spans="7:8" x14ac:dyDescent="0.3">
      <c r="G378" s="1208"/>
      <c r="H378" s="1208"/>
    </row>
    <row r="379" spans="7:8" x14ac:dyDescent="0.3">
      <c r="G379" s="1208"/>
      <c r="H379" s="1208"/>
    </row>
    <row r="380" spans="7:8" x14ac:dyDescent="0.3">
      <c r="G380" s="1208"/>
      <c r="H380" s="1208"/>
    </row>
    <row r="381" spans="7:8" x14ac:dyDescent="0.3">
      <c r="G381" s="1208"/>
      <c r="H381" s="1208"/>
    </row>
    <row r="382" spans="7:8" x14ac:dyDescent="0.3">
      <c r="G382" s="1208"/>
      <c r="H382" s="1208"/>
    </row>
    <row r="383" spans="7:8" x14ac:dyDescent="0.3">
      <c r="G383" s="1208"/>
      <c r="H383" s="1208"/>
    </row>
    <row r="384" spans="7:8" x14ac:dyDescent="0.3">
      <c r="G384" s="1208"/>
      <c r="H384" s="1208"/>
    </row>
    <row r="385" spans="7:8" x14ac:dyDescent="0.3">
      <c r="G385" s="1208"/>
      <c r="H385" s="1208"/>
    </row>
    <row r="386" spans="7:8" x14ac:dyDescent="0.3">
      <c r="G386" s="1208"/>
      <c r="H386" s="1208"/>
    </row>
    <row r="387" spans="7:8" x14ac:dyDescent="0.3">
      <c r="G387" s="1208"/>
      <c r="H387" s="1208"/>
    </row>
    <row r="388" spans="7:8" x14ac:dyDescent="0.3">
      <c r="G388" s="1208"/>
      <c r="H388" s="1208"/>
    </row>
    <row r="389" spans="7:8" x14ac:dyDescent="0.3">
      <c r="G389" s="1208"/>
      <c r="H389" s="1208"/>
    </row>
    <row r="390" spans="7:8" x14ac:dyDescent="0.3">
      <c r="G390" s="1208"/>
      <c r="H390" s="1208"/>
    </row>
    <row r="391" spans="7:8" x14ac:dyDescent="0.3">
      <c r="G391" s="1208"/>
      <c r="H391" s="1208"/>
    </row>
    <row r="392" spans="7:8" x14ac:dyDescent="0.3">
      <c r="G392" s="1208"/>
      <c r="H392" s="1208"/>
    </row>
    <row r="393" spans="7:8" x14ac:dyDescent="0.3">
      <c r="G393" s="1208"/>
      <c r="H393" s="1208"/>
    </row>
    <row r="394" spans="7:8" x14ac:dyDescent="0.3">
      <c r="G394" s="1208"/>
      <c r="H394" s="1208"/>
    </row>
    <row r="395" spans="7:8" x14ac:dyDescent="0.3">
      <c r="G395" s="1208"/>
      <c r="H395" s="1208"/>
    </row>
    <row r="396" spans="7:8" x14ac:dyDescent="0.3">
      <c r="G396" s="1208"/>
      <c r="H396" s="1208"/>
    </row>
    <row r="397" spans="7:8" x14ac:dyDescent="0.3">
      <c r="G397" s="1208"/>
      <c r="H397" s="1208"/>
    </row>
    <row r="398" spans="7:8" x14ac:dyDescent="0.3">
      <c r="G398" s="1208"/>
      <c r="H398" s="1208"/>
    </row>
    <row r="399" spans="7:8" x14ac:dyDescent="0.3">
      <c r="G399" s="1208"/>
      <c r="H399" s="1208"/>
    </row>
    <row r="400" spans="7:8" x14ac:dyDescent="0.3">
      <c r="G400" s="1208"/>
      <c r="H400" s="1208"/>
    </row>
    <row r="401" spans="7:8" x14ac:dyDescent="0.3">
      <c r="G401" s="1208"/>
      <c r="H401" s="1208"/>
    </row>
    <row r="402" spans="7:8" x14ac:dyDescent="0.3">
      <c r="G402" s="1208"/>
      <c r="H402" s="1208"/>
    </row>
    <row r="403" spans="7:8" x14ac:dyDescent="0.3">
      <c r="G403" s="1208"/>
      <c r="H403" s="1208"/>
    </row>
    <row r="404" spans="7:8" x14ac:dyDescent="0.3">
      <c r="G404" s="1208"/>
      <c r="H404" s="1208"/>
    </row>
    <row r="405" spans="7:8" x14ac:dyDescent="0.3">
      <c r="G405" s="1208"/>
      <c r="H405" s="1208"/>
    </row>
    <row r="406" spans="7:8" x14ac:dyDescent="0.3">
      <c r="G406" s="1208"/>
      <c r="H406" s="1208"/>
    </row>
    <row r="407" spans="7:8" x14ac:dyDescent="0.3">
      <c r="G407" s="1208"/>
      <c r="H407" s="1208"/>
    </row>
    <row r="408" spans="7:8" x14ac:dyDescent="0.3">
      <c r="G408" s="1208"/>
      <c r="H408" s="1208"/>
    </row>
    <row r="409" spans="7:8" x14ac:dyDescent="0.3">
      <c r="G409" s="1208"/>
      <c r="H409" s="1208"/>
    </row>
    <row r="410" spans="7:8" x14ac:dyDescent="0.3">
      <c r="G410" s="1208"/>
      <c r="H410" s="1208"/>
    </row>
    <row r="411" spans="7:8" x14ac:dyDescent="0.3">
      <c r="G411" s="1208"/>
      <c r="H411" s="1208"/>
    </row>
    <row r="412" spans="7:8" x14ac:dyDescent="0.3">
      <c r="G412" s="1208"/>
      <c r="H412" s="1208"/>
    </row>
    <row r="413" spans="7:8" x14ac:dyDescent="0.3">
      <c r="G413" s="1208"/>
      <c r="H413" s="1208"/>
    </row>
    <row r="414" spans="7:8" x14ac:dyDescent="0.3">
      <c r="G414" s="1208"/>
      <c r="H414" s="1208"/>
    </row>
    <row r="415" spans="7:8" x14ac:dyDescent="0.3">
      <c r="G415" s="1208"/>
      <c r="H415" s="1208"/>
    </row>
    <row r="416" spans="7:8" x14ac:dyDescent="0.3">
      <c r="G416" s="1208"/>
      <c r="H416" s="1208"/>
    </row>
    <row r="417" spans="7:8" x14ac:dyDescent="0.3">
      <c r="G417" s="1208"/>
      <c r="H417" s="1208"/>
    </row>
    <row r="418" spans="7:8" x14ac:dyDescent="0.3">
      <c r="G418" s="1208"/>
      <c r="H418" s="1208"/>
    </row>
    <row r="419" spans="7:8" x14ac:dyDescent="0.3">
      <c r="G419" s="1208"/>
      <c r="H419" s="1208"/>
    </row>
    <row r="420" spans="7:8" x14ac:dyDescent="0.3">
      <c r="G420" s="1208"/>
      <c r="H420" s="1208"/>
    </row>
    <row r="421" spans="7:8" x14ac:dyDescent="0.3">
      <c r="G421" s="1208"/>
      <c r="H421" s="1208"/>
    </row>
    <row r="422" spans="7:8" x14ac:dyDescent="0.3">
      <c r="G422" s="1208"/>
      <c r="H422" s="1208"/>
    </row>
    <row r="423" spans="7:8" x14ac:dyDescent="0.3">
      <c r="G423" s="1208"/>
      <c r="H423" s="1208"/>
    </row>
    <row r="424" spans="7:8" x14ac:dyDescent="0.3">
      <c r="G424" s="1208"/>
      <c r="H424" s="1208"/>
    </row>
    <row r="425" spans="7:8" x14ac:dyDescent="0.3">
      <c r="G425" s="1208"/>
      <c r="H425" s="1208"/>
    </row>
    <row r="426" spans="7:8" x14ac:dyDescent="0.3">
      <c r="G426" s="1208"/>
      <c r="H426" s="1208"/>
    </row>
    <row r="427" spans="7:8" x14ac:dyDescent="0.3">
      <c r="G427" s="1208"/>
      <c r="H427" s="1208"/>
    </row>
    <row r="428" spans="7:8" x14ac:dyDescent="0.3">
      <c r="G428" s="1208"/>
      <c r="H428" s="1208"/>
    </row>
    <row r="429" spans="7:8" x14ac:dyDescent="0.3">
      <c r="G429" s="1208"/>
      <c r="H429" s="1208"/>
    </row>
    <row r="430" spans="7:8" x14ac:dyDescent="0.3">
      <c r="G430" s="1208"/>
      <c r="H430" s="1208"/>
    </row>
    <row r="431" spans="7:8" x14ac:dyDescent="0.3">
      <c r="G431" s="1208"/>
      <c r="H431" s="1208"/>
    </row>
    <row r="432" spans="7:8" x14ac:dyDescent="0.3">
      <c r="G432" s="1208"/>
      <c r="H432" s="1208"/>
    </row>
    <row r="433" spans="7:8" x14ac:dyDescent="0.3">
      <c r="G433" s="1208"/>
      <c r="H433" s="1208"/>
    </row>
    <row r="434" spans="7:8" x14ac:dyDescent="0.3">
      <c r="G434" s="1208"/>
      <c r="H434" s="1208"/>
    </row>
    <row r="435" spans="7:8" x14ac:dyDescent="0.3">
      <c r="G435" s="1208"/>
      <c r="H435" s="1208"/>
    </row>
    <row r="436" spans="7:8" x14ac:dyDescent="0.3">
      <c r="G436" s="1208"/>
      <c r="H436" s="1208"/>
    </row>
    <row r="437" spans="7:8" x14ac:dyDescent="0.3">
      <c r="G437" s="1208"/>
      <c r="H437" s="1208"/>
    </row>
    <row r="438" spans="7:8" x14ac:dyDescent="0.3">
      <c r="G438" s="1208"/>
      <c r="H438" s="1208"/>
    </row>
    <row r="439" spans="7:8" x14ac:dyDescent="0.3">
      <c r="G439" s="1208"/>
      <c r="H439" s="1208"/>
    </row>
    <row r="440" spans="7:8" x14ac:dyDescent="0.3">
      <c r="G440" s="1208"/>
      <c r="H440" s="1208"/>
    </row>
    <row r="441" spans="7:8" x14ac:dyDescent="0.3">
      <c r="G441" s="1208"/>
      <c r="H441" s="1208"/>
    </row>
    <row r="442" spans="7:8" x14ac:dyDescent="0.3">
      <c r="G442" s="1208"/>
      <c r="H442" s="1208"/>
    </row>
    <row r="443" spans="7:8" x14ac:dyDescent="0.3">
      <c r="G443" s="1208"/>
      <c r="H443" s="1208"/>
    </row>
    <row r="444" spans="7:8" x14ac:dyDescent="0.3">
      <c r="G444" s="1208"/>
      <c r="H444" s="1208"/>
    </row>
    <row r="445" spans="7:8" x14ac:dyDescent="0.3">
      <c r="G445" s="1208"/>
      <c r="H445" s="1208"/>
    </row>
    <row r="446" spans="7:8" x14ac:dyDescent="0.3">
      <c r="G446" s="1208"/>
      <c r="H446" s="1208"/>
    </row>
    <row r="447" spans="7:8" x14ac:dyDescent="0.3">
      <c r="G447" s="1208"/>
      <c r="H447" s="1208"/>
    </row>
    <row r="448" spans="7:8" x14ac:dyDescent="0.3">
      <c r="G448" s="1208"/>
      <c r="H448" s="1208"/>
    </row>
    <row r="449" spans="7:8" x14ac:dyDescent="0.3">
      <c r="G449" s="1208"/>
      <c r="H449" s="1208"/>
    </row>
    <row r="450" spans="7:8" x14ac:dyDescent="0.3">
      <c r="G450" s="1208"/>
      <c r="H450" s="1208"/>
    </row>
    <row r="451" spans="7:8" x14ac:dyDescent="0.3">
      <c r="G451" s="1208"/>
      <c r="H451" s="1208"/>
    </row>
    <row r="452" spans="7:8" x14ac:dyDescent="0.3">
      <c r="G452" s="1208"/>
      <c r="H452" s="1208"/>
    </row>
    <row r="453" spans="7:8" x14ac:dyDescent="0.3">
      <c r="G453" s="1208"/>
      <c r="H453" s="1208"/>
    </row>
    <row r="454" spans="7:8" x14ac:dyDescent="0.3">
      <c r="G454" s="1208"/>
      <c r="H454" s="1208"/>
    </row>
    <row r="455" spans="7:8" x14ac:dyDescent="0.3">
      <c r="G455" s="1208"/>
      <c r="H455" s="1208"/>
    </row>
    <row r="456" spans="7:8" x14ac:dyDescent="0.3">
      <c r="G456" s="1208"/>
      <c r="H456" s="1208"/>
    </row>
    <row r="457" spans="7:8" x14ac:dyDescent="0.3">
      <c r="G457" s="1208"/>
      <c r="H457" s="1208"/>
    </row>
    <row r="458" spans="7:8" x14ac:dyDescent="0.3">
      <c r="G458" s="1208"/>
      <c r="H458" s="1208"/>
    </row>
    <row r="459" spans="7:8" x14ac:dyDescent="0.3">
      <c r="G459" s="1208"/>
      <c r="H459" s="1208"/>
    </row>
  </sheetData>
  <mergeCells count="2">
    <mergeCell ref="A2:E3"/>
    <mergeCell ref="A7:F7"/>
  </mergeCells>
  <conditionalFormatting sqref="A8:F8 V8:W8 Z8 R8:T8 I8:O8">
    <cfRule type="expression" dxfId="25" priority="9">
      <formula>IF(INDEX(VAD_nMeasModGasLeachingNutrientLoss,COLUMN(A8),5)&gt;0,TRUE(),FALSE())</formula>
    </cfRule>
  </conditionalFormatting>
  <conditionalFormatting sqref="U8">
    <cfRule type="expression" dxfId="24" priority="8">
      <formula>IF(INDEX(VAD_nMeasModYieldNutrientUptake,COLUMN(U8),5)&gt;0,TRUE(),FALSE())</formula>
    </cfRule>
  </conditionalFormatting>
  <conditionalFormatting sqref="X8">
    <cfRule type="expression" dxfId="23" priority="7">
      <formula>IF(INDEX(VAD_nMeasModGasLeachingNutrientLoss,COLUMN(X8),5)&gt;0,TRUE(),FALSE())</formula>
    </cfRule>
  </conditionalFormatting>
  <conditionalFormatting sqref="Y8">
    <cfRule type="expression" dxfId="22" priority="6">
      <formula>IF(INDEX(VAD_nMeasModYieldNutrientUptake,COLUMN(Y8),5)&gt;0,TRUE(),FALSE())</formula>
    </cfRule>
  </conditionalFormatting>
  <conditionalFormatting sqref="P8">
    <cfRule type="expression" dxfId="21" priority="5">
      <formula>IF(INDEX(VAD_nMeasModGasLeachingNutrientLoss,COLUMN(P8),5)&gt;0,TRUE(),FALSE())</formula>
    </cfRule>
  </conditionalFormatting>
  <conditionalFormatting sqref="Q8">
    <cfRule type="expression" dxfId="20" priority="4">
      <formula>IF(INDEX(VAD_nMeasModYieldNutrientUptake,COLUMN(Q8),5)&gt;0,TRUE(),FALSE())</formula>
    </cfRule>
  </conditionalFormatting>
  <conditionalFormatting sqref="G8">
    <cfRule type="expression" dxfId="19" priority="3">
      <formula>IF(INDEX(VAD_nMeasModGasLeachingNutrientLoss,COLUMN(G8),5)&gt;0,TRUE(),FALSE())</formula>
    </cfRule>
  </conditionalFormatting>
  <conditionalFormatting sqref="H8">
    <cfRule type="expression" dxfId="18" priority="2">
      <formula>IF(INDEX(VAD_nMeasModYieldNutrientUptake,COLUMN(H8),5)&gt;0,TRUE(),FALSE())</formula>
    </cfRule>
  </conditionalFormatting>
  <conditionalFormatting sqref="G6:T6">
    <cfRule type="expression" dxfId="17" priority="1">
      <formula>IF(INDEX(VAD_nMeasModGasLeachingNutrientLoss,COLUMN(G6),5)&gt;0,TRUE(),FALSE())</formula>
    </cfRule>
  </conditionalFormatting>
  <dataValidations count="12">
    <dataValidation allowBlank="1" showErrorMessage="1" sqref="S3 W3:Y3"/>
    <dataValidation type="list" allowBlank="1" showInputMessage="1" showErrorMessage="1" sqref="I142:I696 F27:F696 F9 G460:H696 J27:L696 J9:L9">
      <formula1>Harvested_Fraction</formula1>
    </dataValidation>
    <dataValidation type="list" allowBlank="1" showInputMessage="1" showErrorMessage="1" sqref="C9:C1196">
      <formula1>TreatmentID</formula1>
    </dataValidation>
    <dataValidation type="list" allowBlank="1" showInputMessage="1" showErrorMessage="1" sqref="A9:A1196">
      <formula1>Exp_UnitID</formula1>
    </dataValidation>
    <dataValidation type="list" allowBlank="1" showInputMessage="1" showErrorMessage="1" sqref="A1197:A65232 C1197:C65232 D109:D822">
      <formula1>#REF!</formula1>
    </dataValidation>
    <dataValidation type="list" allowBlank="1" showInputMessage="1" showErrorMessage="1" sqref="E1 E7 E9:E1048576">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type="list" allowBlank="1" showInputMessage="1" showErrorMessage="1" sqref="D9:D108">
      <formula1>Growth_Stage</formula1>
    </dataValidation>
  </dataValidation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F459"/>
  <sheetViews>
    <sheetView workbookViewId="0">
      <selection activeCell="X20" sqref="X20"/>
    </sheetView>
  </sheetViews>
  <sheetFormatPr defaultColWidth="8.88671875" defaultRowHeight="14.4" x14ac:dyDescent="0.3"/>
  <cols>
    <col min="1" max="1" width="12.44140625" style="316" customWidth="1"/>
    <col min="2" max="2" width="13" style="313" customWidth="1"/>
    <col min="3" max="3" width="10.5546875" style="316" bestFit="1" customWidth="1"/>
    <col min="4" max="4" width="27.109375" style="316" bestFit="1" customWidth="1"/>
    <col min="5" max="5" width="13.6640625" style="316" bestFit="1" customWidth="1"/>
    <col min="6" max="6" width="26.44140625" style="316" customWidth="1"/>
    <col min="7" max="7" width="16.6640625" style="316" customWidth="1"/>
    <col min="8" max="8" width="27" style="316" customWidth="1"/>
    <col min="9" max="17" width="27.33203125" style="108" customWidth="1"/>
    <col min="18" max="18" width="13.5546875" style="108" customWidth="1"/>
    <col min="19" max="19" width="14.44140625" style="108" customWidth="1"/>
    <col min="20" max="20" width="15.109375" style="108" customWidth="1"/>
    <col min="21" max="21" width="13.88671875" style="108" customWidth="1"/>
    <col min="22" max="22" width="8.88671875" style="108"/>
    <col min="23" max="23" width="9.6640625" style="108" customWidth="1"/>
    <col min="24" max="24" width="10.6640625" style="108" customWidth="1"/>
    <col min="25" max="25" width="10.44140625" style="108" bestFit="1" customWidth="1"/>
    <col min="26" max="26" width="9.5546875" style="108" customWidth="1"/>
    <col min="27" max="27" width="9.33203125" style="108" customWidth="1"/>
    <col min="28" max="29" width="10.33203125" style="108" customWidth="1"/>
    <col min="30" max="30" width="10.109375" style="108" customWidth="1"/>
    <col min="31" max="31" width="11" style="108" customWidth="1"/>
    <col min="32" max="16384" width="8.88671875" style="108"/>
  </cols>
  <sheetData>
    <row r="1" spans="1:32" ht="17.399999999999999" x14ac:dyDescent="0.3">
      <c r="A1" s="1294" t="s">
        <v>2996</v>
      </c>
      <c r="B1" s="1295"/>
      <c r="C1" s="1296"/>
      <c r="D1" s="1296"/>
      <c r="E1" s="1296"/>
      <c r="F1" s="1296"/>
      <c r="G1" s="1340"/>
      <c r="H1" s="1340"/>
      <c r="I1" s="1340"/>
      <c r="J1" s="1296"/>
      <c r="K1" s="1296"/>
      <c r="L1" s="1296"/>
      <c r="M1" s="1296"/>
      <c r="N1" s="1296"/>
      <c r="O1" s="1296"/>
      <c r="P1" s="1296"/>
      <c r="Q1" s="1296"/>
      <c r="R1" s="1296"/>
      <c r="S1" s="1296"/>
      <c r="T1" s="1296"/>
      <c r="U1" s="1296"/>
      <c r="V1" s="1296"/>
      <c r="W1" s="1296"/>
      <c r="X1" s="1296"/>
      <c r="Y1" s="1296"/>
      <c r="Z1" s="1296"/>
      <c r="AA1" s="1296"/>
      <c r="AB1" s="1296"/>
      <c r="AC1" s="1296"/>
      <c r="AD1" s="1296"/>
      <c r="AE1" s="1296"/>
    </row>
    <row r="2" spans="1:32" x14ac:dyDescent="0.3">
      <c r="A2" s="1507" t="s">
        <v>2974</v>
      </c>
      <c r="B2" s="1507"/>
      <c r="C2" s="1507"/>
      <c r="D2" s="1507"/>
      <c r="E2" s="1507"/>
      <c r="F2" s="659"/>
      <c r="G2" s="659"/>
      <c r="H2" s="659"/>
      <c r="I2" s="659"/>
      <c r="J2" s="659"/>
      <c r="K2" s="659"/>
      <c r="L2" s="659"/>
      <c r="M2" s="659"/>
      <c r="N2" s="659"/>
      <c r="O2" s="659"/>
      <c r="P2" s="659"/>
      <c r="Q2" s="659"/>
      <c r="R2" s="659"/>
      <c r="S2" s="659"/>
      <c r="T2" s="659"/>
      <c r="U2" s="659"/>
      <c r="V2" s="659"/>
      <c r="W2" s="659"/>
      <c r="X2" s="659"/>
      <c r="Y2" s="659"/>
      <c r="Z2" s="659"/>
      <c r="AA2" s="659"/>
      <c r="AB2" s="659"/>
      <c r="AC2" s="659"/>
      <c r="AD2" s="659"/>
      <c r="AE2" s="1341"/>
    </row>
    <row r="3" spans="1:32" x14ac:dyDescent="0.3">
      <c r="A3" s="1507"/>
      <c r="B3" s="1507"/>
      <c r="C3" s="1507"/>
      <c r="D3" s="1507"/>
      <c r="E3" s="1507"/>
      <c r="F3" s="1154"/>
      <c r="G3" s="1251"/>
      <c r="H3" s="1251"/>
      <c r="I3" s="1251"/>
      <c r="J3" s="1251"/>
      <c r="K3" s="1251"/>
      <c r="L3" s="1251"/>
      <c r="M3" s="1251"/>
      <c r="N3" s="1251"/>
      <c r="O3" s="1251"/>
      <c r="P3" s="1251"/>
      <c r="Q3" s="1251"/>
      <c r="R3" s="1251"/>
      <c r="S3" s="1251"/>
      <c r="T3" s="1251"/>
      <c r="U3" s="1251"/>
      <c r="V3" s="1251"/>
      <c r="W3" s="1251"/>
      <c r="X3" s="1251"/>
      <c r="Y3" s="1251"/>
      <c r="Z3" s="1251"/>
      <c r="AA3" s="1251"/>
      <c r="AB3" s="1251"/>
      <c r="AC3" s="1251"/>
      <c r="AD3" s="1251"/>
      <c r="AE3" s="1300"/>
      <c r="AF3" s="959"/>
    </row>
    <row r="4" spans="1:32" x14ac:dyDescent="0.3">
      <c r="A4" s="1155"/>
      <c r="B4" s="1156"/>
      <c r="C4" s="1157"/>
      <c r="D4" s="1158"/>
      <c r="E4" s="1158"/>
      <c r="F4" s="639"/>
      <c r="G4" s="659"/>
      <c r="H4" s="659"/>
      <c r="I4" s="659"/>
      <c r="J4" s="659"/>
      <c r="K4" s="659"/>
      <c r="L4" s="659"/>
      <c r="M4" s="659"/>
      <c r="N4" s="659"/>
      <c r="O4" s="659"/>
      <c r="P4" s="659"/>
      <c r="Q4" s="659"/>
      <c r="R4" s="659"/>
      <c r="S4" s="659"/>
      <c r="T4" s="659"/>
      <c r="U4" s="659"/>
      <c r="V4" s="659"/>
      <c r="W4" s="659"/>
      <c r="X4" s="659"/>
      <c r="Y4" s="659"/>
      <c r="Z4" s="659"/>
      <c r="AA4" s="659"/>
      <c r="AB4" s="659"/>
      <c r="AC4" s="659"/>
      <c r="AD4" s="659"/>
      <c r="AE4" s="1341"/>
      <c r="AF4" s="959"/>
    </row>
    <row r="5" spans="1:32" ht="15.6" x14ac:dyDescent="0.3">
      <c r="A5" s="1342" t="s">
        <v>343</v>
      </c>
      <c r="B5" s="1343"/>
      <c r="C5" s="1344"/>
      <c r="D5" s="1345" t="s">
        <v>394</v>
      </c>
      <c r="E5" s="1346"/>
      <c r="F5" s="1346"/>
      <c r="G5" s="659"/>
      <c r="H5" s="659"/>
      <c r="I5" s="659"/>
      <c r="J5" s="659"/>
      <c r="K5" s="659"/>
      <c r="L5" s="659"/>
      <c r="M5" s="659"/>
      <c r="N5" s="659"/>
      <c r="O5" s="659"/>
      <c r="P5" s="659"/>
      <c r="Q5" s="659"/>
      <c r="R5" s="659"/>
      <c r="S5" s="659"/>
      <c r="T5" s="659"/>
      <c r="U5" s="659"/>
      <c r="V5" s="659"/>
      <c r="W5" s="659"/>
      <c r="X5" s="659"/>
      <c r="Y5" s="659"/>
      <c r="Z5" s="659"/>
      <c r="AA5" s="659"/>
      <c r="AB5" s="659"/>
      <c r="AC5" s="659"/>
      <c r="AD5" s="659"/>
      <c r="AE5" s="1341"/>
      <c r="AF5" s="959"/>
    </row>
    <row r="6" spans="1:32" ht="16.2" x14ac:dyDescent="0.35">
      <c r="A6" s="667"/>
      <c r="B6" s="1347" t="s">
        <v>116</v>
      </c>
      <c r="C6" s="25"/>
      <c r="D6" s="1163" t="str">
        <f>HYPERLINK("#DropDownLists!O6","Add to this list")</f>
        <v>Add to this list</v>
      </c>
      <c r="E6" s="1163" t="str">
        <f>HYPERLINK("#DropDownLists!K6","Add to this list")</f>
        <v>Add to this list</v>
      </c>
      <c r="F6" s="1163" t="str">
        <f>HYPERLINK("#DropDownLists!P6","Add to this list")</f>
        <v>Add to this list</v>
      </c>
      <c r="G6" s="1258"/>
      <c r="H6" s="1258"/>
      <c r="I6" s="1334" t="s">
        <v>2997</v>
      </c>
      <c r="J6" s="1348" t="s">
        <v>2998</v>
      </c>
      <c r="K6" s="1349" t="s">
        <v>2999</v>
      </c>
      <c r="L6" s="1349" t="s">
        <v>3000</v>
      </c>
      <c r="M6" s="1334" t="s">
        <v>3001</v>
      </c>
      <c r="N6" s="1334" t="s">
        <v>3002</v>
      </c>
      <c r="O6" s="1334" t="s">
        <v>3003</v>
      </c>
      <c r="P6" s="1334" t="s">
        <v>2988</v>
      </c>
      <c r="Q6" s="1334" t="s">
        <v>3004</v>
      </c>
      <c r="R6" s="1334" t="s">
        <v>3005</v>
      </c>
      <c r="S6" s="1334" t="s">
        <v>2987</v>
      </c>
      <c r="T6" s="1334" t="s">
        <v>185</v>
      </c>
      <c r="U6" s="1334" t="s">
        <v>3006</v>
      </c>
      <c r="V6" s="1348" t="s">
        <v>186</v>
      </c>
      <c r="W6" s="1348" t="s">
        <v>2873</v>
      </c>
      <c r="X6" s="1348" t="s">
        <v>2874</v>
      </c>
      <c r="Y6" s="1348" t="s">
        <v>2875</v>
      </c>
      <c r="Z6" s="1348" t="s">
        <v>2876</v>
      </c>
      <c r="AA6" s="1348" t="s">
        <v>2877</v>
      </c>
      <c r="AB6" s="1348" t="s">
        <v>2878</v>
      </c>
      <c r="AC6" s="1348" t="s">
        <v>2879</v>
      </c>
      <c r="AD6" s="1348" t="s">
        <v>2880</v>
      </c>
      <c r="AE6" s="1350" t="s">
        <v>2881</v>
      </c>
      <c r="AF6" s="959"/>
    </row>
    <row r="7" spans="1:32" ht="15" thickBot="1" x14ac:dyDescent="0.35">
      <c r="A7" s="1506" t="s">
        <v>390</v>
      </c>
      <c r="B7" s="1506"/>
      <c r="C7" s="1506"/>
      <c r="D7" s="1506"/>
      <c r="E7" s="1506"/>
      <c r="F7" s="1506"/>
      <c r="G7" s="1351"/>
      <c r="H7" s="1351"/>
      <c r="I7" s="1351"/>
      <c r="J7" s="1351" t="s">
        <v>3007</v>
      </c>
      <c r="K7" s="1352"/>
      <c r="L7" s="1351"/>
      <c r="M7" s="1351"/>
      <c r="N7" s="1351"/>
      <c r="O7" s="1351"/>
      <c r="P7" s="1351"/>
      <c r="Q7" s="1351"/>
      <c r="R7" s="1602" t="s">
        <v>3008</v>
      </c>
      <c r="S7" s="1602"/>
      <c r="T7" s="1602"/>
      <c r="U7" s="1602"/>
      <c r="V7" s="1602"/>
      <c r="W7" s="1602"/>
      <c r="X7" s="1602"/>
      <c r="Y7" s="1602"/>
      <c r="Z7" s="1602"/>
      <c r="AA7" s="1602"/>
      <c r="AB7" s="1602"/>
      <c r="AC7" s="1602"/>
      <c r="AD7" s="1602"/>
      <c r="AE7" s="1603"/>
      <c r="AF7" s="959"/>
    </row>
    <row r="8" spans="1:32" ht="27.6" thickBot="1" x14ac:dyDescent="0.35">
      <c r="A8" s="1037" t="s">
        <v>3474</v>
      </c>
      <c r="B8" s="1167" t="s">
        <v>35</v>
      </c>
      <c r="C8" s="625" t="s">
        <v>152</v>
      </c>
      <c r="D8" s="625" t="s">
        <v>1659</v>
      </c>
      <c r="E8" s="556" t="s">
        <v>77</v>
      </c>
      <c r="F8" s="1338" t="s">
        <v>2989</v>
      </c>
      <c r="G8" s="1200" t="s">
        <v>2918</v>
      </c>
      <c r="H8" s="1267" t="s">
        <v>2919</v>
      </c>
      <c r="I8" s="1338" t="s">
        <v>2989</v>
      </c>
      <c r="J8" s="1338" t="s">
        <v>2989</v>
      </c>
      <c r="K8" s="1338" t="s">
        <v>2989</v>
      </c>
      <c r="L8" s="1338" t="s">
        <v>2989</v>
      </c>
      <c r="M8" s="1338" t="s">
        <v>2989</v>
      </c>
      <c r="N8" s="1338" t="s">
        <v>2989</v>
      </c>
      <c r="O8" s="1338" t="s">
        <v>2989</v>
      </c>
      <c r="P8" s="1338" t="s">
        <v>2989</v>
      </c>
      <c r="Q8" s="1338" t="s">
        <v>2989</v>
      </c>
      <c r="R8" s="1353" t="s">
        <v>3005</v>
      </c>
      <c r="S8" s="1353" t="s">
        <v>2987</v>
      </c>
      <c r="T8" s="1353" t="s">
        <v>185</v>
      </c>
      <c r="U8" s="1353" t="s">
        <v>3006</v>
      </c>
      <c r="V8" s="1354" t="s">
        <v>186</v>
      </c>
      <c r="W8" s="1354" t="s">
        <v>2873</v>
      </c>
      <c r="X8" s="1354" t="s">
        <v>2874</v>
      </c>
      <c r="Y8" s="1354" t="s">
        <v>2875</v>
      </c>
      <c r="Z8" s="1354" t="s">
        <v>2876</v>
      </c>
      <c r="AA8" s="1354" t="s">
        <v>2877</v>
      </c>
      <c r="AB8" s="1354" t="s">
        <v>2878</v>
      </c>
      <c r="AC8" s="1354" t="s">
        <v>2879</v>
      </c>
      <c r="AD8" s="1354" t="s">
        <v>2880</v>
      </c>
      <c r="AE8" s="1355" t="s">
        <v>2881</v>
      </c>
      <c r="AF8" s="959"/>
    </row>
    <row r="9" spans="1:32" x14ac:dyDescent="0.3">
      <c r="G9" s="1208"/>
      <c r="H9" s="1208"/>
      <c r="I9" s="959"/>
      <c r="J9" s="959"/>
      <c r="K9" s="959"/>
      <c r="L9" s="959"/>
      <c r="M9" s="959"/>
      <c r="N9" s="959"/>
      <c r="O9" s="959"/>
      <c r="P9" s="959"/>
      <c r="Q9" s="959"/>
      <c r="R9" s="959"/>
      <c r="S9" s="959"/>
      <c r="T9" s="959"/>
      <c r="U9" s="959"/>
      <c r="V9" s="959"/>
      <c r="W9" s="959"/>
      <c r="X9" s="959"/>
      <c r="Y9" s="959"/>
      <c r="Z9" s="959"/>
      <c r="AA9" s="959"/>
      <c r="AB9" s="959"/>
      <c r="AC9" s="959"/>
      <c r="AD9" s="959"/>
      <c r="AE9" s="959"/>
      <c r="AF9" s="959"/>
    </row>
    <row r="10" spans="1:32" x14ac:dyDescent="0.3">
      <c r="F10" s="1356" t="s">
        <v>2990</v>
      </c>
      <c r="G10" s="1208"/>
      <c r="H10" s="1357" t="s">
        <v>2998</v>
      </c>
    </row>
    <row r="11" spans="1:32" x14ac:dyDescent="0.3">
      <c r="F11" s="1356" t="s">
        <v>2991</v>
      </c>
      <c r="G11" s="1208"/>
      <c r="H11" s="1357" t="s">
        <v>2999</v>
      </c>
    </row>
    <row r="12" spans="1:32" x14ac:dyDescent="0.3">
      <c r="F12" s="1356" t="s">
        <v>2992</v>
      </c>
      <c r="G12" s="1208"/>
      <c r="H12" s="1357" t="s">
        <v>3000</v>
      </c>
    </row>
    <row r="13" spans="1:32" x14ac:dyDescent="0.3">
      <c r="F13" s="1356" t="s">
        <v>2993</v>
      </c>
      <c r="G13" s="1208"/>
      <c r="H13" s="1208"/>
    </row>
    <row r="14" spans="1:32" x14ac:dyDescent="0.3">
      <c r="F14" s="1356"/>
      <c r="G14" s="1208"/>
      <c r="H14" s="1208"/>
    </row>
    <row r="15" spans="1:32" x14ac:dyDescent="0.3">
      <c r="F15" s="1356"/>
      <c r="G15" s="1208"/>
      <c r="H15" s="1357" t="s">
        <v>3009</v>
      </c>
    </row>
    <row r="16" spans="1:32" x14ac:dyDescent="0.3">
      <c r="F16" s="1356"/>
      <c r="G16" s="1208"/>
      <c r="H16" s="1357"/>
    </row>
    <row r="17" spans="1:17" x14ac:dyDescent="0.3">
      <c r="A17" s="108"/>
      <c r="B17" s="108"/>
      <c r="C17" s="108"/>
      <c r="D17" s="108"/>
      <c r="E17" s="108"/>
      <c r="F17" s="1356"/>
      <c r="G17" s="1208"/>
      <c r="H17" s="1357" t="s">
        <v>3010</v>
      </c>
    </row>
    <row r="18" spans="1:17" ht="14.4" customHeight="1" x14ac:dyDescent="0.3">
      <c r="A18" s="108"/>
      <c r="B18" s="108"/>
      <c r="C18" s="108"/>
      <c r="D18" s="108"/>
      <c r="E18" s="108"/>
      <c r="F18" s="1207" t="s">
        <v>2994</v>
      </c>
      <c r="G18" s="1208"/>
      <c r="H18" s="1208"/>
    </row>
    <row r="19" spans="1:17" x14ac:dyDescent="0.3">
      <c r="A19" s="108"/>
      <c r="B19" s="108"/>
      <c r="C19" s="108"/>
      <c r="D19" s="108"/>
      <c r="E19" s="108"/>
      <c r="F19" s="1356"/>
      <c r="G19" s="1208"/>
      <c r="H19" s="1208"/>
    </row>
    <row r="20" spans="1:17" x14ac:dyDescent="0.3">
      <c r="A20" s="108"/>
      <c r="B20" s="108"/>
      <c r="C20" s="108"/>
      <c r="D20" s="108"/>
      <c r="E20" s="108"/>
      <c r="F20" s="1207" t="s">
        <v>2995</v>
      </c>
      <c r="G20" s="1208"/>
      <c r="H20" s="1208"/>
    </row>
    <row r="21" spans="1:17" x14ac:dyDescent="0.3">
      <c r="A21" s="108"/>
      <c r="B21" s="108"/>
      <c r="C21" s="108"/>
      <c r="D21" s="108"/>
      <c r="E21" s="108"/>
      <c r="F21" s="1356"/>
      <c r="G21" s="1208"/>
      <c r="H21" s="1208"/>
      <c r="I21" s="1358"/>
      <c r="J21" s="1358"/>
      <c r="K21" s="1358"/>
      <c r="L21" s="1358"/>
      <c r="M21" s="1358"/>
      <c r="N21" s="1358"/>
      <c r="O21" s="1358"/>
      <c r="P21" s="1358"/>
      <c r="Q21" s="1358"/>
    </row>
    <row r="22" spans="1:17" x14ac:dyDescent="0.3">
      <c r="A22" s="108"/>
      <c r="B22" s="108"/>
      <c r="C22" s="108"/>
      <c r="D22" s="108"/>
      <c r="E22" s="108"/>
      <c r="F22" s="1356"/>
      <c r="G22" s="1208"/>
      <c r="H22" s="1208"/>
    </row>
    <row r="23" spans="1:17" x14ac:dyDescent="0.3">
      <c r="A23" s="108"/>
      <c r="B23" s="108"/>
      <c r="C23" s="108"/>
      <c r="D23" s="108"/>
      <c r="E23" s="108"/>
      <c r="F23" s="1356"/>
      <c r="G23" s="1208"/>
      <c r="H23" s="1208"/>
    </row>
    <row r="24" spans="1:17" x14ac:dyDescent="0.3">
      <c r="A24" s="108"/>
      <c r="B24" s="108"/>
      <c r="C24" s="108"/>
      <c r="D24" s="108"/>
      <c r="E24" s="108"/>
      <c r="F24" s="1356"/>
      <c r="G24" s="1208"/>
      <c r="H24" s="1208"/>
    </row>
    <row r="25" spans="1:17" x14ac:dyDescent="0.3">
      <c r="A25" s="108"/>
      <c r="B25" s="108"/>
      <c r="C25" s="108"/>
      <c r="D25" s="108"/>
      <c r="E25" s="108"/>
      <c r="F25" s="1356"/>
      <c r="G25" s="1208"/>
      <c r="H25" s="1208"/>
    </row>
    <row r="26" spans="1:17" x14ac:dyDescent="0.3">
      <c r="A26" s="108"/>
      <c r="B26" s="108"/>
      <c r="C26" s="108"/>
      <c r="D26" s="108"/>
      <c r="E26" s="108"/>
      <c r="F26" s="1356"/>
      <c r="G26" s="1208"/>
      <c r="H26" s="1208"/>
    </row>
    <row r="27" spans="1:17" x14ac:dyDescent="0.3">
      <c r="G27" s="1208"/>
      <c r="H27" s="1208"/>
    </row>
    <row r="28" spans="1:17" x14ac:dyDescent="0.3">
      <c r="G28" s="1208"/>
      <c r="H28" s="1208"/>
    </row>
    <row r="29" spans="1:17" x14ac:dyDescent="0.3">
      <c r="G29" s="1208"/>
      <c r="H29" s="1208"/>
    </row>
    <row r="30" spans="1:17" x14ac:dyDescent="0.3">
      <c r="G30" s="1208"/>
      <c r="H30" s="1208"/>
    </row>
    <row r="31" spans="1:17" x14ac:dyDescent="0.3">
      <c r="G31" s="1208"/>
      <c r="H31" s="1208"/>
    </row>
    <row r="32" spans="1:17" x14ac:dyDescent="0.3">
      <c r="G32" s="1208"/>
      <c r="H32" s="1208"/>
    </row>
    <row r="33" spans="7:8" x14ac:dyDescent="0.3">
      <c r="G33" s="1208"/>
      <c r="H33" s="1208"/>
    </row>
    <row r="34" spans="7:8" x14ac:dyDescent="0.3">
      <c r="G34" s="1208"/>
      <c r="H34" s="1208"/>
    </row>
    <row r="35" spans="7:8" x14ac:dyDescent="0.3">
      <c r="G35" s="1208"/>
      <c r="H35" s="1208"/>
    </row>
    <row r="36" spans="7:8" x14ac:dyDescent="0.3">
      <c r="G36" s="1208"/>
      <c r="H36" s="1208"/>
    </row>
    <row r="37" spans="7:8" x14ac:dyDescent="0.3">
      <c r="G37" s="1208"/>
      <c r="H37" s="1208"/>
    </row>
    <row r="38" spans="7:8" x14ac:dyDescent="0.3">
      <c r="G38" s="1208"/>
      <c r="H38" s="1208"/>
    </row>
    <row r="39" spans="7:8" x14ac:dyDescent="0.3">
      <c r="G39" s="1208"/>
      <c r="H39" s="1208"/>
    </row>
    <row r="40" spans="7:8" x14ac:dyDescent="0.3">
      <c r="G40" s="1208"/>
      <c r="H40" s="1208"/>
    </row>
    <row r="41" spans="7:8" x14ac:dyDescent="0.3">
      <c r="G41" s="1208"/>
      <c r="H41" s="1208"/>
    </row>
    <row r="42" spans="7:8" x14ac:dyDescent="0.3">
      <c r="G42" s="1208"/>
      <c r="H42" s="1208"/>
    </row>
    <row r="43" spans="7:8" x14ac:dyDescent="0.3">
      <c r="G43" s="1208"/>
      <c r="H43" s="1208"/>
    </row>
    <row r="44" spans="7:8" x14ac:dyDescent="0.3">
      <c r="G44" s="1208"/>
      <c r="H44" s="1208"/>
    </row>
    <row r="45" spans="7:8" x14ac:dyDescent="0.3">
      <c r="G45" s="1208"/>
      <c r="H45" s="1208"/>
    </row>
    <row r="46" spans="7:8" x14ac:dyDescent="0.3">
      <c r="G46" s="1208"/>
      <c r="H46" s="1208"/>
    </row>
    <row r="47" spans="7:8" x14ac:dyDescent="0.3">
      <c r="G47" s="1208"/>
      <c r="H47" s="1208"/>
    </row>
    <row r="48" spans="7:8" x14ac:dyDescent="0.3">
      <c r="G48" s="1208"/>
      <c r="H48" s="1208"/>
    </row>
    <row r="49" spans="7:8" x14ac:dyDescent="0.3">
      <c r="G49" s="1208"/>
      <c r="H49" s="1208"/>
    </row>
    <row r="50" spans="7:8" x14ac:dyDescent="0.3">
      <c r="G50" s="1208"/>
      <c r="H50" s="1208"/>
    </row>
    <row r="51" spans="7:8" x14ac:dyDescent="0.3">
      <c r="G51" s="1208"/>
      <c r="H51" s="1208"/>
    </row>
    <row r="52" spans="7:8" x14ac:dyDescent="0.3">
      <c r="G52" s="1208"/>
      <c r="H52" s="1208"/>
    </row>
    <row r="53" spans="7:8" x14ac:dyDescent="0.3">
      <c r="G53" s="1208"/>
      <c r="H53" s="1208"/>
    </row>
    <row r="54" spans="7:8" x14ac:dyDescent="0.3">
      <c r="G54" s="1208"/>
      <c r="H54" s="1208"/>
    </row>
    <row r="55" spans="7:8" x14ac:dyDescent="0.3">
      <c r="G55" s="1208"/>
      <c r="H55" s="1208"/>
    </row>
    <row r="56" spans="7:8" x14ac:dyDescent="0.3">
      <c r="G56" s="1208"/>
      <c r="H56" s="1208"/>
    </row>
    <row r="57" spans="7:8" x14ac:dyDescent="0.3">
      <c r="G57" s="1208"/>
      <c r="H57" s="1208"/>
    </row>
    <row r="58" spans="7:8" x14ac:dyDescent="0.3">
      <c r="G58" s="1208"/>
      <c r="H58" s="1208"/>
    </row>
    <row r="59" spans="7:8" x14ac:dyDescent="0.3">
      <c r="G59" s="1208"/>
      <c r="H59" s="1208"/>
    </row>
    <row r="60" spans="7:8" x14ac:dyDescent="0.3">
      <c r="G60" s="1208"/>
      <c r="H60" s="1208"/>
    </row>
    <row r="61" spans="7:8" x14ac:dyDescent="0.3">
      <c r="G61" s="1208"/>
      <c r="H61" s="1208"/>
    </row>
    <row r="62" spans="7:8" x14ac:dyDescent="0.3">
      <c r="G62" s="1208"/>
      <c r="H62" s="1208"/>
    </row>
    <row r="63" spans="7:8" x14ac:dyDescent="0.3">
      <c r="G63" s="1208"/>
      <c r="H63" s="1208"/>
    </row>
    <row r="64" spans="7:8" x14ac:dyDescent="0.3">
      <c r="G64" s="1208"/>
      <c r="H64" s="1208"/>
    </row>
    <row r="65" spans="7:8" x14ac:dyDescent="0.3">
      <c r="G65" s="1208"/>
      <c r="H65" s="1208"/>
    </row>
    <row r="66" spans="7:8" x14ac:dyDescent="0.3">
      <c r="G66" s="1208"/>
      <c r="H66" s="1208"/>
    </row>
    <row r="67" spans="7:8" x14ac:dyDescent="0.3">
      <c r="G67" s="1208"/>
      <c r="H67" s="1208"/>
    </row>
    <row r="68" spans="7:8" x14ac:dyDescent="0.3">
      <c r="G68" s="1208"/>
      <c r="H68" s="1208"/>
    </row>
    <row r="69" spans="7:8" x14ac:dyDescent="0.3">
      <c r="G69" s="1208"/>
      <c r="H69" s="1208"/>
    </row>
    <row r="70" spans="7:8" x14ac:dyDescent="0.3">
      <c r="G70" s="1208"/>
      <c r="H70" s="1208"/>
    </row>
    <row r="71" spans="7:8" x14ac:dyDescent="0.3">
      <c r="G71" s="1208"/>
      <c r="H71" s="1208"/>
    </row>
    <row r="72" spans="7:8" x14ac:dyDescent="0.3">
      <c r="G72" s="1208"/>
      <c r="H72" s="1208"/>
    </row>
    <row r="73" spans="7:8" x14ac:dyDescent="0.3">
      <c r="G73" s="1208"/>
      <c r="H73" s="1208"/>
    </row>
    <row r="74" spans="7:8" x14ac:dyDescent="0.3">
      <c r="G74" s="1208"/>
      <c r="H74" s="1208"/>
    </row>
    <row r="75" spans="7:8" x14ac:dyDescent="0.3">
      <c r="G75" s="1208"/>
      <c r="H75" s="1208"/>
    </row>
    <row r="76" spans="7:8" x14ac:dyDescent="0.3">
      <c r="G76" s="1208"/>
      <c r="H76" s="1208"/>
    </row>
    <row r="77" spans="7:8" x14ac:dyDescent="0.3">
      <c r="G77" s="1208"/>
      <c r="H77" s="1208"/>
    </row>
    <row r="78" spans="7:8" x14ac:dyDescent="0.3">
      <c r="G78" s="1208"/>
      <c r="H78" s="1208"/>
    </row>
    <row r="79" spans="7:8" x14ac:dyDescent="0.3">
      <c r="G79" s="1208"/>
      <c r="H79" s="1208"/>
    </row>
    <row r="80" spans="7:8" x14ac:dyDescent="0.3">
      <c r="G80" s="1208"/>
      <c r="H80" s="1208"/>
    </row>
    <row r="81" spans="7:8" x14ac:dyDescent="0.3">
      <c r="G81" s="1208"/>
      <c r="H81" s="1208"/>
    </row>
    <row r="82" spans="7:8" x14ac:dyDescent="0.3">
      <c r="G82" s="1208"/>
      <c r="H82" s="1208"/>
    </row>
    <row r="83" spans="7:8" x14ac:dyDescent="0.3">
      <c r="G83" s="1208"/>
      <c r="H83" s="1208"/>
    </row>
    <row r="84" spans="7:8" x14ac:dyDescent="0.3">
      <c r="G84" s="1208"/>
      <c r="H84" s="1208"/>
    </row>
    <row r="85" spans="7:8" x14ac:dyDescent="0.3">
      <c r="G85" s="1208"/>
      <c r="H85" s="1208"/>
    </row>
    <row r="86" spans="7:8" x14ac:dyDescent="0.3">
      <c r="G86" s="1208"/>
      <c r="H86" s="1208"/>
    </row>
    <row r="87" spans="7:8" x14ac:dyDescent="0.3">
      <c r="G87" s="1208"/>
      <c r="H87" s="1208"/>
    </row>
    <row r="88" spans="7:8" x14ac:dyDescent="0.3">
      <c r="G88" s="1208"/>
      <c r="H88" s="1208"/>
    </row>
    <row r="89" spans="7:8" x14ac:dyDescent="0.3">
      <c r="G89" s="1208"/>
      <c r="H89" s="1208"/>
    </row>
    <row r="90" spans="7:8" x14ac:dyDescent="0.3">
      <c r="G90" s="1208"/>
      <c r="H90" s="1208"/>
    </row>
    <row r="91" spans="7:8" x14ac:dyDescent="0.3">
      <c r="G91" s="1208"/>
      <c r="H91" s="1208"/>
    </row>
    <row r="92" spans="7:8" x14ac:dyDescent="0.3">
      <c r="G92" s="1208"/>
      <c r="H92" s="1208"/>
    </row>
    <row r="93" spans="7:8" x14ac:dyDescent="0.3">
      <c r="G93" s="1208"/>
      <c r="H93" s="1208"/>
    </row>
    <row r="94" spans="7:8" x14ac:dyDescent="0.3">
      <c r="G94" s="1208"/>
      <c r="H94" s="1208"/>
    </row>
    <row r="95" spans="7:8" x14ac:dyDescent="0.3">
      <c r="G95" s="1208"/>
      <c r="H95" s="1208"/>
    </row>
    <row r="96" spans="7:8" x14ac:dyDescent="0.3">
      <c r="G96" s="1208"/>
      <c r="H96" s="1208"/>
    </row>
    <row r="97" spans="7:8" x14ac:dyDescent="0.3">
      <c r="G97" s="1208"/>
      <c r="H97" s="1208"/>
    </row>
    <row r="98" spans="7:8" x14ac:dyDescent="0.3">
      <c r="G98" s="1208"/>
      <c r="H98" s="1208"/>
    </row>
    <row r="99" spans="7:8" x14ac:dyDescent="0.3">
      <c r="G99" s="1208"/>
      <c r="H99" s="1208"/>
    </row>
    <row r="100" spans="7:8" x14ac:dyDescent="0.3">
      <c r="G100" s="1208"/>
      <c r="H100" s="1208"/>
    </row>
    <row r="101" spans="7:8" x14ac:dyDescent="0.3">
      <c r="G101" s="1208"/>
      <c r="H101" s="1208"/>
    </row>
    <row r="102" spans="7:8" x14ac:dyDescent="0.3">
      <c r="G102" s="1208"/>
      <c r="H102" s="1208"/>
    </row>
    <row r="103" spans="7:8" x14ac:dyDescent="0.3">
      <c r="G103" s="1208"/>
      <c r="H103" s="1208"/>
    </row>
    <row r="104" spans="7:8" x14ac:dyDescent="0.3">
      <c r="G104" s="1208"/>
      <c r="H104" s="1208"/>
    </row>
    <row r="105" spans="7:8" x14ac:dyDescent="0.3">
      <c r="G105" s="1208"/>
      <c r="H105" s="1208"/>
    </row>
    <row r="106" spans="7:8" x14ac:dyDescent="0.3">
      <c r="G106" s="1208"/>
      <c r="H106" s="1208"/>
    </row>
    <row r="107" spans="7:8" x14ac:dyDescent="0.3">
      <c r="G107" s="1208"/>
      <c r="H107" s="1208"/>
    </row>
    <row r="108" spans="7:8" x14ac:dyDescent="0.3">
      <c r="G108" s="1208"/>
      <c r="H108" s="1208"/>
    </row>
    <row r="109" spans="7:8" x14ac:dyDescent="0.3">
      <c r="G109" s="1208"/>
      <c r="H109" s="1208"/>
    </row>
    <row r="110" spans="7:8" x14ac:dyDescent="0.3">
      <c r="G110" s="1208"/>
      <c r="H110" s="1208"/>
    </row>
    <row r="111" spans="7:8" x14ac:dyDescent="0.3">
      <c r="G111" s="1208"/>
      <c r="H111" s="1208"/>
    </row>
    <row r="112" spans="7:8" x14ac:dyDescent="0.3">
      <c r="G112" s="1208"/>
      <c r="H112" s="1208"/>
    </row>
    <row r="113" spans="7:8" x14ac:dyDescent="0.3">
      <c r="G113" s="1208"/>
      <c r="H113" s="1208"/>
    </row>
    <row r="114" spans="7:8" x14ac:dyDescent="0.3">
      <c r="G114" s="1208"/>
      <c r="H114" s="1208"/>
    </row>
    <row r="115" spans="7:8" x14ac:dyDescent="0.3">
      <c r="G115" s="1208"/>
      <c r="H115" s="1208"/>
    </row>
    <row r="116" spans="7:8" x14ac:dyDescent="0.3">
      <c r="G116" s="1208"/>
      <c r="H116" s="1208"/>
    </row>
    <row r="117" spans="7:8" x14ac:dyDescent="0.3">
      <c r="G117" s="1208"/>
      <c r="H117" s="1208"/>
    </row>
    <row r="118" spans="7:8" x14ac:dyDescent="0.3">
      <c r="G118" s="1208"/>
      <c r="H118" s="1208"/>
    </row>
    <row r="119" spans="7:8" x14ac:dyDescent="0.3">
      <c r="G119" s="1208"/>
      <c r="H119" s="1208"/>
    </row>
    <row r="120" spans="7:8" x14ac:dyDescent="0.3">
      <c r="G120" s="1208"/>
      <c r="H120" s="1208"/>
    </row>
    <row r="121" spans="7:8" x14ac:dyDescent="0.3">
      <c r="G121" s="1208"/>
      <c r="H121" s="1208"/>
    </row>
    <row r="122" spans="7:8" x14ac:dyDescent="0.3">
      <c r="G122" s="1208"/>
      <c r="H122" s="1208"/>
    </row>
    <row r="123" spans="7:8" x14ac:dyDescent="0.3">
      <c r="G123" s="1208"/>
      <c r="H123" s="1208"/>
    </row>
    <row r="124" spans="7:8" x14ac:dyDescent="0.3">
      <c r="G124" s="1208"/>
      <c r="H124" s="1208"/>
    </row>
    <row r="125" spans="7:8" x14ac:dyDescent="0.3">
      <c r="G125" s="1208"/>
      <c r="H125" s="1208"/>
    </row>
    <row r="126" spans="7:8" x14ac:dyDescent="0.3">
      <c r="G126" s="1208"/>
      <c r="H126" s="1208"/>
    </row>
    <row r="127" spans="7:8" x14ac:dyDescent="0.3">
      <c r="G127" s="1208"/>
      <c r="H127" s="1208"/>
    </row>
    <row r="128" spans="7:8" x14ac:dyDescent="0.3">
      <c r="G128" s="1208"/>
      <c r="H128" s="1208"/>
    </row>
    <row r="129" spans="7:8" x14ac:dyDescent="0.3">
      <c r="G129" s="1208"/>
      <c r="H129" s="1208"/>
    </row>
    <row r="130" spans="7:8" x14ac:dyDescent="0.3">
      <c r="G130" s="1208"/>
      <c r="H130" s="1208"/>
    </row>
    <row r="131" spans="7:8" x14ac:dyDescent="0.3">
      <c r="G131" s="1208"/>
      <c r="H131" s="1208"/>
    </row>
    <row r="132" spans="7:8" x14ac:dyDescent="0.3">
      <c r="G132" s="1208"/>
      <c r="H132" s="1208"/>
    </row>
    <row r="133" spans="7:8" x14ac:dyDescent="0.3">
      <c r="G133" s="1208"/>
      <c r="H133" s="1208"/>
    </row>
    <row r="134" spans="7:8" x14ac:dyDescent="0.3">
      <c r="G134" s="1208"/>
      <c r="H134" s="1208"/>
    </row>
    <row r="135" spans="7:8" x14ac:dyDescent="0.3">
      <c r="G135" s="1208"/>
      <c r="H135" s="1208"/>
    </row>
    <row r="136" spans="7:8" x14ac:dyDescent="0.3">
      <c r="G136" s="1208"/>
      <c r="H136" s="1208"/>
    </row>
    <row r="137" spans="7:8" x14ac:dyDescent="0.3">
      <c r="G137" s="1208"/>
      <c r="H137" s="1208"/>
    </row>
    <row r="138" spans="7:8" x14ac:dyDescent="0.3">
      <c r="G138" s="1208"/>
      <c r="H138" s="1208"/>
    </row>
    <row r="139" spans="7:8" x14ac:dyDescent="0.3">
      <c r="G139" s="1208"/>
      <c r="H139" s="1208"/>
    </row>
    <row r="140" spans="7:8" x14ac:dyDescent="0.3">
      <c r="G140" s="1208"/>
      <c r="H140" s="1208"/>
    </row>
    <row r="141" spans="7:8" x14ac:dyDescent="0.3">
      <c r="G141" s="1208"/>
      <c r="H141" s="1208"/>
    </row>
    <row r="142" spans="7:8" x14ac:dyDescent="0.3">
      <c r="G142" s="1208"/>
      <c r="H142" s="1208"/>
    </row>
    <row r="143" spans="7:8" x14ac:dyDescent="0.3">
      <c r="G143" s="1208"/>
      <c r="H143" s="1208"/>
    </row>
    <row r="144" spans="7:8" x14ac:dyDescent="0.3">
      <c r="G144" s="1208"/>
      <c r="H144" s="1208"/>
    </row>
    <row r="145" spans="7:8" x14ac:dyDescent="0.3">
      <c r="G145" s="1208"/>
      <c r="H145" s="1208"/>
    </row>
    <row r="146" spans="7:8" x14ac:dyDescent="0.3">
      <c r="G146" s="1208"/>
      <c r="H146" s="1208"/>
    </row>
    <row r="147" spans="7:8" x14ac:dyDescent="0.3">
      <c r="G147" s="1208"/>
      <c r="H147" s="1208"/>
    </row>
    <row r="148" spans="7:8" x14ac:dyDescent="0.3">
      <c r="G148" s="1208"/>
      <c r="H148" s="1208"/>
    </row>
    <row r="149" spans="7:8" x14ac:dyDescent="0.3">
      <c r="G149" s="1208"/>
      <c r="H149" s="1208"/>
    </row>
    <row r="150" spans="7:8" x14ac:dyDescent="0.3">
      <c r="G150" s="1208"/>
      <c r="H150" s="1208"/>
    </row>
    <row r="151" spans="7:8" x14ac:dyDescent="0.3">
      <c r="G151" s="1208"/>
      <c r="H151" s="1208"/>
    </row>
    <row r="152" spans="7:8" x14ac:dyDescent="0.3">
      <c r="G152" s="1208"/>
      <c r="H152" s="1208"/>
    </row>
    <row r="153" spans="7:8" x14ac:dyDescent="0.3">
      <c r="G153" s="1208"/>
      <c r="H153" s="1208"/>
    </row>
    <row r="154" spans="7:8" x14ac:dyDescent="0.3">
      <c r="G154" s="1208"/>
      <c r="H154" s="1208"/>
    </row>
    <row r="155" spans="7:8" x14ac:dyDescent="0.3">
      <c r="G155" s="1208"/>
      <c r="H155" s="1208"/>
    </row>
    <row r="156" spans="7:8" x14ac:dyDescent="0.3">
      <c r="G156" s="1208"/>
      <c r="H156" s="1208"/>
    </row>
    <row r="157" spans="7:8" x14ac:dyDescent="0.3">
      <c r="G157" s="1208"/>
      <c r="H157" s="1208"/>
    </row>
    <row r="158" spans="7:8" x14ac:dyDescent="0.3">
      <c r="G158" s="1208"/>
      <c r="H158" s="1208"/>
    </row>
    <row r="159" spans="7:8" x14ac:dyDescent="0.3">
      <c r="G159" s="1208"/>
      <c r="H159" s="1208"/>
    </row>
    <row r="160" spans="7:8" x14ac:dyDescent="0.3">
      <c r="G160" s="1208"/>
      <c r="H160" s="1208"/>
    </row>
    <row r="161" spans="7:8" x14ac:dyDescent="0.3">
      <c r="G161" s="1208"/>
      <c r="H161" s="1208"/>
    </row>
    <row r="162" spans="7:8" x14ac:dyDescent="0.3">
      <c r="G162" s="1208"/>
      <c r="H162" s="1208"/>
    </row>
    <row r="163" spans="7:8" x14ac:dyDescent="0.3">
      <c r="G163" s="1208"/>
      <c r="H163" s="1208"/>
    </row>
    <row r="164" spans="7:8" x14ac:dyDescent="0.3">
      <c r="G164" s="1208"/>
      <c r="H164" s="1208"/>
    </row>
    <row r="165" spans="7:8" x14ac:dyDescent="0.3">
      <c r="G165" s="1208"/>
      <c r="H165" s="1208"/>
    </row>
    <row r="166" spans="7:8" x14ac:dyDescent="0.3">
      <c r="G166" s="1208"/>
      <c r="H166" s="1208"/>
    </row>
    <row r="167" spans="7:8" x14ac:dyDescent="0.3">
      <c r="G167" s="1208"/>
      <c r="H167" s="1208"/>
    </row>
    <row r="168" spans="7:8" x14ac:dyDescent="0.3">
      <c r="G168" s="1208"/>
      <c r="H168" s="1208"/>
    </row>
    <row r="169" spans="7:8" x14ac:dyDescent="0.3">
      <c r="G169" s="1208"/>
      <c r="H169" s="1208"/>
    </row>
    <row r="170" spans="7:8" x14ac:dyDescent="0.3">
      <c r="G170" s="1208"/>
      <c r="H170" s="1208"/>
    </row>
    <row r="171" spans="7:8" x14ac:dyDescent="0.3">
      <c r="G171" s="1208"/>
      <c r="H171" s="1208"/>
    </row>
    <row r="172" spans="7:8" x14ac:dyDescent="0.3">
      <c r="G172" s="1208"/>
      <c r="H172" s="1208"/>
    </row>
    <row r="173" spans="7:8" x14ac:dyDescent="0.3">
      <c r="G173" s="1208"/>
      <c r="H173" s="1208"/>
    </row>
    <row r="174" spans="7:8" x14ac:dyDescent="0.3">
      <c r="G174" s="1208"/>
      <c r="H174" s="1208"/>
    </row>
    <row r="175" spans="7:8" x14ac:dyDescent="0.3">
      <c r="G175" s="1208"/>
      <c r="H175" s="1208"/>
    </row>
    <row r="176" spans="7:8" x14ac:dyDescent="0.3">
      <c r="G176" s="1208"/>
      <c r="H176" s="1208"/>
    </row>
    <row r="177" spans="7:8" x14ac:dyDescent="0.3">
      <c r="G177" s="1208"/>
      <c r="H177" s="1208"/>
    </row>
    <row r="178" spans="7:8" x14ac:dyDescent="0.3">
      <c r="G178" s="1208"/>
      <c r="H178" s="1208"/>
    </row>
    <row r="179" spans="7:8" x14ac:dyDescent="0.3">
      <c r="G179" s="1208"/>
      <c r="H179" s="1208"/>
    </row>
    <row r="180" spans="7:8" x14ac:dyDescent="0.3">
      <c r="G180" s="1208"/>
      <c r="H180" s="1208"/>
    </row>
    <row r="181" spans="7:8" x14ac:dyDescent="0.3">
      <c r="G181" s="1208"/>
      <c r="H181" s="1208"/>
    </row>
    <row r="182" spans="7:8" x14ac:dyDescent="0.3">
      <c r="G182" s="1208"/>
      <c r="H182" s="1208"/>
    </row>
    <row r="183" spans="7:8" x14ac:dyDescent="0.3">
      <c r="G183" s="1208"/>
      <c r="H183" s="1208"/>
    </row>
    <row r="184" spans="7:8" x14ac:dyDescent="0.3">
      <c r="G184" s="1208"/>
      <c r="H184" s="1208"/>
    </row>
    <row r="185" spans="7:8" x14ac:dyDescent="0.3">
      <c r="G185" s="1208"/>
      <c r="H185" s="1208"/>
    </row>
    <row r="186" spans="7:8" x14ac:dyDescent="0.3">
      <c r="G186" s="1208"/>
      <c r="H186" s="1208"/>
    </row>
    <row r="187" spans="7:8" x14ac:dyDescent="0.3">
      <c r="G187" s="1208"/>
      <c r="H187" s="1208"/>
    </row>
    <row r="188" spans="7:8" x14ac:dyDescent="0.3">
      <c r="G188" s="1208"/>
      <c r="H188" s="1208"/>
    </row>
    <row r="189" spans="7:8" x14ac:dyDescent="0.3">
      <c r="G189" s="1208"/>
      <c r="H189" s="1208"/>
    </row>
    <row r="190" spans="7:8" x14ac:dyDescent="0.3">
      <c r="G190" s="1208"/>
      <c r="H190" s="1208"/>
    </row>
    <row r="191" spans="7:8" x14ac:dyDescent="0.3">
      <c r="G191" s="1208"/>
      <c r="H191" s="1208"/>
    </row>
    <row r="192" spans="7:8" x14ac:dyDescent="0.3">
      <c r="G192" s="1208"/>
      <c r="H192" s="1208"/>
    </row>
    <row r="193" spans="7:8" x14ac:dyDescent="0.3">
      <c r="G193" s="1208"/>
      <c r="H193" s="1208"/>
    </row>
    <row r="194" spans="7:8" x14ac:dyDescent="0.3">
      <c r="G194" s="1208"/>
      <c r="H194" s="1208"/>
    </row>
    <row r="195" spans="7:8" x14ac:dyDescent="0.3">
      <c r="G195" s="1208"/>
      <c r="H195" s="1208"/>
    </row>
    <row r="196" spans="7:8" x14ac:dyDescent="0.3">
      <c r="G196" s="1208"/>
      <c r="H196" s="1208"/>
    </row>
    <row r="197" spans="7:8" x14ac:dyDescent="0.3">
      <c r="G197" s="1208"/>
      <c r="H197" s="1208"/>
    </row>
    <row r="198" spans="7:8" x14ac:dyDescent="0.3">
      <c r="G198" s="1208"/>
      <c r="H198" s="1208"/>
    </row>
    <row r="199" spans="7:8" x14ac:dyDescent="0.3">
      <c r="G199" s="1208"/>
      <c r="H199" s="1208"/>
    </row>
    <row r="200" spans="7:8" x14ac:dyDescent="0.3">
      <c r="G200" s="1208"/>
      <c r="H200" s="1208"/>
    </row>
    <row r="201" spans="7:8" x14ac:dyDescent="0.3">
      <c r="G201" s="1208"/>
      <c r="H201" s="1208"/>
    </row>
    <row r="202" spans="7:8" x14ac:dyDescent="0.3">
      <c r="G202" s="1208"/>
      <c r="H202" s="1208"/>
    </row>
    <row r="203" spans="7:8" x14ac:dyDescent="0.3">
      <c r="G203" s="1208"/>
      <c r="H203" s="1208"/>
    </row>
    <row r="204" spans="7:8" x14ac:dyDescent="0.3">
      <c r="G204" s="1208"/>
      <c r="H204" s="1208"/>
    </row>
    <row r="205" spans="7:8" x14ac:dyDescent="0.3">
      <c r="G205" s="1208"/>
      <c r="H205" s="1208"/>
    </row>
    <row r="206" spans="7:8" x14ac:dyDescent="0.3">
      <c r="G206" s="1208"/>
      <c r="H206" s="1208"/>
    </row>
    <row r="207" spans="7:8" x14ac:dyDescent="0.3">
      <c r="G207" s="1208"/>
      <c r="H207" s="1208"/>
    </row>
    <row r="208" spans="7:8" x14ac:dyDescent="0.3">
      <c r="G208" s="1208"/>
      <c r="H208" s="1208"/>
    </row>
    <row r="209" spans="7:8" x14ac:dyDescent="0.3">
      <c r="G209" s="1208"/>
      <c r="H209" s="1208"/>
    </row>
    <row r="210" spans="7:8" x14ac:dyDescent="0.3">
      <c r="G210" s="1208"/>
      <c r="H210" s="1208"/>
    </row>
    <row r="211" spans="7:8" x14ac:dyDescent="0.3">
      <c r="G211" s="1208"/>
      <c r="H211" s="1208"/>
    </row>
    <row r="212" spans="7:8" x14ac:dyDescent="0.3">
      <c r="G212" s="1208"/>
      <c r="H212" s="1208"/>
    </row>
    <row r="213" spans="7:8" x14ac:dyDescent="0.3">
      <c r="G213" s="1208"/>
      <c r="H213" s="1208"/>
    </row>
    <row r="214" spans="7:8" x14ac:dyDescent="0.3">
      <c r="G214" s="1208"/>
      <c r="H214" s="1208"/>
    </row>
    <row r="215" spans="7:8" x14ac:dyDescent="0.3">
      <c r="G215" s="1208"/>
      <c r="H215" s="1208"/>
    </row>
    <row r="216" spans="7:8" x14ac:dyDescent="0.3">
      <c r="G216" s="1208"/>
      <c r="H216" s="1208"/>
    </row>
    <row r="217" spans="7:8" x14ac:dyDescent="0.3">
      <c r="G217" s="1208"/>
      <c r="H217" s="1208"/>
    </row>
    <row r="218" spans="7:8" x14ac:dyDescent="0.3">
      <c r="G218" s="1208"/>
      <c r="H218" s="1208"/>
    </row>
    <row r="219" spans="7:8" x14ac:dyDescent="0.3">
      <c r="G219" s="1208"/>
      <c r="H219" s="1208"/>
    </row>
    <row r="220" spans="7:8" x14ac:dyDescent="0.3">
      <c r="G220" s="1208"/>
      <c r="H220" s="1208"/>
    </row>
    <row r="221" spans="7:8" x14ac:dyDescent="0.3">
      <c r="G221" s="1208"/>
      <c r="H221" s="1208"/>
    </row>
    <row r="222" spans="7:8" x14ac:dyDescent="0.3">
      <c r="G222" s="1208"/>
      <c r="H222" s="1208"/>
    </row>
    <row r="223" spans="7:8" x14ac:dyDescent="0.3">
      <c r="G223" s="1208"/>
      <c r="H223" s="1208"/>
    </row>
    <row r="224" spans="7:8" x14ac:dyDescent="0.3">
      <c r="G224" s="1208"/>
      <c r="H224" s="1208"/>
    </row>
    <row r="225" spans="7:8" x14ac:dyDescent="0.3">
      <c r="G225" s="1208"/>
      <c r="H225" s="1208"/>
    </row>
    <row r="226" spans="7:8" x14ac:dyDescent="0.3">
      <c r="G226" s="1208"/>
      <c r="H226" s="1208"/>
    </row>
    <row r="227" spans="7:8" x14ac:dyDescent="0.3">
      <c r="G227" s="1208"/>
      <c r="H227" s="1208"/>
    </row>
    <row r="228" spans="7:8" x14ac:dyDescent="0.3">
      <c r="G228" s="1208"/>
      <c r="H228" s="1208"/>
    </row>
    <row r="229" spans="7:8" x14ac:dyDescent="0.3">
      <c r="G229" s="1208"/>
      <c r="H229" s="1208"/>
    </row>
    <row r="230" spans="7:8" x14ac:dyDescent="0.3">
      <c r="G230" s="1208"/>
      <c r="H230" s="1208"/>
    </row>
    <row r="231" spans="7:8" x14ac:dyDescent="0.3">
      <c r="G231" s="1208"/>
      <c r="H231" s="1208"/>
    </row>
    <row r="232" spans="7:8" x14ac:dyDescent="0.3">
      <c r="G232" s="1208"/>
      <c r="H232" s="1208"/>
    </row>
    <row r="233" spans="7:8" x14ac:dyDescent="0.3">
      <c r="G233" s="1208"/>
      <c r="H233" s="1208"/>
    </row>
    <row r="234" spans="7:8" x14ac:dyDescent="0.3">
      <c r="G234" s="1208"/>
      <c r="H234" s="1208"/>
    </row>
    <row r="235" spans="7:8" x14ac:dyDescent="0.3">
      <c r="G235" s="1208"/>
      <c r="H235" s="1208"/>
    </row>
    <row r="236" spans="7:8" x14ac:dyDescent="0.3">
      <c r="G236" s="1208"/>
      <c r="H236" s="1208"/>
    </row>
    <row r="237" spans="7:8" x14ac:dyDescent="0.3">
      <c r="G237" s="1208"/>
      <c r="H237" s="1208"/>
    </row>
    <row r="238" spans="7:8" x14ac:dyDescent="0.3">
      <c r="G238" s="1208"/>
      <c r="H238" s="1208"/>
    </row>
    <row r="239" spans="7:8" x14ac:dyDescent="0.3">
      <c r="G239" s="1208"/>
      <c r="H239" s="1208"/>
    </row>
    <row r="240" spans="7:8" x14ac:dyDescent="0.3">
      <c r="G240" s="1208"/>
      <c r="H240" s="1208"/>
    </row>
    <row r="241" spans="7:8" x14ac:dyDescent="0.3">
      <c r="G241" s="1208"/>
      <c r="H241" s="1208"/>
    </row>
    <row r="242" spans="7:8" x14ac:dyDescent="0.3">
      <c r="G242" s="1208"/>
      <c r="H242" s="1208"/>
    </row>
    <row r="243" spans="7:8" x14ac:dyDescent="0.3">
      <c r="G243" s="1208"/>
      <c r="H243" s="1208"/>
    </row>
    <row r="244" spans="7:8" x14ac:dyDescent="0.3">
      <c r="G244" s="1208"/>
      <c r="H244" s="1208"/>
    </row>
    <row r="245" spans="7:8" x14ac:dyDescent="0.3">
      <c r="G245" s="1208"/>
      <c r="H245" s="1208"/>
    </row>
    <row r="246" spans="7:8" x14ac:dyDescent="0.3">
      <c r="G246" s="1208"/>
      <c r="H246" s="1208"/>
    </row>
    <row r="247" spans="7:8" x14ac:dyDescent="0.3">
      <c r="G247" s="1208"/>
      <c r="H247" s="1208"/>
    </row>
    <row r="248" spans="7:8" x14ac:dyDescent="0.3">
      <c r="G248" s="1208"/>
      <c r="H248" s="1208"/>
    </row>
    <row r="249" spans="7:8" x14ac:dyDescent="0.3">
      <c r="G249" s="1208"/>
      <c r="H249" s="1208"/>
    </row>
    <row r="250" spans="7:8" x14ac:dyDescent="0.3">
      <c r="G250" s="1208"/>
      <c r="H250" s="1208"/>
    </row>
    <row r="251" spans="7:8" x14ac:dyDescent="0.3">
      <c r="G251" s="1208"/>
      <c r="H251" s="1208"/>
    </row>
    <row r="252" spans="7:8" x14ac:dyDescent="0.3">
      <c r="G252" s="1208"/>
      <c r="H252" s="1208"/>
    </row>
    <row r="253" spans="7:8" x14ac:dyDescent="0.3">
      <c r="G253" s="1208"/>
      <c r="H253" s="1208"/>
    </row>
    <row r="254" spans="7:8" x14ac:dyDescent="0.3">
      <c r="G254" s="1208"/>
      <c r="H254" s="1208"/>
    </row>
    <row r="255" spans="7:8" x14ac:dyDescent="0.3">
      <c r="G255" s="1208"/>
      <c r="H255" s="1208"/>
    </row>
    <row r="256" spans="7:8" x14ac:dyDescent="0.3">
      <c r="G256" s="1208"/>
      <c r="H256" s="1208"/>
    </row>
    <row r="257" spans="7:8" x14ac:dyDescent="0.3">
      <c r="G257" s="1208"/>
      <c r="H257" s="1208"/>
    </row>
    <row r="258" spans="7:8" x14ac:dyDescent="0.3">
      <c r="G258" s="1208"/>
      <c r="H258" s="1208"/>
    </row>
    <row r="259" spans="7:8" x14ac:dyDescent="0.3">
      <c r="G259" s="1208"/>
      <c r="H259" s="1208"/>
    </row>
    <row r="260" spans="7:8" x14ac:dyDescent="0.3">
      <c r="G260" s="1208"/>
      <c r="H260" s="1208"/>
    </row>
    <row r="261" spans="7:8" x14ac:dyDescent="0.3">
      <c r="G261" s="1208"/>
      <c r="H261" s="1208"/>
    </row>
    <row r="262" spans="7:8" x14ac:dyDescent="0.3">
      <c r="G262" s="1208"/>
      <c r="H262" s="1208"/>
    </row>
    <row r="263" spans="7:8" x14ac:dyDescent="0.3">
      <c r="G263" s="1208"/>
      <c r="H263" s="1208"/>
    </row>
    <row r="264" spans="7:8" x14ac:dyDescent="0.3">
      <c r="G264" s="1208"/>
      <c r="H264" s="1208"/>
    </row>
    <row r="265" spans="7:8" x14ac:dyDescent="0.3">
      <c r="G265" s="1208"/>
      <c r="H265" s="1208"/>
    </row>
    <row r="266" spans="7:8" x14ac:dyDescent="0.3">
      <c r="G266" s="1208"/>
      <c r="H266" s="1208"/>
    </row>
    <row r="267" spans="7:8" x14ac:dyDescent="0.3">
      <c r="G267" s="1208"/>
      <c r="H267" s="1208"/>
    </row>
    <row r="268" spans="7:8" x14ac:dyDescent="0.3">
      <c r="G268" s="1208"/>
      <c r="H268" s="1208"/>
    </row>
    <row r="269" spans="7:8" x14ac:dyDescent="0.3">
      <c r="G269" s="1208"/>
      <c r="H269" s="1208"/>
    </row>
    <row r="270" spans="7:8" x14ac:dyDescent="0.3">
      <c r="G270" s="1208"/>
      <c r="H270" s="1208"/>
    </row>
    <row r="271" spans="7:8" x14ac:dyDescent="0.3">
      <c r="G271" s="1208"/>
      <c r="H271" s="1208"/>
    </row>
    <row r="272" spans="7:8" x14ac:dyDescent="0.3">
      <c r="G272" s="1208"/>
      <c r="H272" s="1208"/>
    </row>
    <row r="273" spans="7:8" x14ac:dyDescent="0.3">
      <c r="G273" s="1208"/>
      <c r="H273" s="1208"/>
    </row>
    <row r="274" spans="7:8" x14ac:dyDescent="0.3">
      <c r="G274" s="1208"/>
      <c r="H274" s="1208"/>
    </row>
    <row r="275" spans="7:8" x14ac:dyDescent="0.3">
      <c r="G275" s="1208"/>
      <c r="H275" s="1208"/>
    </row>
    <row r="276" spans="7:8" x14ac:dyDescent="0.3">
      <c r="G276" s="1208"/>
      <c r="H276" s="1208"/>
    </row>
    <row r="277" spans="7:8" x14ac:dyDescent="0.3">
      <c r="G277" s="1208"/>
      <c r="H277" s="1208"/>
    </row>
    <row r="278" spans="7:8" x14ac:dyDescent="0.3">
      <c r="G278" s="1208"/>
      <c r="H278" s="1208"/>
    </row>
    <row r="279" spans="7:8" x14ac:dyDescent="0.3">
      <c r="G279" s="1208"/>
      <c r="H279" s="1208"/>
    </row>
    <row r="280" spans="7:8" x14ac:dyDescent="0.3">
      <c r="G280" s="1208"/>
      <c r="H280" s="1208"/>
    </row>
    <row r="281" spans="7:8" x14ac:dyDescent="0.3">
      <c r="G281" s="1208"/>
      <c r="H281" s="1208"/>
    </row>
    <row r="282" spans="7:8" x14ac:dyDescent="0.3">
      <c r="G282" s="1208"/>
      <c r="H282" s="1208"/>
    </row>
    <row r="283" spans="7:8" x14ac:dyDescent="0.3">
      <c r="G283" s="1208"/>
      <c r="H283" s="1208"/>
    </row>
    <row r="284" spans="7:8" x14ac:dyDescent="0.3">
      <c r="G284" s="1208"/>
      <c r="H284" s="1208"/>
    </row>
    <row r="285" spans="7:8" x14ac:dyDescent="0.3">
      <c r="G285" s="1208"/>
      <c r="H285" s="1208"/>
    </row>
    <row r="286" spans="7:8" x14ac:dyDescent="0.3">
      <c r="G286" s="1208"/>
      <c r="H286" s="1208"/>
    </row>
    <row r="287" spans="7:8" x14ac:dyDescent="0.3">
      <c r="G287" s="1208"/>
      <c r="H287" s="1208"/>
    </row>
    <row r="288" spans="7:8" x14ac:dyDescent="0.3">
      <c r="G288" s="1208"/>
      <c r="H288" s="1208"/>
    </row>
    <row r="289" spans="7:8" x14ac:dyDescent="0.3">
      <c r="G289" s="1208"/>
      <c r="H289" s="1208"/>
    </row>
    <row r="290" spans="7:8" x14ac:dyDescent="0.3">
      <c r="G290" s="1208"/>
      <c r="H290" s="1208"/>
    </row>
    <row r="291" spans="7:8" x14ac:dyDescent="0.3">
      <c r="G291" s="1208"/>
      <c r="H291" s="1208"/>
    </row>
    <row r="292" spans="7:8" x14ac:dyDescent="0.3">
      <c r="G292" s="1208"/>
      <c r="H292" s="1208"/>
    </row>
    <row r="293" spans="7:8" x14ac:dyDescent="0.3">
      <c r="G293" s="1208"/>
      <c r="H293" s="1208"/>
    </row>
    <row r="294" spans="7:8" x14ac:dyDescent="0.3">
      <c r="G294" s="1208"/>
      <c r="H294" s="1208"/>
    </row>
    <row r="295" spans="7:8" x14ac:dyDescent="0.3">
      <c r="G295" s="1208"/>
      <c r="H295" s="1208"/>
    </row>
    <row r="296" spans="7:8" x14ac:dyDescent="0.3">
      <c r="G296" s="1208"/>
      <c r="H296" s="1208"/>
    </row>
    <row r="297" spans="7:8" x14ac:dyDescent="0.3">
      <c r="G297" s="1208"/>
      <c r="H297" s="1208"/>
    </row>
    <row r="298" spans="7:8" x14ac:dyDescent="0.3">
      <c r="G298" s="1208"/>
      <c r="H298" s="1208"/>
    </row>
    <row r="299" spans="7:8" x14ac:dyDescent="0.3">
      <c r="G299" s="1208"/>
      <c r="H299" s="1208"/>
    </row>
    <row r="300" spans="7:8" x14ac:dyDescent="0.3">
      <c r="G300" s="1208"/>
      <c r="H300" s="1208"/>
    </row>
    <row r="301" spans="7:8" x14ac:dyDescent="0.3">
      <c r="G301" s="1208"/>
      <c r="H301" s="1208"/>
    </row>
    <row r="302" spans="7:8" x14ac:dyDescent="0.3">
      <c r="G302" s="1208"/>
      <c r="H302" s="1208"/>
    </row>
    <row r="303" spans="7:8" x14ac:dyDescent="0.3">
      <c r="G303" s="1208"/>
      <c r="H303" s="1208"/>
    </row>
    <row r="304" spans="7:8" x14ac:dyDescent="0.3">
      <c r="G304" s="1208"/>
      <c r="H304" s="1208"/>
    </row>
    <row r="305" spans="7:8" x14ac:dyDescent="0.3">
      <c r="G305" s="1208"/>
      <c r="H305" s="1208"/>
    </row>
    <row r="306" spans="7:8" x14ac:dyDescent="0.3">
      <c r="G306" s="1208"/>
      <c r="H306" s="1208"/>
    </row>
    <row r="307" spans="7:8" x14ac:dyDescent="0.3">
      <c r="G307" s="1208"/>
      <c r="H307" s="1208"/>
    </row>
    <row r="308" spans="7:8" x14ac:dyDescent="0.3">
      <c r="G308" s="1208"/>
      <c r="H308" s="1208"/>
    </row>
    <row r="309" spans="7:8" x14ac:dyDescent="0.3">
      <c r="G309" s="1208"/>
      <c r="H309" s="1208"/>
    </row>
    <row r="310" spans="7:8" x14ac:dyDescent="0.3">
      <c r="G310" s="1208"/>
      <c r="H310" s="1208"/>
    </row>
    <row r="311" spans="7:8" x14ac:dyDescent="0.3">
      <c r="G311" s="1208"/>
      <c r="H311" s="1208"/>
    </row>
    <row r="312" spans="7:8" x14ac:dyDescent="0.3">
      <c r="G312" s="1208"/>
      <c r="H312" s="1208"/>
    </row>
    <row r="313" spans="7:8" x14ac:dyDescent="0.3">
      <c r="G313" s="1208"/>
      <c r="H313" s="1208"/>
    </row>
    <row r="314" spans="7:8" x14ac:dyDescent="0.3">
      <c r="G314" s="1208"/>
      <c r="H314" s="1208"/>
    </row>
    <row r="315" spans="7:8" x14ac:dyDescent="0.3">
      <c r="G315" s="1208"/>
      <c r="H315" s="1208"/>
    </row>
    <row r="316" spans="7:8" x14ac:dyDescent="0.3">
      <c r="G316" s="1208"/>
      <c r="H316" s="1208"/>
    </row>
    <row r="317" spans="7:8" x14ac:dyDescent="0.3">
      <c r="G317" s="1208"/>
      <c r="H317" s="1208"/>
    </row>
    <row r="318" spans="7:8" x14ac:dyDescent="0.3">
      <c r="G318" s="1208"/>
      <c r="H318" s="1208"/>
    </row>
    <row r="319" spans="7:8" x14ac:dyDescent="0.3">
      <c r="G319" s="1208"/>
      <c r="H319" s="1208"/>
    </row>
    <row r="320" spans="7:8" x14ac:dyDescent="0.3">
      <c r="G320" s="1208"/>
      <c r="H320" s="1208"/>
    </row>
    <row r="321" spans="7:8" x14ac:dyDescent="0.3">
      <c r="G321" s="1208"/>
      <c r="H321" s="1208"/>
    </row>
    <row r="322" spans="7:8" x14ac:dyDescent="0.3">
      <c r="G322" s="1208"/>
      <c r="H322" s="1208"/>
    </row>
    <row r="323" spans="7:8" x14ac:dyDescent="0.3">
      <c r="G323" s="1208"/>
      <c r="H323" s="1208"/>
    </row>
    <row r="324" spans="7:8" x14ac:dyDescent="0.3">
      <c r="G324" s="1208"/>
      <c r="H324" s="1208"/>
    </row>
    <row r="325" spans="7:8" x14ac:dyDescent="0.3">
      <c r="G325" s="1208"/>
      <c r="H325" s="1208"/>
    </row>
    <row r="326" spans="7:8" x14ac:dyDescent="0.3">
      <c r="G326" s="1208"/>
      <c r="H326" s="1208"/>
    </row>
    <row r="327" spans="7:8" x14ac:dyDescent="0.3">
      <c r="G327" s="1208"/>
      <c r="H327" s="1208"/>
    </row>
    <row r="328" spans="7:8" x14ac:dyDescent="0.3">
      <c r="G328" s="1208"/>
      <c r="H328" s="1208"/>
    </row>
    <row r="329" spans="7:8" x14ac:dyDescent="0.3">
      <c r="G329" s="1208"/>
      <c r="H329" s="1208"/>
    </row>
    <row r="330" spans="7:8" x14ac:dyDescent="0.3">
      <c r="G330" s="1208"/>
      <c r="H330" s="1208"/>
    </row>
    <row r="331" spans="7:8" x14ac:dyDescent="0.3">
      <c r="G331" s="1208"/>
      <c r="H331" s="1208"/>
    </row>
    <row r="332" spans="7:8" x14ac:dyDescent="0.3">
      <c r="G332" s="1208"/>
      <c r="H332" s="1208"/>
    </row>
    <row r="333" spans="7:8" x14ac:dyDescent="0.3">
      <c r="G333" s="1208"/>
      <c r="H333" s="1208"/>
    </row>
    <row r="334" spans="7:8" x14ac:dyDescent="0.3">
      <c r="G334" s="1208"/>
      <c r="H334" s="1208"/>
    </row>
    <row r="335" spans="7:8" x14ac:dyDescent="0.3">
      <c r="G335" s="1208"/>
      <c r="H335" s="1208"/>
    </row>
    <row r="336" spans="7:8" x14ac:dyDescent="0.3">
      <c r="G336" s="1208"/>
      <c r="H336" s="1208"/>
    </row>
    <row r="337" spans="7:8" x14ac:dyDescent="0.3">
      <c r="G337" s="1208"/>
      <c r="H337" s="1208"/>
    </row>
    <row r="338" spans="7:8" x14ac:dyDescent="0.3">
      <c r="G338" s="1208"/>
      <c r="H338" s="1208"/>
    </row>
    <row r="339" spans="7:8" x14ac:dyDescent="0.3">
      <c r="G339" s="1208"/>
      <c r="H339" s="1208"/>
    </row>
    <row r="340" spans="7:8" x14ac:dyDescent="0.3">
      <c r="G340" s="1208"/>
      <c r="H340" s="1208"/>
    </row>
    <row r="341" spans="7:8" x14ac:dyDescent="0.3">
      <c r="G341" s="1208"/>
      <c r="H341" s="1208"/>
    </row>
    <row r="342" spans="7:8" x14ac:dyDescent="0.3">
      <c r="G342" s="1208"/>
      <c r="H342" s="1208"/>
    </row>
    <row r="343" spans="7:8" x14ac:dyDescent="0.3">
      <c r="G343" s="1208"/>
      <c r="H343" s="1208"/>
    </row>
    <row r="344" spans="7:8" x14ac:dyDescent="0.3">
      <c r="G344" s="1208"/>
      <c r="H344" s="1208"/>
    </row>
    <row r="345" spans="7:8" x14ac:dyDescent="0.3">
      <c r="G345" s="1208"/>
      <c r="H345" s="1208"/>
    </row>
    <row r="346" spans="7:8" x14ac:dyDescent="0.3">
      <c r="G346" s="1208"/>
      <c r="H346" s="1208"/>
    </row>
    <row r="347" spans="7:8" x14ac:dyDescent="0.3">
      <c r="G347" s="1208"/>
      <c r="H347" s="1208"/>
    </row>
    <row r="348" spans="7:8" x14ac:dyDescent="0.3">
      <c r="G348" s="1208"/>
      <c r="H348" s="1208"/>
    </row>
    <row r="349" spans="7:8" x14ac:dyDescent="0.3">
      <c r="G349" s="1208"/>
      <c r="H349" s="1208"/>
    </row>
    <row r="350" spans="7:8" x14ac:dyDescent="0.3">
      <c r="G350" s="1208"/>
      <c r="H350" s="1208"/>
    </row>
    <row r="351" spans="7:8" x14ac:dyDescent="0.3">
      <c r="G351" s="1208"/>
      <c r="H351" s="1208"/>
    </row>
    <row r="352" spans="7:8" x14ac:dyDescent="0.3">
      <c r="G352" s="1208"/>
      <c r="H352" s="1208"/>
    </row>
    <row r="353" spans="7:8" x14ac:dyDescent="0.3">
      <c r="G353" s="1208"/>
      <c r="H353" s="1208"/>
    </row>
    <row r="354" spans="7:8" x14ac:dyDescent="0.3">
      <c r="G354" s="1208"/>
      <c r="H354" s="1208"/>
    </row>
    <row r="355" spans="7:8" x14ac:dyDescent="0.3">
      <c r="G355" s="1208"/>
      <c r="H355" s="1208"/>
    </row>
    <row r="356" spans="7:8" x14ac:dyDescent="0.3">
      <c r="G356" s="1208"/>
      <c r="H356" s="1208"/>
    </row>
    <row r="357" spans="7:8" x14ac:dyDescent="0.3">
      <c r="G357" s="1208"/>
      <c r="H357" s="1208"/>
    </row>
    <row r="358" spans="7:8" x14ac:dyDescent="0.3">
      <c r="G358" s="1208"/>
      <c r="H358" s="1208"/>
    </row>
    <row r="359" spans="7:8" x14ac:dyDescent="0.3">
      <c r="G359" s="1208"/>
      <c r="H359" s="1208"/>
    </row>
    <row r="360" spans="7:8" x14ac:dyDescent="0.3">
      <c r="G360" s="1208"/>
      <c r="H360" s="1208"/>
    </row>
    <row r="361" spans="7:8" x14ac:dyDescent="0.3">
      <c r="G361" s="1208"/>
      <c r="H361" s="1208"/>
    </row>
    <row r="362" spans="7:8" x14ac:dyDescent="0.3">
      <c r="G362" s="1208"/>
      <c r="H362" s="1208"/>
    </row>
    <row r="363" spans="7:8" x14ac:dyDescent="0.3">
      <c r="G363" s="1208"/>
      <c r="H363" s="1208"/>
    </row>
    <row r="364" spans="7:8" x14ac:dyDescent="0.3">
      <c r="G364" s="1208"/>
      <c r="H364" s="1208"/>
    </row>
    <row r="365" spans="7:8" x14ac:dyDescent="0.3">
      <c r="G365" s="1208"/>
      <c r="H365" s="1208"/>
    </row>
    <row r="366" spans="7:8" x14ac:dyDescent="0.3">
      <c r="G366" s="1208"/>
      <c r="H366" s="1208"/>
    </row>
    <row r="367" spans="7:8" x14ac:dyDescent="0.3">
      <c r="G367" s="1208"/>
      <c r="H367" s="1208"/>
    </row>
    <row r="368" spans="7:8" x14ac:dyDescent="0.3">
      <c r="G368" s="1208"/>
      <c r="H368" s="1208"/>
    </row>
    <row r="369" spans="7:8" x14ac:dyDescent="0.3">
      <c r="G369" s="1208"/>
      <c r="H369" s="1208"/>
    </row>
    <row r="370" spans="7:8" x14ac:dyDescent="0.3">
      <c r="G370" s="1208"/>
      <c r="H370" s="1208"/>
    </row>
    <row r="371" spans="7:8" x14ac:dyDescent="0.3">
      <c r="G371" s="1208"/>
      <c r="H371" s="1208"/>
    </row>
    <row r="372" spans="7:8" x14ac:dyDescent="0.3">
      <c r="G372" s="1208"/>
      <c r="H372" s="1208"/>
    </row>
    <row r="373" spans="7:8" x14ac:dyDescent="0.3">
      <c r="G373" s="1208"/>
      <c r="H373" s="1208"/>
    </row>
    <row r="374" spans="7:8" x14ac:dyDescent="0.3">
      <c r="G374" s="1208"/>
      <c r="H374" s="1208"/>
    </row>
    <row r="375" spans="7:8" x14ac:dyDescent="0.3">
      <c r="G375" s="1208"/>
      <c r="H375" s="1208"/>
    </row>
    <row r="376" spans="7:8" x14ac:dyDescent="0.3">
      <c r="G376" s="1208"/>
      <c r="H376" s="1208"/>
    </row>
    <row r="377" spans="7:8" x14ac:dyDescent="0.3">
      <c r="G377" s="1208"/>
      <c r="H377" s="1208"/>
    </row>
    <row r="378" spans="7:8" x14ac:dyDescent="0.3">
      <c r="G378" s="1208"/>
      <c r="H378" s="1208"/>
    </row>
    <row r="379" spans="7:8" x14ac:dyDescent="0.3">
      <c r="G379" s="1208"/>
      <c r="H379" s="1208"/>
    </row>
    <row r="380" spans="7:8" x14ac:dyDescent="0.3">
      <c r="G380" s="1208"/>
      <c r="H380" s="1208"/>
    </row>
    <row r="381" spans="7:8" x14ac:dyDescent="0.3">
      <c r="G381" s="1208"/>
      <c r="H381" s="1208"/>
    </row>
    <row r="382" spans="7:8" x14ac:dyDescent="0.3">
      <c r="G382" s="1208"/>
      <c r="H382" s="1208"/>
    </row>
    <row r="383" spans="7:8" x14ac:dyDescent="0.3">
      <c r="G383" s="1208"/>
      <c r="H383" s="1208"/>
    </row>
    <row r="384" spans="7:8" x14ac:dyDescent="0.3">
      <c r="G384" s="1208"/>
      <c r="H384" s="1208"/>
    </row>
    <row r="385" spans="7:8" x14ac:dyDescent="0.3">
      <c r="G385" s="1208"/>
      <c r="H385" s="1208"/>
    </row>
    <row r="386" spans="7:8" x14ac:dyDescent="0.3">
      <c r="G386" s="1208"/>
      <c r="H386" s="1208"/>
    </row>
    <row r="387" spans="7:8" x14ac:dyDescent="0.3">
      <c r="G387" s="1208"/>
      <c r="H387" s="1208"/>
    </row>
    <row r="388" spans="7:8" x14ac:dyDescent="0.3">
      <c r="G388" s="1208"/>
      <c r="H388" s="1208"/>
    </row>
    <row r="389" spans="7:8" x14ac:dyDescent="0.3">
      <c r="G389" s="1208"/>
      <c r="H389" s="1208"/>
    </row>
    <row r="390" spans="7:8" x14ac:dyDescent="0.3">
      <c r="G390" s="1208"/>
      <c r="H390" s="1208"/>
    </row>
    <row r="391" spans="7:8" x14ac:dyDescent="0.3">
      <c r="G391" s="1208"/>
      <c r="H391" s="1208"/>
    </row>
    <row r="392" spans="7:8" x14ac:dyDescent="0.3">
      <c r="G392" s="1208"/>
      <c r="H392" s="1208"/>
    </row>
    <row r="393" spans="7:8" x14ac:dyDescent="0.3">
      <c r="G393" s="1208"/>
      <c r="H393" s="1208"/>
    </row>
    <row r="394" spans="7:8" x14ac:dyDescent="0.3">
      <c r="G394" s="1208"/>
      <c r="H394" s="1208"/>
    </row>
    <row r="395" spans="7:8" x14ac:dyDescent="0.3">
      <c r="G395" s="1208"/>
      <c r="H395" s="1208"/>
    </row>
    <row r="396" spans="7:8" x14ac:dyDescent="0.3">
      <c r="G396" s="1208"/>
      <c r="H396" s="1208"/>
    </row>
    <row r="397" spans="7:8" x14ac:dyDescent="0.3">
      <c r="G397" s="1208"/>
      <c r="H397" s="1208"/>
    </row>
    <row r="398" spans="7:8" x14ac:dyDescent="0.3">
      <c r="G398" s="1208"/>
      <c r="H398" s="1208"/>
    </row>
    <row r="399" spans="7:8" x14ac:dyDescent="0.3">
      <c r="G399" s="1208"/>
      <c r="H399" s="1208"/>
    </row>
    <row r="400" spans="7:8" x14ac:dyDescent="0.3">
      <c r="G400" s="1208"/>
      <c r="H400" s="1208"/>
    </row>
    <row r="401" spans="7:8" x14ac:dyDescent="0.3">
      <c r="G401" s="1208"/>
      <c r="H401" s="1208"/>
    </row>
    <row r="402" spans="7:8" x14ac:dyDescent="0.3">
      <c r="G402" s="1208"/>
      <c r="H402" s="1208"/>
    </row>
    <row r="403" spans="7:8" x14ac:dyDescent="0.3">
      <c r="G403" s="1208"/>
      <c r="H403" s="1208"/>
    </row>
    <row r="404" spans="7:8" x14ac:dyDescent="0.3">
      <c r="G404" s="1208"/>
      <c r="H404" s="1208"/>
    </row>
    <row r="405" spans="7:8" x14ac:dyDescent="0.3">
      <c r="G405" s="1208"/>
      <c r="H405" s="1208"/>
    </row>
    <row r="406" spans="7:8" x14ac:dyDescent="0.3">
      <c r="G406" s="1208"/>
      <c r="H406" s="1208"/>
    </row>
    <row r="407" spans="7:8" x14ac:dyDescent="0.3">
      <c r="G407" s="1208"/>
      <c r="H407" s="1208"/>
    </row>
    <row r="408" spans="7:8" x14ac:dyDescent="0.3">
      <c r="G408" s="1208"/>
      <c r="H408" s="1208"/>
    </row>
    <row r="409" spans="7:8" x14ac:dyDescent="0.3">
      <c r="G409" s="1208"/>
      <c r="H409" s="1208"/>
    </row>
    <row r="410" spans="7:8" x14ac:dyDescent="0.3">
      <c r="G410" s="1208"/>
      <c r="H410" s="1208"/>
    </row>
    <row r="411" spans="7:8" x14ac:dyDescent="0.3">
      <c r="G411" s="1208"/>
      <c r="H411" s="1208"/>
    </row>
    <row r="412" spans="7:8" x14ac:dyDescent="0.3">
      <c r="G412" s="1208"/>
      <c r="H412" s="1208"/>
    </row>
    <row r="413" spans="7:8" x14ac:dyDescent="0.3">
      <c r="G413" s="1208"/>
      <c r="H413" s="1208"/>
    </row>
    <row r="414" spans="7:8" x14ac:dyDescent="0.3">
      <c r="G414" s="1208"/>
      <c r="H414" s="1208"/>
    </row>
    <row r="415" spans="7:8" x14ac:dyDescent="0.3">
      <c r="G415" s="1208"/>
      <c r="H415" s="1208"/>
    </row>
    <row r="416" spans="7:8" x14ac:dyDescent="0.3">
      <c r="G416" s="1208"/>
      <c r="H416" s="1208"/>
    </row>
    <row r="417" spans="7:8" x14ac:dyDescent="0.3">
      <c r="G417" s="1208"/>
      <c r="H417" s="1208"/>
    </row>
    <row r="418" spans="7:8" x14ac:dyDescent="0.3">
      <c r="G418" s="1208"/>
      <c r="H418" s="1208"/>
    </row>
    <row r="419" spans="7:8" x14ac:dyDescent="0.3">
      <c r="G419" s="1208"/>
      <c r="H419" s="1208"/>
    </row>
    <row r="420" spans="7:8" x14ac:dyDescent="0.3">
      <c r="G420" s="1208"/>
      <c r="H420" s="1208"/>
    </row>
    <row r="421" spans="7:8" x14ac:dyDescent="0.3">
      <c r="G421" s="1208"/>
      <c r="H421" s="1208"/>
    </row>
    <row r="422" spans="7:8" x14ac:dyDescent="0.3">
      <c r="G422" s="1208"/>
      <c r="H422" s="1208"/>
    </row>
    <row r="423" spans="7:8" x14ac:dyDescent="0.3">
      <c r="G423" s="1208"/>
      <c r="H423" s="1208"/>
    </row>
    <row r="424" spans="7:8" x14ac:dyDescent="0.3">
      <c r="G424" s="1208"/>
      <c r="H424" s="1208"/>
    </row>
    <row r="425" spans="7:8" x14ac:dyDescent="0.3">
      <c r="G425" s="1208"/>
      <c r="H425" s="1208"/>
    </row>
    <row r="426" spans="7:8" x14ac:dyDescent="0.3">
      <c r="G426" s="1208"/>
      <c r="H426" s="1208"/>
    </row>
    <row r="427" spans="7:8" x14ac:dyDescent="0.3">
      <c r="G427" s="1208"/>
      <c r="H427" s="1208"/>
    </row>
    <row r="428" spans="7:8" x14ac:dyDescent="0.3">
      <c r="G428" s="1208"/>
      <c r="H428" s="1208"/>
    </row>
    <row r="429" spans="7:8" x14ac:dyDescent="0.3">
      <c r="G429" s="1208"/>
      <c r="H429" s="1208"/>
    </row>
    <row r="430" spans="7:8" x14ac:dyDescent="0.3">
      <c r="G430" s="1208"/>
      <c r="H430" s="1208"/>
    </row>
    <row r="431" spans="7:8" x14ac:dyDescent="0.3">
      <c r="G431" s="1208"/>
      <c r="H431" s="1208"/>
    </row>
    <row r="432" spans="7:8" x14ac:dyDescent="0.3">
      <c r="G432" s="1208"/>
      <c r="H432" s="1208"/>
    </row>
    <row r="433" spans="7:8" x14ac:dyDescent="0.3">
      <c r="G433" s="1208"/>
      <c r="H433" s="1208"/>
    </row>
    <row r="434" spans="7:8" x14ac:dyDescent="0.3">
      <c r="G434" s="1208"/>
      <c r="H434" s="1208"/>
    </row>
    <row r="435" spans="7:8" x14ac:dyDescent="0.3">
      <c r="G435" s="1208"/>
      <c r="H435" s="1208"/>
    </row>
    <row r="436" spans="7:8" x14ac:dyDescent="0.3">
      <c r="G436" s="1208"/>
      <c r="H436" s="1208"/>
    </row>
    <row r="437" spans="7:8" x14ac:dyDescent="0.3">
      <c r="G437" s="1208"/>
      <c r="H437" s="1208"/>
    </row>
    <row r="438" spans="7:8" x14ac:dyDescent="0.3">
      <c r="G438" s="1208"/>
      <c r="H438" s="1208"/>
    </row>
    <row r="439" spans="7:8" x14ac:dyDescent="0.3">
      <c r="G439" s="1208"/>
      <c r="H439" s="1208"/>
    </row>
    <row r="440" spans="7:8" x14ac:dyDescent="0.3">
      <c r="G440" s="1208"/>
      <c r="H440" s="1208"/>
    </row>
    <row r="441" spans="7:8" x14ac:dyDescent="0.3">
      <c r="G441" s="1208"/>
      <c r="H441" s="1208"/>
    </row>
    <row r="442" spans="7:8" x14ac:dyDescent="0.3">
      <c r="G442" s="1208"/>
      <c r="H442" s="1208"/>
    </row>
    <row r="443" spans="7:8" x14ac:dyDescent="0.3">
      <c r="G443" s="1208"/>
      <c r="H443" s="1208"/>
    </row>
    <row r="444" spans="7:8" x14ac:dyDescent="0.3">
      <c r="G444" s="1208"/>
      <c r="H444" s="1208"/>
    </row>
    <row r="445" spans="7:8" x14ac:dyDescent="0.3">
      <c r="G445" s="1208"/>
      <c r="H445" s="1208"/>
    </row>
    <row r="446" spans="7:8" x14ac:dyDescent="0.3">
      <c r="G446" s="1208"/>
      <c r="H446" s="1208"/>
    </row>
    <row r="447" spans="7:8" x14ac:dyDescent="0.3">
      <c r="G447" s="1208"/>
      <c r="H447" s="1208"/>
    </row>
    <row r="448" spans="7:8" x14ac:dyDescent="0.3">
      <c r="G448" s="1208"/>
      <c r="H448" s="1208"/>
    </row>
    <row r="449" spans="7:8" x14ac:dyDescent="0.3">
      <c r="G449" s="1208"/>
      <c r="H449" s="1208"/>
    </row>
    <row r="450" spans="7:8" x14ac:dyDescent="0.3">
      <c r="G450" s="1208"/>
      <c r="H450" s="1208"/>
    </row>
    <row r="451" spans="7:8" x14ac:dyDescent="0.3">
      <c r="G451" s="1208"/>
      <c r="H451" s="1208"/>
    </row>
    <row r="452" spans="7:8" x14ac:dyDescent="0.3">
      <c r="G452" s="1208"/>
      <c r="H452" s="1208"/>
    </row>
    <row r="453" spans="7:8" x14ac:dyDescent="0.3">
      <c r="G453" s="1208"/>
      <c r="H453" s="1208"/>
    </row>
    <row r="454" spans="7:8" x14ac:dyDescent="0.3">
      <c r="G454" s="1208"/>
      <c r="H454" s="1208"/>
    </row>
    <row r="455" spans="7:8" x14ac:dyDescent="0.3">
      <c r="G455" s="1208"/>
      <c r="H455" s="1208"/>
    </row>
    <row r="456" spans="7:8" x14ac:dyDescent="0.3">
      <c r="G456" s="1208"/>
      <c r="H456" s="1208"/>
    </row>
    <row r="457" spans="7:8" x14ac:dyDescent="0.3">
      <c r="G457" s="1208"/>
      <c r="H457" s="1208"/>
    </row>
    <row r="458" spans="7:8" x14ac:dyDescent="0.3">
      <c r="G458" s="1208"/>
      <c r="H458" s="1208"/>
    </row>
    <row r="459" spans="7:8" x14ac:dyDescent="0.3">
      <c r="G459" s="1208"/>
      <c r="H459" s="1208"/>
    </row>
  </sheetData>
  <mergeCells count="3">
    <mergeCell ref="A2:E3"/>
    <mergeCell ref="A7:F7"/>
    <mergeCell ref="R7:AE7"/>
  </mergeCells>
  <conditionalFormatting sqref="A8:AE8">
    <cfRule type="expression" dxfId="16" priority="1">
      <formula>IF(INDEX(VAD_nMeasModWaterErosionNutriTransp,COLUMN(A8),5)&gt;0,TRUE(),FALSE())</formula>
    </cfRule>
  </conditionalFormatting>
  <dataValidations count="12">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specifically what was harvested. You may add more choices to the drop down menu on page &quot;DropDownLists&quot; tab_x000a__x000a_" sqref="F8 I8:Q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197:A65232 C1197:C65232 D201:D822">
      <formula1>#REF!</formula1>
    </dataValidation>
    <dataValidation type="list" allowBlank="1" showInputMessage="1" showErrorMessage="1" sqref="A9:A1196">
      <formula1>Exp_UnitID</formula1>
    </dataValidation>
    <dataValidation type="list" allowBlank="1" showInputMessage="1" showErrorMessage="1" sqref="C9:C1196">
      <formula1>TreatmentID</formula1>
    </dataValidation>
    <dataValidation type="list" allowBlank="1" showInputMessage="1" showErrorMessage="1" sqref="F9 F27:F696 G460:H696">
      <formula1>Harvested_Fraction</formula1>
    </dataValidation>
    <dataValidation type="list" allowBlank="1" showInputMessage="1" showErrorMessage="1" sqref="D9:D200">
      <formula1>Growth_Stage</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D459"/>
  <sheetViews>
    <sheetView workbookViewId="0">
      <pane xSplit="6" ySplit="8" topLeftCell="G9" activePane="bottomRight" state="frozen"/>
      <selection pane="topRight" activeCell="G1" sqref="G1"/>
      <selection pane="bottomLeft" activeCell="A9" sqref="A9"/>
      <selection pane="bottomRight" activeCell="A8" sqref="A8:XFD8"/>
    </sheetView>
  </sheetViews>
  <sheetFormatPr defaultColWidth="8.88671875" defaultRowHeight="14.4" x14ac:dyDescent="0.3"/>
  <cols>
    <col min="1" max="1" width="12.44140625" style="316" customWidth="1"/>
    <col min="2" max="2" width="13" style="313" customWidth="1"/>
    <col min="3" max="3" width="10.5546875" style="316" bestFit="1" customWidth="1"/>
    <col min="4" max="4" width="27.109375" style="316" bestFit="1" customWidth="1"/>
    <col min="5" max="5" width="13.6640625" style="316" bestFit="1" customWidth="1"/>
    <col min="6" max="6" width="26.44140625" style="316" customWidth="1"/>
    <col min="7" max="7" width="16.6640625" style="316" customWidth="1"/>
    <col min="8" max="8" width="27" style="316" customWidth="1"/>
    <col min="9" max="9" width="19.88671875" style="108" bestFit="1" customWidth="1"/>
    <col min="10" max="11" width="24.88671875" style="108" bestFit="1" customWidth="1"/>
    <col min="12" max="12" width="27.44140625" style="108" bestFit="1" customWidth="1"/>
    <col min="13" max="13" width="19.88671875" style="108" customWidth="1"/>
    <col min="14" max="14" width="13.88671875" style="108" customWidth="1"/>
    <col min="15" max="15" width="13.88671875" style="108" bestFit="1" customWidth="1"/>
    <col min="16" max="16" width="14.44140625" style="108" bestFit="1" customWidth="1"/>
    <col min="17" max="17" width="8.88671875" style="108"/>
    <col min="18" max="18" width="10.44140625" style="108" bestFit="1" customWidth="1"/>
    <col min="19" max="20" width="8.88671875" style="108"/>
    <col min="21" max="21" width="10" style="108" bestFit="1" customWidth="1"/>
    <col min="22" max="22" width="10.44140625" style="108" bestFit="1" customWidth="1"/>
    <col min="23" max="16384" width="8.88671875" style="108"/>
  </cols>
  <sheetData>
    <row r="1" spans="1:30" ht="17.399999999999999" x14ac:dyDescent="0.3">
      <c r="A1" s="1294" t="s">
        <v>3011</v>
      </c>
      <c r="B1" s="1295"/>
      <c r="C1" s="1296"/>
      <c r="D1" s="1296"/>
      <c r="E1" s="1296"/>
      <c r="F1" s="1296"/>
      <c r="G1" s="1296"/>
      <c r="H1" s="1296"/>
      <c r="I1" s="1296"/>
      <c r="J1" s="1296"/>
      <c r="K1" s="1296"/>
      <c r="L1" s="1296"/>
      <c r="M1" s="1296"/>
      <c r="N1" s="1296"/>
      <c r="O1" s="1296"/>
      <c r="P1" s="1296"/>
      <c r="Q1" s="1296"/>
      <c r="R1" s="1296"/>
      <c r="S1" s="1296"/>
      <c r="T1" s="1296"/>
      <c r="U1" s="1296"/>
      <c r="V1" s="1296"/>
      <c r="W1" s="1296"/>
      <c r="X1" s="1296"/>
      <c r="Y1" s="1296"/>
      <c r="Z1" s="1296"/>
      <c r="AA1" s="1296"/>
      <c r="AB1" s="1296"/>
    </row>
    <row r="2" spans="1:30" x14ac:dyDescent="0.3">
      <c r="A2" s="1507" t="s">
        <v>2974</v>
      </c>
      <c r="B2" s="1507"/>
      <c r="C2" s="1507"/>
      <c r="D2" s="1507"/>
      <c r="E2" s="1507"/>
      <c r="F2" s="73"/>
      <c r="G2" s="73"/>
      <c r="H2" s="73"/>
      <c r="I2" s="73"/>
      <c r="J2" s="73"/>
      <c r="K2" s="73"/>
      <c r="L2" s="73"/>
      <c r="M2" s="73"/>
      <c r="N2" s="73"/>
      <c r="O2" s="73"/>
      <c r="P2" s="73"/>
      <c r="Q2" s="73"/>
      <c r="R2" s="73"/>
      <c r="S2" s="73"/>
      <c r="T2" s="73"/>
      <c r="U2" s="73"/>
      <c r="V2" s="73"/>
      <c r="W2" s="73"/>
      <c r="X2" s="73"/>
      <c r="Y2" s="73"/>
      <c r="Z2" s="73"/>
      <c r="AA2" s="73"/>
      <c r="AB2" s="1331"/>
    </row>
    <row r="3" spans="1:30" x14ac:dyDescent="0.3">
      <c r="A3" s="1507"/>
      <c r="B3" s="1507"/>
      <c r="C3" s="1507"/>
      <c r="D3" s="1507"/>
      <c r="E3" s="1507"/>
      <c r="F3" s="1154"/>
      <c r="G3" s="1251"/>
      <c r="H3" s="1251"/>
      <c r="I3" s="1251"/>
      <c r="J3" s="1251"/>
      <c r="K3" s="1251"/>
      <c r="L3" s="1251"/>
      <c r="M3" s="1251"/>
      <c r="N3" s="1251"/>
      <c r="O3" s="1251"/>
      <c r="P3" s="1251"/>
      <c r="Q3" s="1251"/>
      <c r="R3" s="1251"/>
      <c r="S3" s="1251"/>
      <c r="T3" s="1251"/>
      <c r="U3" s="1251"/>
      <c r="V3" s="1251"/>
      <c r="W3" s="1251"/>
      <c r="X3" s="1251"/>
      <c r="Y3" s="1251"/>
      <c r="Z3" s="1251"/>
      <c r="AA3" s="1251"/>
      <c r="AB3" s="1300"/>
      <c r="AC3" s="959"/>
      <c r="AD3" s="959"/>
    </row>
    <row r="4" spans="1:30" x14ac:dyDescent="0.3">
      <c r="A4" s="1155"/>
      <c r="B4" s="1156"/>
      <c r="C4" s="1157"/>
      <c r="D4" s="1158"/>
      <c r="E4" s="1158"/>
      <c r="F4" s="639"/>
      <c r="G4" s="73"/>
      <c r="H4" s="73"/>
      <c r="I4" s="73"/>
      <c r="J4" s="73"/>
      <c r="K4" s="73"/>
      <c r="L4" s="73"/>
      <c r="M4" s="73"/>
      <c r="N4" s="73"/>
      <c r="O4" s="73"/>
      <c r="P4" s="73"/>
      <c r="Q4" s="73"/>
      <c r="R4" s="73"/>
      <c r="S4" s="73"/>
      <c r="T4" s="73"/>
      <c r="U4" s="73"/>
      <c r="V4" s="73"/>
      <c r="W4" s="73"/>
      <c r="X4" s="73"/>
      <c r="Y4" s="73"/>
      <c r="Z4" s="73"/>
      <c r="AA4" s="73"/>
      <c r="AB4" s="1331"/>
      <c r="AC4" s="959"/>
      <c r="AD4" s="959"/>
    </row>
    <row r="5" spans="1:30" ht="15.6" x14ac:dyDescent="0.3">
      <c r="A5" s="1359" t="s">
        <v>343</v>
      </c>
      <c r="B5" s="1160"/>
      <c r="C5" s="1161"/>
      <c r="D5" s="1162" t="s">
        <v>394</v>
      </c>
      <c r="E5" s="1120"/>
      <c r="F5" s="1120"/>
      <c r="G5" s="616"/>
      <c r="H5" s="616"/>
      <c r="I5" s="616"/>
      <c r="J5" s="616"/>
      <c r="K5" s="616"/>
      <c r="L5" s="616"/>
      <c r="M5" s="616"/>
      <c r="N5" s="616"/>
      <c r="O5" s="616"/>
      <c r="P5" s="616"/>
      <c r="Q5" s="616"/>
      <c r="R5" s="616"/>
      <c r="S5" s="616"/>
      <c r="T5" s="616"/>
      <c r="U5" s="616"/>
      <c r="V5" s="616"/>
      <c r="W5" s="616"/>
      <c r="X5" s="616"/>
      <c r="Y5" s="616"/>
      <c r="Z5" s="616"/>
      <c r="AA5" s="616"/>
      <c r="AB5" s="1360"/>
      <c r="AC5" s="959"/>
      <c r="AD5" s="959"/>
    </row>
    <row r="6" spans="1:30" ht="16.2" x14ac:dyDescent="0.35">
      <c r="A6" s="667"/>
      <c r="B6" s="274" t="s">
        <v>116</v>
      </c>
      <c r="C6" s="641"/>
      <c r="D6" s="1163" t="str">
        <f>HYPERLINK("#DropDownLists!O6","Add to this list")</f>
        <v>Add to this list</v>
      </c>
      <c r="E6" s="1163" t="str">
        <f>HYPERLINK("#DropDownLists!K6","Add to this list")</f>
        <v>Add to this list</v>
      </c>
      <c r="F6" s="1163" t="str">
        <f>HYPERLINK("#DropDownLists!P6","Add to this list")</f>
        <v>Add to this list</v>
      </c>
      <c r="G6" s="1361"/>
      <c r="H6" s="1362"/>
      <c r="I6" s="1363"/>
      <c r="J6" s="1363"/>
      <c r="K6" s="1363"/>
      <c r="L6" s="1363"/>
      <c r="M6" s="1363"/>
      <c r="N6" s="1363"/>
      <c r="O6" s="1363"/>
      <c r="P6" s="1363"/>
      <c r="Q6" s="1363"/>
      <c r="R6" s="1363"/>
      <c r="S6" s="1363"/>
      <c r="T6" s="1363"/>
      <c r="U6" s="1363"/>
      <c r="V6" s="1363"/>
      <c r="W6" s="1363"/>
      <c r="X6" s="1363"/>
      <c r="Y6" s="1363"/>
      <c r="Z6" s="1363"/>
      <c r="AA6" s="1363"/>
      <c r="AB6" s="1364"/>
      <c r="AC6" s="959"/>
      <c r="AD6" s="959"/>
    </row>
    <row r="7" spans="1:30" ht="17.399999999999999" x14ac:dyDescent="0.3">
      <c r="A7" s="1506" t="s">
        <v>390</v>
      </c>
      <c r="B7" s="1506"/>
      <c r="C7" s="1506"/>
      <c r="D7" s="1506"/>
      <c r="E7" s="1506"/>
      <c r="F7" s="1506"/>
      <c r="G7" s="1365"/>
      <c r="H7" s="1366"/>
      <c r="I7" s="1604" t="s">
        <v>3012</v>
      </c>
      <c r="J7" s="1604"/>
      <c r="K7" s="1604"/>
      <c r="L7" s="1604"/>
      <c r="M7" s="1604"/>
      <c r="N7" s="1604"/>
      <c r="O7" s="1604"/>
      <c r="P7" s="1604"/>
      <c r="Q7" s="1604"/>
      <c r="R7" s="1604"/>
      <c r="S7" s="1604"/>
      <c r="T7" s="1604"/>
      <c r="U7" s="1604"/>
      <c r="V7" s="1604"/>
      <c r="W7" s="1604"/>
      <c r="X7" s="1604"/>
      <c r="Y7" s="1604"/>
      <c r="Z7" s="1604"/>
      <c r="AA7" s="1604"/>
      <c r="AB7" s="1605"/>
      <c r="AC7" s="959"/>
      <c r="AD7" s="959"/>
    </row>
    <row r="8" spans="1:30" ht="28.2" thickBot="1" x14ac:dyDescent="0.4">
      <c r="A8" s="1037" t="s">
        <v>3474</v>
      </c>
      <c r="B8" s="1167" t="s">
        <v>35</v>
      </c>
      <c r="C8" s="625" t="s">
        <v>152</v>
      </c>
      <c r="D8" s="625" t="s">
        <v>1659</v>
      </c>
      <c r="E8" s="556" t="s">
        <v>77</v>
      </c>
      <c r="F8" s="1338" t="s">
        <v>3013</v>
      </c>
      <c r="G8" s="1338" t="s">
        <v>2918</v>
      </c>
      <c r="H8" s="1367" t="s">
        <v>2919</v>
      </c>
      <c r="I8" s="1368" t="s">
        <v>2997</v>
      </c>
      <c r="J8" s="1368" t="s">
        <v>3014</v>
      </c>
      <c r="K8" s="1368" t="s">
        <v>3002</v>
      </c>
      <c r="L8" s="1368" t="s">
        <v>3003</v>
      </c>
      <c r="M8" s="1368" t="s">
        <v>3015</v>
      </c>
      <c r="N8" s="1368" t="s">
        <v>3005</v>
      </c>
      <c r="O8" s="1368" t="s">
        <v>2987</v>
      </c>
      <c r="P8" s="1368" t="s">
        <v>3004</v>
      </c>
      <c r="Q8" s="1368" t="s">
        <v>185</v>
      </c>
      <c r="R8" s="1368" t="s">
        <v>3006</v>
      </c>
      <c r="S8" s="1368" t="s">
        <v>186</v>
      </c>
      <c r="T8" s="1368" t="s">
        <v>2873</v>
      </c>
      <c r="U8" s="1368" t="s">
        <v>2874</v>
      </c>
      <c r="V8" s="1368" t="s">
        <v>2875</v>
      </c>
      <c r="W8" s="1368" t="s">
        <v>2876</v>
      </c>
      <c r="X8" s="1368" t="s">
        <v>2877</v>
      </c>
      <c r="Y8" s="1368" t="s">
        <v>2878</v>
      </c>
      <c r="Z8" s="1368" t="s">
        <v>2879</v>
      </c>
      <c r="AA8" s="1368" t="s">
        <v>2880</v>
      </c>
      <c r="AB8" s="1369" t="s">
        <v>2881</v>
      </c>
      <c r="AC8" s="959"/>
      <c r="AD8" s="959"/>
    </row>
    <row r="9" spans="1:30" x14ac:dyDescent="0.3">
      <c r="G9" s="1208"/>
      <c r="H9" s="1208"/>
      <c r="I9" s="959"/>
      <c r="J9" s="959"/>
      <c r="K9" s="959"/>
      <c r="L9" s="959"/>
      <c r="M9" s="959"/>
      <c r="N9" s="959"/>
      <c r="O9" s="959"/>
      <c r="P9" s="959"/>
      <c r="Q9" s="959"/>
      <c r="R9" s="959"/>
      <c r="S9" s="959"/>
      <c r="T9" s="959"/>
      <c r="U9" s="959"/>
      <c r="V9" s="959"/>
      <c r="W9" s="959"/>
      <c r="X9" s="959"/>
      <c r="Y9" s="959"/>
      <c r="Z9" s="959"/>
      <c r="AA9" s="959"/>
      <c r="AB9" s="959"/>
      <c r="AC9" s="959"/>
      <c r="AD9" s="959"/>
    </row>
    <row r="10" spans="1:30" x14ac:dyDescent="0.3">
      <c r="F10" s="1356" t="s">
        <v>2990</v>
      </c>
      <c r="G10" s="1208"/>
      <c r="H10" s="1357" t="s">
        <v>2998</v>
      </c>
    </row>
    <row r="11" spans="1:30" x14ac:dyDescent="0.3">
      <c r="F11" s="1356" t="s">
        <v>2991</v>
      </c>
      <c r="G11" s="1208"/>
      <c r="H11" s="1357" t="s">
        <v>2999</v>
      </c>
    </row>
    <row r="12" spans="1:30" x14ac:dyDescent="0.3">
      <c r="F12" s="1356" t="s">
        <v>2992</v>
      </c>
      <c r="G12" s="1208"/>
      <c r="H12" s="1357" t="s">
        <v>3000</v>
      </c>
    </row>
    <row r="13" spans="1:30" x14ac:dyDescent="0.3">
      <c r="F13" s="1356" t="s">
        <v>2993</v>
      </c>
      <c r="G13" s="1208"/>
      <c r="H13" s="1370"/>
    </row>
    <row r="14" spans="1:30" x14ac:dyDescent="0.3">
      <c r="F14" s="1356"/>
      <c r="G14" s="1208"/>
      <c r="H14" s="1357" t="s">
        <v>3016</v>
      </c>
    </row>
    <row r="15" spans="1:30" x14ac:dyDescent="0.3">
      <c r="F15" s="1356"/>
      <c r="G15" s="1208"/>
      <c r="H15" s="1357"/>
    </row>
    <row r="16" spans="1:30" x14ac:dyDescent="0.3">
      <c r="F16" s="1356"/>
      <c r="G16" s="1208"/>
      <c r="H16" s="1357"/>
    </row>
    <row r="17" spans="1:8" x14ac:dyDescent="0.3">
      <c r="A17" s="108"/>
      <c r="B17" s="108"/>
      <c r="C17" s="108"/>
      <c r="D17" s="108"/>
      <c r="E17" s="108"/>
      <c r="F17" s="1356"/>
      <c r="G17" s="1208"/>
      <c r="H17" s="1208"/>
    </row>
    <row r="18" spans="1:8" ht="14.4" customHeight="1" x14ac:dyDescent="0.3">
      <c r="A18" s="108"/>
      <c r="B18" s="108"/>
      <c r="C18" s="108"/>
      <c r="D18" s="108"/>
      <c r="E18" s="108"/>
      <c r="F18" s="1207" t="s">
        <v>2994</v>
      </c>
      <c r="G18" s="1208"/>
      <c r="H18" s="1208"/>
    </row>
    <row r="19" spans="1:8" x14ac:dyDescent="0.3">
      <c r="A19" s="108"/>
      <c r="B19" s="108"/>
      <c r="C19" s="108"/>
      <c r="D19" s="108"/>
      <c r="E19" s="108"/>
      <c r="F19" s="1356"/>
      <c r="G19" s="1208"/>
      <c r="H19" s="1208"/>
    </row>
    <row r="20" spans="1:8" x14ac:dyDescent="0.3">
      <c r="A20" s="108"/>
      <c r="B20" s="108"/>
      <c r="C20" s="108"/>
      <c r="D20" s="108"/>
      <c r="E20" s="108"/>
      <c r="F20" s="1207" t="s">
        <v>2995</v>
      </c>
      <c r="G20" s="1208"/>
      <c r="H20" s="1208"/>
    </row>
    <row r="21" spans="1:8" x14ac:dyDescent="0.3">
      <c r="A21" s="108"/>
      <c r="B21" s="108"/>
      <c r="C21" s="108"/>
      <c r="D21" s="108"/>
      <c r="E21" s="108"/>
      <c r="F21" s="1356"/>
      <c r="G21" s="1208"/>
      <c r="H21" s="1208"/>
    </row>
    <row r="22" spans="1:8" x14ac:dyDescent="0.3">
      <c r="A22" s="108"/>
      <c r="B22" s="108"/>
      <c r="C22" s="108"/>
      <c r="D22" s="108"/>
      <c r="E22" s="108"/>
      <c r="F22" s="1356"/>
      <c r="G22" s="1208"/>
      <c r="H22" s="1208"/>
    </row>
    <row r="23" spans="1:8" x14ac:dyDescent="0.3">
      <c r="A23" s="108"/>
      <c r="B23" s="108"/>
      <c r="C23" s="108"/>
      <c r="D23" s="108"/>
      <c r="E23" s="108"/>
      <c r="F23" s="1356"/>
      <c r="G23" s="1208"/>
      <c r="H23" s="1208"/>
    </row>
    <row r="24" spans="1:8" x14ac:dyDescent="0.3">
      <c r="A24" s="108"/>
      <c r="B24" s="108"/>
      <c r="C24" s="108"/>
      <c r="D24" s="108"/>
      <c r="E24" s="108"/>
      <c r="F24" s="1356"/>
      <c r="G24" s="1208"/>
      <c r="H24" s="1208"/>
    </row>
    <row r="25" spans="1:8" x14ac:dyDescent="0.3">
      <c r="A25" s="108"/>
      <c r="B25" s="108"/>
      <c r="C25" s="108"/>
      <c r="D25" s="108"/>
      <c r="E25" s="108"/>
      <c r="F25" s="1356"/>
      <c r="G25" s="1208"/>
      <c r="H25" s="1208"/>
    </row>
    <row r="26" spans="1:8" x14ac:dyDescent="0.3">
      <c r="A26" s="108"/>
      <c r="B26" s="108"/>
      <c r="C26" s="108"/>
      <c r="D26" s="108"/>
      <c r="E26" s="108"/>
      <c r="F26" s="1356"/>
      <c r="G26" s="1208"/>
      <c r="H26" s="1208"/>
    </row>
    <row r="27" spans="1:8" x14ac:dyDescent="0.3">
      <c r="G27" s="1208"/>
      <c r="H27" s="1208"/>
    </row>
    <row r="28" spans="1:8" x14ac:dyDescent="0.3">
      <c r="G28" s="1208"/>
      <c r="H28" s="1208"/>
    </row>
    <row r="29" spans="1:8" x14ac:dyDescent="0.3">
      <c r="G29" s="1208"/>
      <c r="H29" s="1208"/>
    </row>
    <row r="30" spans="1:8" x14ac:dyDescent="0.3">
      <c r="G30" s="1208"/>
      <c r="H30" s="1208"/>
    </row>
    <row r="31" spans="1:8" x14ac:dyDescent="0.3">
      <c r="G31" s="1208"/>
      <c r="H31" s="1208"/>
    </row>
    <row r="32" spans="1:8" x14ac:dyDescent="0.3">
      <c r="G32" s="1208"/>
      <c r="H32" s="1208"/>
    </row>
    <row r="33" spans="7:8" x14ac:dyDescent="0.3">
      <c r="G33" s="1208"/>
      <c r="H33" s="1208"/>
    </row>
    <row r="34" spans="7:8" x14ac:dyDescent="0.3">
      <c r="G34" s="1208"/>
      <c r="H34" s="1208"/>
    </row>
    <row r="35" spans="7:8" x14ac:dyDescent="0.3">
      <c r="G35" s="1208"/>
      <c r="H35" s="1208"/>
    </row>
    <row r="36" spans="7:8" x14ac:dyDescent="0.3">
      <c r="G36" s="1208"/>
      <c r="H36" s="1208"/>
    </row>
    <row r="37" spans="7:8" x14ac:dyDescent="0.3">
      <c r="G37" s="1208"/>
      <c r="H37" s="1208"/>
    </row>
    <row r="38" spans="7:8" x14ac:dyDescent="0.3">
      <c r="G38" s="1208"/>
      <c r="H38" s="1208"/>
    </row>
    <row r="39" spans="7:8" x14ac:dyDescent="0.3">
      <c r="G39" s="1208"/>
      <c r="H39" s="1208"/>
    </row>
    <row r="40" spans="7:8" x14ac:dyDescent="0.3">
      <c r="G40" s="1208"/>
      <c r="H40" s="1208"/>
    </row>
    <row r="41" spans="7:8" x14ac:dyDescent="0.3">
      <c r="G41" s="1208"/>
      <c r="H41" s="1208"/>
    </row>
    <row r="42" spans="7:8" x14ac:dyDescent="0.3">
      <c r="G42" s="1208"/>
      <c r="H42" s="1208"/>
    </row>
    <row r="43" spans="7:8" x14ac:dyDescent="0.3">
      <c r="G43" s="1208"/>
      <c r="H43" s="1208"/>
    </row>
    <row r="44" spans="7:8" x14ac:dyDescent="0.3">
      <c r="G44" s="1208"/>
      <c r="H44" s="1208"/>
    </row>
    <row r="45" spans="7:8" x14ac:dyDescent="0.3">
      <c r="G45" s="1208"/>
      <c r="H45" s="1208"/>
    </row>
    <row r="46" spans="7:8" x14ac:dyDescent="0.3">
      <c r="G46" s="1208"/>
      <c r="H46" s="1208"/>
    </row>
    <row r="47" spans="7:8" x14ac:dyDescent="0.3">
      <c r="G47" s="1208"/>
      <c r="H47" s="1208"/>
    </row>
    <row r="48" spans="7:8" x14ac:dyDescent="0.3">
      <c r="G48" s="1208"/>
      <c r="H48" s="1208"/>
    </row>
    <row r="49" spans="7:8" x14ac:dyDescent="0.3">
      <c r="G49" s="1208"/>
      <c r="H49" s="1208"/>
    </row>
    <row r="50" spans="7:8" x14ac:dyDescent="0.3">
      <c r="G50" s="1208"/>
      <c r="H50" s="1208"/>
    </row>
    <row r="51" spans="7:8" x14ac:dyDescent="0.3">
      <c r="G51" s="1208"/>
      <c r="H51" s="1208"/>
    </row>
    <row r="52" spans="7:8" x14ac:dyDescent="0.3">
      <c r="G52" s="1208"/>
      <c r="H52" s="1208"/>
    </row>
    <row r="53" spans="7:8" x14ac:dyDescent="0.3">
      <c r="G53" s="1208"/>
      <c r="H53" s="1208"/>
    </row>
    <row r="54" spans="7:8" x14ac:dyDescent="0.3">
      <c r="G54" s="1208"/>
      <c r="H54" s="1208"/>
    </row>
    <row r="55" spans="7:8" x14ac:dyDescent="0.3">
      <c r="G55" s="1208"/>
      <c r="H55" s="1208"/>
    </row>
    <row r="56" spans="7:8" x14ac:dyDescent="0.3">
      <c r="G56" s="1208"/>
      <c r="H56" s="1208"/>
    </row>
    <row r="57" spans="7:8" x14ac:dyDescent="0.3">
      <c r="G57" s="1208"/>
      <c r="H57" s="1208"/>
    </row>
    <row r="58" spans="7:8" x14ac:dyDescent="0.3">
      <c r="G58" s="1208"/>
      <c r="H58" s="1208"/>
    </row>
    <row r="59" spans="7:8" x14ac:dyDescent="0.3">
      <c r="G59" s="1208"/>
      <c r="H59" s="1208"/>
    </row>
    <row r="60" spans="7:8" x14ac:dyDescent="0.3">
      <c r="G60" s="1208"/>
      <c r="H60" s="1208"/>
    </row>
    <row r="61" spans="7:8" x14ac:dyDescent="0.3">
      <c r="G61" s="1208"/>
      <c r="H61" s="1208"/>
    </row>
    <row r="62" spans="7:8" x14ac:dyDescent="0.3">
      <c r="G62" s="1208"/>
      <c r="H62" s="1208"/>
    </row>
    <row r="63" spans="7:8" x14ac:dyDescent="0.3">
      <c r="G63" s="1208"/>
      <c r="H63" s="1208"/>
    </row>
    <row r="64" spans="7:8" x14ac:dyDescent="0.3">
      <c r="G64" s="1208"/>
      <c r="H64" s="1208"/>
    </row>
    <row r="65" spans="7:8" x14ac:dyDescent="0.3">
      <c r="G65" s="1208"/>
      <c r="H65" s="1208"/>
    </row>
    <row r="66" spans="7:8" x14ac:dyDescent="0.3">
      <c r="G66" s="1208"/>
      <c r="H66" s="1208"/>
    </row>
    <row r="67" spans="7:8" x14ac:dyDescent="0.3">
      <c r="G67" s="1208"/>
      <c r="H67" s="1208"/>
    </row>
    <row r="68" spans="7:8" x14ac:dyDescent="0.3">
      <c r="G68" s="1208"/>
      <c r="H68" s="1208"/>
    </row>
    <row r="69" spans="7:8" x14ac:dyDescent="0.3">
      <c r="G69" s="1208"/>
      <c r="H69" s="1208"/>
    </row>
    <row r="70" spans="7:8" x14ac:dyDescent="0.3">
      <c r="G70" s="1208"/>
      <c r="H70" s="1208"/>
    </row>
    <row r="71" spans="7:8" x14ac:dyDescent="0.3">
      <c r="G71" s="1208"/>
      <c r="H71" s="1208"/>
    </row>
    <row r="72" spans="7:8" x14ac:dyDescent="0.3">
      <c r="G72" s="1208"/>
      <c r="H72" s="1208"/>
    </row>
    <row r="73" spans="7:8" x14ac:dyDescent="0.3">
      <c r="G73" s="1208"/>
      <c r="H73" s="1208"/>
    </row>
    <row r="74" spans="7:8" x14ac:dyDescent="0.3">
      <c r="G74" s="1208"/>
      <c r="H74" s="1208"/>
    </row>
    <row r="75" spans="7:8" x14ac:dyDescent="0.3">
      <c r="G75" s="1208"/>
      <c r="H75" s="1208"/>
    </row>
    <row r="76" spans="7:8" x14ac:dyDescent="0.3">
      <c r="G76" s="1208"/>
      <c r="H76" s="1208"/>
    </row>
    <row r="77" spans="7:8" x14ac:dyDescent="0.3">
      <c r="G77" s="1208"/>
      <c r="H77" s="1208"/>
    </row>
    <row r="78" spans="7:8" x14ac:dyDescent="0.3">
      <c r="G78" s="1208"/>
      <c r="H78" s="1208"/>
    </row>
    <row r="79" spans="7:8" x14ac:dyDescent="0.3">
      <c r="G79" s="1208"/>
      <c r="H79" s="1208"/>
    </row>
    <row r="80" spans="7:8" x14ac:dyDescent="0.3">
      <c r="G80" s="1208"/>
      <c r="H80" s="1208"/>
    </row>
    <row r="81" spans="7:8" x14ac:dyDescent="0.3">
      <c r="G81" s="1208"/>
      <c r="H81" s="1208"/>
    </row>
    <row r="82" spans="7:8" x14ac:dyDescent="0.3">
      <c r="G82" s="1208"/>
      <c r="H82" s="1208"/>
    </row>
    <row r="83" spans="7:8" x14ac:dyDescent="0.3">
      <c r="G83" s="1208"/>
      <c r="H83" s="1208"/>
    </row>
    <row r="84" spans="7:8" x14ac:dyDescent="0.3">
      <c r="G84" s="1208"/>
      <c r="H84" s="1208"/>
    </row>
    <row r="85" spans="7:8" x14ac:dyDescent="0.3">
      <c r="G85" s="1208"/>
      <c r="H85" s="1208"/>
    </row>
    <row r="86" spans="7:8" x14ac:dyDescent="0.3">
      <c r="G86" s="1208"/>
      <c r="H86" s="1208"/>
    </row>
    <row r="87" spans="7:8" x14ac:dyDescent="0.3">
      <c r="G87" s="1208"/>
      <c r="H87" s="1208"/>
    </row>
    <row r="88" spans="7:8" x14ac:dyDescent="0.3">
      <c r="G88" s="1208"/>
      <c r="H88" s="1208"/>
    </row>
    <row r="89" spans="7:8" x14ac:dyDescent="0.3">
      <c r="G89" s="1208"/>
      <c r="H89" s="1208"/>
    </row>
    <row r="90" spans="7:8" x14ac:dyDescent="0.3">
      <c r="G90" s="1208"/>
      <c r="H90" s="1208"/>
    </row>
    <row r="91" spans="7:8" x14ac:dyDescent="0.3">
      <c r="G91" s="1208"/>
      <c r="H91" s="1208"/>
    </row>
    <row r="92" spans="7:8" x14ac:dyDescent="0.3">
      <c r="G92" s="1208"/>
      <c r="H92" s="1208"/>
    </row>
    <row r="93" spans="7:8" x14ac:dyDescent="0.3">
      <c r="G93" s="1208"/>
      <c r="H93" s="1208"/>
    </row>
    <row r="94" spans="7:8" x14ac:dyDescent="0.3">
      <c r="G94" s="1208"/>
      <c r="H94" s="1208"/>
    </row>
    <row r="95" spans="7:8" x14ac:dyDescent="0.3">
      <c r="G95" s="1208"/>
      <c r="H95" s="1208"/>
    </row>
    <row r="96" spans="7:8" x14ac:dyDescent="0.3">
      <c r="G96" s="1208"/>
      <c r="H96" s="1208"/>
    </row>
    <row r="97" spans="7:8" x14ac:dyDescent="0.3">
      <c r="G97" s="1208"/>
      <c r="H97" s="1208"/>
    </row>
    <row r="98" spans="7:8" x14ac:dyDescent="0.3">
      <c r="G98" s="1208"/>
      <c r="H98" s="1208"/>
    </row>
    <row r="99" spans="7:8" x14ac:dyDescent="0.3">
      <c r="G99" s="1208"/>
      <c r="H99" s="1208"/>
    </row>
    <row r="100" spans="7:8" x14ac:dyDescent="0.3">
      <c r="G100" s="1208"/>
      <c r="H100" s="1208"/>
    </row>
    <row r="101" spans="7:8" x14ac:dyDescent="0.3">
      <c r="G101" s="1208"/>
      <c r="H101" s="1208"/>
    </row>
    <row r="102" spans="7:8" x14ac:dyDescent="0.3">
      <c r="G102" s="1208"/>
      <c r="H102" s="1208"/>
    </row>
    <row r="103" spans="7:8" x14ac:dyDescent="0.3">
      <c r="G103" s="1208"/>
      <c r="H103" s="1208"/>
    </row>
    <row r="104" spans="7:8" x14ac:dyDescent="0.3">
      <c r="G104" s="1208"/>
      <c r="H104" s="1208"/>
    </row>
    <row r="105" spans="7:8" x14ac:dyDescent="0.3">
      <c r="G105" s="1208"/>
      <c r="H105" s="1208"/>
    </row>
    <row r="106" spans="7:8" x14ac:dyDescent="0.3">
      <c r="G106" s="1208"/>
      <c r="H106" s="1208"/>
    </row>
    <row r="107" spans="7:8" x14ac:dyDescent="0.3">
      <c r="G107" s="1208"/>
      <c r="H107" s="1208"/>
    </row>
    <row r="108" spans="7:8" x14ac:dyDescent="0.3">
      <c r="G108" s="1208"/>
      <c r="H108" s="1208"/>
    </row>
    <row r="109" spans="7:8" x14ac:dyDescent="0.3">
      <c r="G109" s="1208"/>
      <c r="H109" s="1208"/>
    </row>
    <row r="110" spans="7:8" x14ac:dyDescent="0.3">
      <c r="G110" s="1208"/>
      <c r="H110" s="1208"/>
    </row>
    <row r="111" spans="7:8" x14ac:dyDescent="0.3">
      <c r="G111" s="1208"/>
      <c r="H111" s="1208"/>
    </row>
    <row r="112" spans="7:8" x14ac:dyDescent="0.3">
      <c r="G112" s="1208"/>
      <c r="H112" s="1208"/>
    </row>
    <row r="113" spans="7:8" x14ac:dyDescent="0.3">
      <c r="G113" s="1208"/>
      <c r="H113" s="1208"/>
    </row>
    <row r="114" spans="7:8" x14ac:dyDescent="0.3">
      <c r="G114" s="1208"/>
      <c r="H114" s="1208"/>
    </row>
    <row r="115" spans="7:8" x14ac:dyDescent="0.3">
      <c r="G115" s="1208"/>
      <c r="H115" s="1208"/>
    </row>
    <row r="116" spans="7:8" x14ac:dyDescent="0.3">
      <c r="G116" s="1208"/>
      <c r="H116" s="1208"/>
    </row>
    <row r="117" spans="7:8" x14ac:dyDescent="0.3">
      <c r="G117" s="1208"/>
      <c r="H117" s="1208"/>
    </row>
    <row r="118" spans="7:8" x14ac:dyDescent="0.3">
      <c r="G118" s="1208"/>
      <c r="H118" s="1208"/>
    </row>
    <row r="119" spans="7:8" x14ac:dyDescent="0.3">
      <c r="G119" s="1208"/>
      <c r="H119" s="1208"/>
    </row>
    <row r="120" spans="7:8" x14ac:dyDescent="0.3">
      <c r="G120" s="1208"/>
      <c r="H120" s="1208"/>
    </row>
    <row r="121" spans="7:8" x14ac:dyDescent="0.3">
      <c r="G121" s="1208"/>
      <c r="H121" s="1208"/>
    </row>
    <row r="122" spans="7:8" x14ac:dyDescent="0.3">
      <c r="G122" s="1208"/>
      <c r="H122" s="1208"/>
    </row>
    <row r="123" spans="7:8" x14ac:dyDescent="0.3">
      <c r="G123" s="1208"/>
      <c r="H123" s="1208"/>
    </row>
    <row r="124" spans="7:8" x14ac:dyDescent="0.3">
      <c r="G124" s="1208"/>
      <c r="H124" s="1208"/>
    </row>
    <row r="125" spans="7:8" x14ac:dyDescent="0.3">
      <c r="G125" s="1208"/>
      <c r="H125" s="1208"/>
    </row>
    <row r="126" spans="7:8" x14ac:dyDescent="0.3">
      <c r="G126" s="1208"/>
      <c r="H126" s="1208"/>
    </row>
    <row r="127" spans="7:8" x14ac:dyDescent="0.3">
      <c r="G127" s="1208"/>
      <c r="H127" s="1208"/>
    </row>
    <row r="128" spans="7:8" x14ac:dyDescent="0.3">
      <c r="G128" s="1208"/>
      <c r="H128" s="1208"/>
    </row>
    <row r="129" spans="7:8" x14ac:dyDescent="0.3">
      <c r="G129" s="1208"/>
      <c r="H129" s="1208"/>
    </row>
    <row r="130" spans="7:8" x14ac:dyDescent="0.3">
      <c r="G130" s="1208"/>
      <c r="H130" s="1208"/>
    </row>
    <row r="131" spans="7:8" x14ac:dyDescent="0.3">
      <c r="G131" s="1208"/>
      <c r="H131" s="1208"/>
    </row>
    <row r="132" spans="7:8" x14ac:dyDescent="0.3">
      <c r="G132" s="1208"/>
      <c r="H132" s="1208"/>
    </row>
    <row r="133" spans="7:8" x14ac:dyDescent="0.3">
      <c r="G133" s="1208"/>
      <c r="H133" s="1208"/>
    </row>
    <row r="134" spans="7:8" x14ac:dyDescent="0.3">
      <c r="G134" s="1208"/>
      <c r="H134" s="1208"/>
    </row>
    <row r="135" spans="7:8" x14ac:dyDescent="0.3">
      <c r="G135" s="1208"/>
      <c r="H135" s="1208"/>
    </row>
    <row r="136" spans="7:8" x14ac:dyDescent="0.3">
      <c r="G136" s="1208"/>
      <c r="H136" s="1208"/>
    </row>
    <row r="137" spans="7:8" x14ac:dyDescent="0.3">
      <c r="G137" s="1208"/>
      <c r="H137" s="1208"/>
    </row>
    <row r="138" spans="7:8" x14ac:dyDescent="0.3">
      <c r="G138" s="1208"/>
      <c r="H138" s="1208"/>
    </row>
    <row r="139" spans="7:8" x14ac:dyDescent="0.3">
      <c r="G139" s="1208"/>
      <c r="H139" s="1208"/>
    </row>
    <row r="140" spans="7:8" x14ac:dyDescent="0.3">
      <c r="G140" s="1208"/>
      <c r="H140" s="1208"/>
    </row>
    <row r="141" spans="7:8" x14ac:dyDescent="0.3">
      <c r="G141" s="1208"/>
      <c r="H141" s="1208"/>
    </row>
    <row r="142" spans="7:8" x14ac:dyDescent="0.3">
      <c r="G142" s="1208"/>
      <c r="H142" s="1208"/>
    </row>
    <row r="143" spans="7:8" x14ac:dyDescent="0.3">
      <c r="G143" s="1208"/>
      <c r="H143" s="1208"/>
    </row>
    <row r="144" spans="7:8" x14ac:dyDescent="0.3">
      <c r="G144" s="1208"/>
      <c r="H144" s="1208"/>
    </row>
    <row r="145" spans="7:8" x14ac:dyDescent="0.3">
      <c r="G145" s="1208"/>
      <c r="H145" s="1208"/>
    </row>
    <row r="146" spans="7:8" x14ac:dyDescent="0.3">
      <c r="G146" s="1208"/>
      <c r="H146" s="1208"/>
    </row>
    <row r="147" spans="7:8" x14ac:dyDescent="0.3">
      <c r="G147" s="1208"/>
      <c r="H147" s="1208"/>
    </row>
    <row r="148" spans="7:8" x14ac:dyDescent="0.3">
      <c r="G148" s="1208"/>
      <c r="H148" s="1208"/>
    </row>
    <row r="149" spans="7:8" x14ac:dyDescent="0.3">
      <c r="G149" s="1208"/>
      <c r="H149" s="1208"/>
    </row>
    <row r="150" spans="7:8" x14ac:dyDescent="0.3">
      <c r="G150" s="1208"/>
      <c r="H150" s="1208"/>
    </row>
    <row r="151" spans="7:8" x14ac:dyDescent="0.3">
      <c r="G151" s="1208"/>
      <c r="H151" s="1208"/>
    </row>
    <row r="152" spans="7:8" x14ac:dyDescent="0.3">
      <c r="G152" s="1208"/>
      <c r="H152" s="1208"/>
    </row>
    <row r="153" spans="7:8" x14ac:dyDescent="0.3">
      <c r="G153" s="1208"/>
      <c r="H153" s="1208"/>
    </row>
    <row r="154" spans="7:8" x14ac:dyDescent="0.3">
      <c r="G154" s="1208"/>
      <c r="H154" s="1208"/>
    </row>
    <row r="155" spans="7:8" x14ac:dyDescent="0.3">
      <c r="G155" s="1208"/>
      <c r="H155" s="1208"/>
    </row>
    <row r="156" spans="7:8" x14ac:dyDescent="0.3">
      <c r="G156" s="1208"/>
      <c r="H156" s="1208"/>
    </row>
    <row r="157" spans="7:8" x14ac:dyDescent="0.3">
      <c r="G157" s="1208"/>
      <c r="H157" s="1208"/>
    </row>
    <row r="158" spans="7:8" x14ac:dyDescent="0.3">
      <c r="G158" s="1208"/>
      <c r="H158" s="1208"/>
    </row>
    <row r="159" spans="7:8" x14ac:dyDescent="0.3">
      <c r="G159" s="1208"/>
      <c r="H159" s="1208"/>
    </row>
    <row r="160" spans="7:8" x14ac:dyDescent="0.3">
      <c r="G160" s="1208"/>
      <c r="H160" s="1208"/>
    </row>
    <row r="161" spans="7:8" x14ac:dyDescent="0.3">
      <c r="G161" s="1208"/>
      <c r="H161" s="1208"/>
    </row>
    <row r="162" spans="7:8" x14ac:dyDescent="0.3">
      <c r="G162" s="1208"/>
      <c r="H162" s="1208"/>
    </row>
    <row r="163" spans="7:8" x14ac:dyDescent="0.3">
      <c r="G163" s="1208"/>
      <c r="H163" s="1208"/>
    </row>
    <row r="164" spans="7:8" x14ac:dyDescent="0.3">
      <c r="G164" s="1208"/>
      <c r="H164" s="1208"/>
    </row>
    <row r="165" spans="7:8" x14ac:dyDescent="0.3">
      <c r="G165" s="1208"/>
      <c r="H165" s="1208"/>
    </row>
    <row r="166" spans="7:8" x14ac:dyDescent="0.3">
      <c r="G166" s="1208"/>
      <c r="H166" s="1208"/>
    </row>
    <row r="167" spans="7:8" x14ac:dyDescent="0.3">
      <c r="G167" s="1208"/>
      <c r="H167" s="1208"/>
    </row>
    <row r="168" spans="7:8" x14ac:dyDescent="0.3">
      <c r="G168" s="1208"/>
      <c r="H168" s="1208"/>
    </row>
    <row r="169" spans="7:8" x14ac:dyDescent="0.3">
      <c r="G169" s="1208"/>
      <c r="H169" s="1208"/>
    </row>
    <row r="170" spans="7:8" x14ac:dyDescent="0.3">
      <c r="G170" s="1208"/>
      <c r="H170" s="1208"/>
    </row>
    <row r="171" spans="7:8" x14ac:dyDescent="0.3">
      <c r="G171" s="1208"/>
      <c r="H171" s="1208"/>
    </row>
    <row r="172" spans="7:8" x14ac:dyDescent="0.3">
      <c r="G172" s="1208"/>
      <c r="H172" s="1208"/>
    </row>
    <row r="173" spans="7:8" x14ac:dyDescent="0.3">
      <c r="G173" s="1208"/>
      <c r="H173" s="1208"/>
    </row>
    <row r="174" spans="7:8" x14ac:dyDescent="0.3">
      <c r="G174" s="1208"/>
      <c r="H174" s="1208"/>
    </row>
    <row r="175" spans="7:8" x14ac:dyDescent="0.3">
      <c r="G175" s="1208"/>
      <c r="H175" s="1208"/>
    </row>
    <row r="176" spans="7:8" x14ac:dyDescent="0.3">
      <c r="G176" s="1208"/>
      <c r="H176" s="1208"/>
    </row>
    <row r="177" spans="7:8" x14ac:dyDescent="0.3">
      <c r="G177" s="1208"/>
      <c r="H177" s="1208"/>
    </row>
    <row r="178" spans="7:8" x14ac:dyDescent="0.3">
      <c r="G178" s="1208"/>
      <c r="H178" s="1208"/>
    </row>
    <row r="179" spans="7:8" x14ac:dyDescent="0.3">
      <c r="G179" s="1208"/>
      <c r="H179" s="1208"/>
    </row>
    <row r="180" spans="7:8" x14ac:dyDescent="0.3">
      <c r="G180" s="1208"/>
      <c r="H180" s="1208"/>
    </row>
    <row r="181" spans="7:8" x14ac:dyDescent="0.3">
      <c r="G181" s="1208"/>
      <c r="H181" s="1208"/>
    </row>
    <row r="182" spans="7:8" x14ac:dyDescent="0.3">
      <c r="G182" s="1208"/>
      <c r="H182" s="1208"/>
    </row>
    <row r="183" spans="7:8" x14ac:dyDescent="0.3">
      <c r="G183" s="1208"/>
      <c r="H183" s="1208"/>
    </row>
    <row r="184" spans="7:8" x14ac:dyDescent="0.3">
      <c r="G184" s="1208"/>
      <c r="H184" s="1208"/>
    </row>
    <row r="185" spans="7:8" x14ac:dyDescent="0.3">
      <c r="G185" s="1208"/>
      <c r="H185" s="1208"/>
    </row>
    <row r="186" spans="7:8" x14ac:dyDescent="0.3">
      <c r="G186" s="1208"/>
      <c r="H186" s="1208"/>
    </row>
    <row r="187" spans="7:8" x14ac:dyDescent="0.3">
      <c r="G187" s="1208"/>
      <c r="H187" s="1208"/>
    </row>
    <row r="188" spans="7:8" x14ac:dyDescent="0.3">
      <c r="G188" s="1208"/>
      <c r="H188" s="1208"/>
    </row>
    <row r="189" spans="7:8" x14ac:dyDescent="0.3">
      <c r="G189" s="1208"/>
      <c r="H189" s="1208"/>
    </row>
    <row r="190" spans="7:8" x14ac:dyDescent="0.3">
      <c r="G190" s="1208"/>
      <c r="H190" s="1208"/>
    </row>
    <row r="191" spans="7:8" x14ac:dyDescent="0.3">
      <c r="G191" s="1208"/>
      <c r="H191" s="1208"/>
    </row>
    <row r="192" spans="7:8" x14ac:dyDescent="0.3">
      <c r="G192" s="1208"/>
      <c r="H192" s="1208"/>
    </row>
    <row r="193" spans="7:8" x14ac:dyDescent="0.3">
      <c r="G193" s="1208"/>
      <c r="H193" s="1208"/>
    </row>
    <row r="194" spans="7:8" x14ac:dyDescent="0.3">
      <c r="G194" s="1208"/>
      <c r="H194" s="1208"/>
    </row>
    <row r="195" spans="7:8" x14ac:dyDescent="0.3">
      <c r="G195" s="1208"/>
      <c r="H195" s="1208"/>
    </row>
    <row r="196" spans="7:8" x14ac:dyDescent="0.3">
      <c r="G196" s="1208"/>
      <c r="H196" s="1208"/>
    </row>
    <row r="197" spans="7:8" x14ac:dyDescent="0.3">
      <c r="G197" s="1208"/>
      <c r="H197" s="1208"/>
    </row>
    <row r="198" spans="7:8" x14ac:dyDescent="0.3">
      <c r="G198" s="1208"/>
      <c r="H198" s="1208"/>
    </row>
    <row r="199" spans="7:8" x14ac:dyDescent="0.3">
      <c r="G199" s="1208"/>
      <c r="H199" s="1208"/>
    </row>
    <row r="200" spans="7:8" x14ac:dyDescent="0.3">
      <c r="G200" s="1208"/>
      <c r="H200" s="1208"/>
    </row>
    <row r="201" spans="7:8" x14ac:dyDescent="0.3">
      <c r="G201" s="1208"/>
      <c r="H201" s="1208"/>
    </row>
    <row r="202" spans="7:8" x14ac:dyDescent="0.3">
      <c r="G202" s="1208"/>
      <c r="H202" s="1208"/>
    </row>
    <row r="203" spans="7:8" x14ac:dyDescent="0.3">
      <c r="G203" s="1208"/>
      <c r="H203" s="1208"/>
    </row>
    <row r="204" spans="7:8" x14ac:dyDescent="0.3">
      <c r="G204" s="1208"/>
      <c r="H204" s="1208"/>
    </row>
    <row r="205" spans="7:8" x14ac:dyDescent="0.3">
      <c r="G205" s="1208"/>
      <c r="H205" s="1208"/>
    </row>
    <row r="206" spans="7:8" x14ac:dyDescent="0.3">
      <c r="G206" s="1208"/>
      <c r="H206" s="1208"/>
    </row>
    <row r="207" spans="7:8" x14ac:dyDescent="0.3">
      <c r="G207" s="1208"/>
      <c r="H207" s="1208"/>
    </row>
    <row r="208" spans="7:8" x14ac:dyDescent="0.3">
      <c r="G208" s="1208"/>
      <c r="H208" s="1208"/>
    </row>
    <row r="209" spans="7:8" x14ac:dyDescent="0.3">
      <c r="G209" s="1208"/>
      <c r="H209" s="1208"/>
    </row>
    <row r="210" spans="7:8" x14ac:dyDescent="0.3">
      <c r="G210" s="1208"/>
      <c r="H210" s="1208"/>
    </row>
    <row r="211" spans="7:8" x14ac:dyDescent="0.3">
      <c r="G211" s="1208"/>
      <c r="H211" s="1208"/>
    </row>
    <row r="212" spans="7:8" x14ac:dyDescent="0.3">
      <c r="G212" s="1208"/>
      <c r="H212" s="1208"/>
    </row>
    <row r="213" spans="7:8" x14ac:dyDescent="0.3">
      <c r="G213" s="1208"/>
      <c r="H213" s="1208"/>
    </row>
    <row r="214" spans="7:8" x14ac:dyDescent="0.3">
      <c r="G214" s="1208"/>
      <c r="H214" s="1208"/>
    </row>
    <row r="215" spans="7:8" x14ac:dyDescent="0.3">
      <c r="G215" s="1208"/>
      <c r="H215" s="1208"/>
    </row>
    <row r="216" spans="7:8" x14ac:dyDescent="0.3">
      <c r="G216" s="1208"/>
      <c r="H216" s="1208"/>
    </row>
    <row r="217" spans="7:8" x14ac:dyDescent="0.3">
      <c r="G217" s="1208"/>
      <c r="H217" s="1208"/>
    </row>
    <row r="218" spans="7:8" x14ac:dyDescent="0.3">
      <c r="G218" s="1208"/>
      <c r="H218" s="1208"/>
    </row>
    <row r="219" spans="7:8" x14ac:dyDescent="0.3">
      <c r="G219" s="1208"/>
      <c r="H219" s="1208"/>
    </row>
    <row r="220" spans="7:8" x14ac:dyDescent="0.3">
      <c r="G220" s="1208"/>
      <c r="H220" s="1208"/>
    </row>
    <row r="221" spans="7:8" x14ac:dyDescent="0.3">
      <c r="G221" s="1208"/>
      <c r="H221" s="1208"/>
    </row>
    <row r="222" spans="7:8" x14ac:dyDescent="0.3">
      <c r="G222" s="1208"/>
      <c r="H222" s="1208"/>
    </row>
    <row r="223" spans="7:8" x14ac:dyDescent="0.3">
      <c r="G223" s="1208"/>
      <c r="H223" s="1208"/>
    </row>
    <row r="224" spans="7:8" x14ac:dyDescent="0.3">
      <c r="G224" s="1208"/>
      <c r="H224" s="1208"/>
    </row>
    <row r="225" spans="7:8" x14ac:dyDescent="0.3">
      <c r="G225" s="1208"/>
      <c r="H225" s="1208"/>
    </row>
    <row r="226" spans="7:8" x14ac:dyDescent="0.3">
      <c r="G226" s="1208"/>
      <c r="H226" s="1208"/>
    </row>
    <row r="227" spans="7:8" x14ac:dyDescent="0.3">
      <c r="G227" s="1208"/>
      <c r="H227" s="1208"/>
    </row>
    <row r="228" spans="7:8" x14ac:dyDescent="0.3">
      <c r="G228" s="1208"/>
      <c r="H228" s="1208"/>
    </row>
    <row r="229" spans="7:8" x14ac:dyDescent="0.3">
      <c r="G229" s="1208"/>
      <c r="H229" s="1208"/>
    </row>
    <row r="230" spans="7:8" x14ac:dyDescent="0.3">
      <c r="G230" s="1208"/>
      <c r="H230" s="1208"/>
    </row>
    <row r="231" spans="7:8" x14ac:dyDescent="0.3">
      <c r="G231" s="1208"/>
      <c r="H231" s="1208"/>
    </row>
    <row r="232" spans="7:8" x14ac:dyDescent="0.3">
      <c r="G232" s="1208"/>
      <c r="H232" s="1208"/>
    </row>
    <row r="233" spans="7:8" x14ac:dyDescent="0.3">
      <c r="G233" s="1208"/>
      <c r="H233" s="1208"/>
    </row>
    <row r="234" spans="7:8" x14ac:dyDescent="0.3">
      <c r="G234" s="1208"/>
      <c r="H234" s="1208"/>
    </row>
    <row r="235" spans="7:8" x14ac:dyDescent="0.3">
      <c r="G235" s="1208"/>
      <c r="H235" s="1208"/>
    </row>
    <row r="236" spans="7:8" x14ac:dyDescent="0.3">
      <c r="G236" s="1208"/>
      <c r="H236" s="1208"/>
    </row>
    <row r="237" spans="7:8" x14ac:dyDescent="0.3">
      <c r="G237" s="1208"/>
      <c r="H237" s="1208"/>
    </row>
    <row r="238" spans="7:8" x14ac:dyDescent="0.3">
      <c r="G238" s="1208"/>
      <c r="H238" s="1208"/>
    </row>
    <row r="239" spans="7:8" x14ac:dyDescent="0.3">
      <c r="G239" s="1208"/>
      <c r="H239" s="1208"/>
    </row>
    <row r="240" spans="7:8" x14ac:dyDescent="0.3">
      <c r="G240" s="1208"/>
      <c r="H240" s="1208"/>
    </row>
    <row r="241" spans="7:8" x14ac:dyDescent="0.3">
      <c r="G241" s="1208"/>
      <c r="H241" s="1208"/>
    </row>
    <row r="242" spans="7:8" x14ac:dyDescent="0.3">
      <c r="G242" s="1208"/>
      <c r="H242" s="1208"/>
    </row>
    <row r="243" spans="7:8" x14ac:dyDescent="0.3">
      <c r="G243" s="1208"/>
      <c r="H243" s="1208"/>
    </row>
    <row r="244" spans="7:8" x14ac:dyDescent="0.3">
      <c r="G244" s="1208"/>
      <c r="H244" s="1208"/>
    </row>
    <row r="245" spans="7:8" x14ac:dyDescent="0.3">
      <c r="G245" s="1208"/>
      <c r="H245" s="1208"/>
    </row>
    <row r="246" spans="7:8" x14ac:dyDescent="0.3">
      <c r="G246" s="1208"/>
      <c r="H246" s="1208"/>
    </row>
    <row r="247" spans="7:8" x14ac:dyDescent="0.3">
      <c r="G247" s="1208"/>
      <c r="H247" s="1208"/>
    </row>
    <row r="248" spans="7:8" x14ac:dyDescent="0.3">
      <c r="G248" s="1208"/>
      <c r="H248" s="1208"/>
    </row>
    <row r="249" spans="7:8" x14ac:dyDescent="0.3">
      <c r="G249" s="1208"/>
      <c r="H249" s="1208"/>
    </row>
    <row r="250" spans="7:8" x14ac:dyDescent="0.3">
      <c r="G250" s="1208"/>
      <c r="H250" s="1208"/>
    </row>
    <row r="251" spans="7:8" x14ac:dyDescent="0.3">
      <c r="G251" s="1208"/>
      <c r="H251" s="1208"/>
    </row>
    <row r="252" spans="7:8" x14ac:dyDescent="0.3">
      <c r="G252" s="1208"/>
      <c r="H252" s="1208"/>
    </row>
    <row r="253" spans="7:8" x14ac:dyDescent="0.3">
      <c r="G253" s="1208"/>
      <c r="H253" s="1208"/>
    </row>
    <row r="254" spans="7:8" x14ac:dyDescent="0.3">
      <c r="G254" s="1208"/>
      <c r="H254" s="1208"/>
    </row>
    <row r="255" spans="7:8" x14ac:dyDescent="0.3">
      <c r="G255" s="1208"/>
      <c r="H255" s="1208"/>
    </row>
    <row r="256" spans="7:8" x14ac:dyDescent="0.3">
      <c r="G256" s="1208"/>
      <c r="H256" s="1208"/>
    </row>
    <row r="257" spans="7:8" x14ac:dyDescent="0.3">
      <c r="G257" s="1208"/>
      <c r="H257" s="1208"/>
    </row>
    <row r="258" spans="7:8" x14ac:dyDescent="0.3">
      <c r="G258" s="1208"/>
      <c r="H258" s="1208"/>
    </row>
    <row r="259" spans="7:8" x14ac:dyDescent="0.3">
      <c r="G259" s="1208"/>
      <c r="H259" s="1208"/>
    </row>
    <row r="260" spans="7:8" x14ac:dyDescent="0.3">
      <c r="G260" s="1208"/>
      <c r="H260" s="1208"/>
    </row>
    <row r="261" spans="7:8" x14ac:dyDescent="0.3">
      <c r="G261" s="1208"/>
      <c r="H261" s="1208"/>
    </row>
    <row r="262" spans="7:8" x14ac:dyDescent="0.3">
      <c r="G262" s="1208"/>
      <c r="H262" s="1208"/>
    </row>
    <row r="263" spans="7:8" x14ac:dyDescent="0.3">
      <c r="G263" s="1208"/>
      <c r="H263" s="1208"/>
    </row>
    <row r="264" spans="7:8" x14ac:dyDescent="0.3">
      <c r="G264" s="1208"/>
      <c r="H264" s="1208"/>
    </row>
    <row r="265" spans="7:8" x14ac:dyDescent="0.3">
      <c r="G265" s="1208"/>
      <c r="H265" s="1208"/>
    </row>
    <row r="266" spans="7:8" x14ac:dyDescent="0.3">
      <c r="G266" s="1208"/>
      <c r="H266" s="1208"/>
    </row>
    <row r="267" spans="7:8" x14ac:dyDescent="0.3">
      <c r="G267" s="1208"/>
      <c r="H267" s="1208"/>
    </row>
    <row r="268" spans="7:8" x14ac:dyDescent="0.3">
      <c r="G268" s="1208"/>
      <c r="H268" s="1208"/>
    </row>
    <row r="269" spans="7:8" x14ac:dyDescent="0.3">
      <c r="G269" s="1208"/>
      <c r="H269" s="1208"/>
    </row>
    <row r="270" spans="7:8" x14ac:dyDescent="0.3">
      <c r="G270" s="1208"/>
      <c r="H270" s="1208"/>
    </row>
    <row r="271" spans="7:8" x14ac:dyDescent="0.3">
      <c r="G271" s="1208"/>
      <c r="H271" s="1208"/>
    </row>
    <row r="272" spans="7:8" x14ac:dyDescent="0.3">
      <c r="G272" s="1208"/>
      <c r="H272" s="1208"/>
    </row>
    <row r="273" spans="7:8" x14ac:dyDescent="0.3">
      <c r="G273" s="1208"/>
      <c r="H273" s="1208"/>
    </row>
    <row r="274" spans="7:8" x14ac:dyDescent="0.3">
      <c r="G274" s="1208"/>
      <c r="H274" s="1208"/>
    </row>
    <row r="275" spans="7:8" x14ac:dyDescent="0.3">
      <c r="G275" s="1208"/>
      <c r="H275" s="1208"/>
    </row>
    <row r="276" spans="7:8" x14ac:dyDescent="0.3">
      <c r="G276" s="1208"/>
      <c r="H276" s="1208"/>
    </row>
    <row r="277" spans="7:8" x14ac:dyDescent="0.3">
      <c r="G277" s="1208"/>
      <c r="H277" s="1208"/>
    </row>
    <row r="278" spans="7:8" x14ac:dyDescent="0.3">
      <c r="G278" s="1208"/>
      <c r="H278" s="1208"/>
    </row>
    <row r="279" spans="7:8" x14ac:dyDescent="0.3">
      <c r="G279" s="1208"/>
      <c r="H279" s="1208"/>
    </row>
    <row r="280" spans="7:8" x14ac:dyDescent="0.3">
      <c r="G280" s="1208"/>
      <c r="H280" s="1208"/>
    </row>
    <row r="281" spans="7:8" x14ac:dyDescent="0.3">
      <c r="G281" s="1208"/>
      <c r="H281" s="1208"/>
    </row>
    <row r="282" spans="7:8" x14ac:dyDescent="0.3">
      <c r="G282" s="1208"/>
      <c r="H282" s="1208"/>
    </row>
    <row r="283" spans="7:8" x14ac:dyDescent="0.3">
      <c r="G283" s="1208"/>
      <c r="H283" s="1208"/>
    </row>
    <row r="284" spans="7:8" x14ac:dyDescent="0.3">
      <c r="G284" s="1208"/>
      <c r="H284" s="1208"/>
    </row>
    <row r="285" spans="7:8" x14ac:dyDescent="0.3">
      <c r="G285" s="1208"/>
      <c r="H285" s="1208"/>
    </row>
    <row r="286" spans="7:8" x14ac:dyDescent="0.3">
      <c r="G286" s="1208"/>
      <c r="H286" s="1208"/>
    </row>
    <row r="287" spans="7:8" x14ac:dyDescent="0.3">
      <c r="G287" s="1208"/>
      <c r="H287" s="1208"/>
    </row>
    <row r="288" spans="7:8" x14ac:dyDescent="0.3">
      <c r="G288" s="1208"/>
      <c r="H288" s="1208"/>
    </row>
    <row r="289" spans="7:8" x14ac:dyDescent="0.3">
      <c r="G289" s="1208"/>
      <c r="H289" s="1208"/>
    </row>
    <row r="290" spans="7:8" x14ac:dyDescent="0.3">
      <c r="G290" s="1208"/>
      <c r="H290" s="1208"/>
    </row>
    <row r="291" spans="7:8" x14ac:dyDescent="0.3">
      <c r="G291" s="1208"/>
      <c r="H291" s="1208"/>
    </row>
    <row r="292" spans="7:8" x14ac:dyDescent="0.3">
      <c r="G292" s="1208"/>
      <c r="H292" s="1208"/>
    </row>
    <row r="293" spans="7:8" x14ac:dyDescent="0.3">
      <c r="G293" s="1208"/>
      <c r="H293" s="1208"/>
    </row>
    <row r="294" spans="7:8" x14ac:dyDescent="0.3">
      <c r="G294" s="1208"/>
      <c r="H294" s="1208"/>
    </row>
    <row r="295" spans="7:8" x14ac:dyDescent="0.3">
      <c r="G295" s="1208"/>
      <c r="H295" s="1208"/>
    </row>
    <row r="296" spans="7:8" x14ac:dyDescent="0.3">
      <c r="G296" s="1208"/>
      <c r="H296" s="1208"/>
    </row>
    <row r="297" spans="7:8" x14ac:dyDescent="0.3">
      <c r="G297" s="1208"/>
      <c r="H297" s="1208"/>
    </row>
    <row r="298" spans="7:8" x14ac:dyDescent="0.3">
      <c r="G298" s="1208"/>
      <c r="H298" s="1208"/>
    </row>
    <row r="299" spans="7:8" x14ac:dyDescent="0.3">
      <c r="G299" s="1208"/>
      <c r="H299" s="1208"/>
    </row>
    <row r="300" spans="7:8" x14ac:dyDescent="0.3">
      <c r="G300" s="1208"/>
      <c r="H300" s="1208"/>
    </row>
    <row r="301" spans="7:8" x14ac:dyDescent="0.3">
      <c r="G301" s="1208"/>
      <c r="H301" s="1208"/>
    </row>
    <row r="302" spans="7:8" x14ac:dyDescent="0.3">
      <c r="G302" s="1208"/>
      <c r="H302" s="1208"/>
    </row>
    <row r="303" spans="7:8" x14ac:dyDescent="0.3">
      <c r="G303" s="1208"/>
      <c r="H303" s="1208"/>
    </row>
    <row r="304" spans="7:8" x14ac:dyDescent="0.3">
      <c r="G304" s="1208"/>
      <c r="H304" s="1208"/>
    </row>
    <row r="305" spans="7:8" x14ac:dyDescent="0.3">
      <c r="G305" s="1208"/>
      <c r="H305" s="1208"/>
    </row>
    <row r="306" spans="7:8" x14ac:dyDescent="0.3">
      <c r="G306" s="1208"/>
      <c r="H306" s="1208"/>
    </row>
    <row r="307" spans="7:8" x14ac:dyDescent="0.3">
      <c r="G307" s="1208"/>
      <c r="H307" s="1208"/>
    </row>
    <row r="308" spans="7:8" x14ac:dyDescent="0.3">
      <c r="G308" s="1208"/>
      <c r="H308" s="1208"/>
    </row>
    <row r="309" spans="7:8" x14ac:dyDescent="0.3">
      <c r="G309" s="1208"/>
      <c r="H309" s="1208"/>
    </row>
    <row r="310" spans="7:8" x14ac:dyDescent="0.3">
      <c r="G310" s="1208"/>
      <c r="H310" s="1208"/>
    </row>
    <row r="311" spans="7:8" x14ac:dyDescent="0.3">
      <c r="G311" s="1208"/>
      <c r="H311" s="1208"/>
    </row>
    <row r="312" spans="7:8" x14ac:dyDescent="0.3">
      <c r="G312" s="1208"/>
      <c r="H312" s="1208"/>
    </row>
    <row r="313" spans="7:8" x14ac:dyDescent="0.3">
      <c r="G313" s="1208"/>
      <c r="H313" s="1208"/>
    </row>
    <row r="314" spans="7:8" x14ac:dyDescent="0.3">
      <c r="G314" s="1208"/>
      <c r="H314" s="1208"/>
    </row>
    <row r="315" spans="7:8" x14ac:dyDescent="0.3">
      <c r="G315" s="1208"/>
      <c r="H315" s="1208"/>
    </row>
    <row r="316" spans="7:8" x14ac:dyDescent="0.3">
      <c r="G316" s="1208"/>
      <c r="H316" s="1208"/>
    </row>
    <row r="317" spans="7:8" x14ac:dyDescent="0.3">
      <c r="G317" s="1208"/>
      <c r="H317" s="1208"/>
    </row>
    <row r="318" spans="7:8" x14ac:dyDescent="0.3">
      <c r="G318" s="1208"/>
      <c r="H318" s="1208"/>
    </row>
    <row r="319" spans="7:8" x14ac:dyDescent="0.3">
      <c r="G319" s="1208"/>
      <c r="H319" s="1208"/>
    </row>
    <row r="320" spans="7:8" x14ac:dyDescent="0.3">
      <c r="G320" s="1208"/>
      <c r="H320" s="1208"/>
    </row>
    <row r="321" spans="7:8" x14ac:dyDescent="0.3">
      <c r="G321" s="1208"/>
      <c r="H321" s="1208"/>
    </row>
    <row r="322" spans="7:8" x14ac:dyDescent="0.3">
      <c r="G322" s="1208"/>
      <c r="H322" s="1208"/>
    </row>
    <row r="323" spans="7:8" x14ac:dyDescent="0.3">
      <c r="G323" s="1208"/>
      <c r="H323" s="1208"/>
    </row>
    <row r="324" spans="7:8" x14ac:dyDescent="0.3">
      <c r="G324" s="1208"/>
      <c r="H324" s="1208"/>
    </row>
    <row r="325" spans="7:8" x14ac:dyDescent="0.3">
      <c r="G325" s="1208"/>
      <c r="H325" s="1208"/>
    </row>
    <row r="326" spans="7:8" x14ac:dyDescent="0.3">
      <c r="G326" s="1208"/>
      <c r="H326" s="1208"/>
    </row>
    <row r="327" spans="7:8" x14ac:dyDescent="0.3">
      <c r="G327" s="1208"/>
      <c r="H327" s="1208"/>
    </row>
    <row r="328" spans="7:8" x14ac:dyDescent="0.3">
      <c r="G328" s="1208"/>
      <c r="H328" s="1208"/>
    </row>
    <row r="329" spans="7:8" x14ac:dyDescent="0.3">
      <c r="G329" s="1208"/>
      <c r="H329" s="1208"/>
    </row>
    <row r="330" spans="7:8" x14ac:dyDescent="0.3">
      <c r="G330" s="1208"/>
      <c r="H330" s="1208"/>
    </row>
    <row r="331" spans="7:8" x14ac:dyDescent="0.3">
      <c r="G331" s="1208"/>
      <c r="H331" s="1208"/>
    </row>
    <row r="332" spans="7:8" x14ac:dyDescent="0.3">
      <c r="G332" s="1208"/>
      <c r="H332" s="1208"/>
    </row>
    <row r="333" spans="7:8" x14ac:dyDescent="0.3">
      <c r="G333" s="1208"/>
      <c r="H333" s="1208"/>
    </row>
    <row r="334" spans="7:8" x14ac:dyDescent="0.3">
      <c r="G334" s="1208"/>
      <c r="H334" s="1208"/>
    </row>
    <row r="335" spans="7:8" x14ac:dyDescent="0.3">
      <c r="G335" s="1208"/>
      <c r="H335" s="1208"/>
    </row>
    <row r="336" spans="7:8" x14ac:dyDescent="0.3">
      <c r="G336" s="1208"/>
      <c r="H336" s="1208"/>
    </row>
    <row r="337" spans="7:8" x14ac:dyDescent="0.3">
      <c r="G337" s="1208"/>
      <c r="H337" s="1208"/>
    </row>
    <row r="338" spans="7:8" x14ac:dyDescent="0.3">
      <c r="G338" s="1208"/>
      <c r="H338" s="1208"/>
    </row>
    <row r="339" spans="7:8" x14ac:dyDescent="0.3">
      <c r="G339" s="1208"/>
      <c r="H339" s="1208"/>
    </row>
    <row r="340" spans="7:8" x14ac:dyDescent="0.3">
      <c r="G340" s="1208"/>
      <c r="H340" s="1208"/>
    </row>
    <row r="341" spans="7:8" x14ac:dyDescent="0.3">
      <c r="G341" s="1208"/>
      <c r="H341" s="1208"/>
    </row>
    <row r="342" spans="7:8" x14ac:dyDescent="0.3">
      <c r="G342" s="1208"/>
      <c r="H342" s="1208"/>
    </row>
    <row r="343" spans="7:8" x14ac:dyDescent="0.3">
      <c r="G343" s="1208"/>
      <c r="H343" s="1208"/>
    </row>
    <row r="344" spans="7:8" x14ac:dyDescent="0.3">
      <c r="G344" s="1208"/>
      <c r="H344" s="1208"/>
    </row>
    <row r="345" spans="7:8" x14ac:dyDescent="0.3">
      <c r="G345" s="1208"/>
      <c r="H345" s="1208"/>
    </row>
    <row r="346" spans="7:8" x14ac:dyDescent="0.3">
      <c r="G346" s="1208"/>
      <c r="H346" s="1208"/>
    </row>
    <row r="347" spans="7:8" x14ac:dyDescent="0.3">
      <c r="G347" s="1208"/>
      <c r="H347" s="1208"/>
    </row>
    <row r="348" spans="7:8" x14ac:dyDescent="0.3">
      <c r="G348" s="1208"/>
      <c r="H348" s="1208"/>
    </row>
    <row r="349" spans="7:8" x14ac:dyDescent="0.3">
      <c r="G349" s="1208"/>
      <c r="H349" s="1208"/>
    </row>
    <row r="350" spans="7:8" x14ac:dyDescent="0.3">
      <c r="G350" s="1208"/>
      <c r="H350" s="1208"/>
    </row>
    <row r="351" spans="7:8" x14ac:dyDescent="0.3">
      <c r="G351" s="1208"/>
      <c r="H351" s="1208"/>
    </row>
    <row r="352" spans="7:8" x14ac:dyDescent="0.3">
      <c r="G352" s="1208"/>
      <c r="H352" s="1208"/>
    </row>
    <row r="353" spans="7:8" x14ac:dyDescent="0.3">
      <c r="G353" s="1208"/>
      <c r="H353" s="1208"/>
    </row>
    <row r="354" spans="7:8" x14ac:dyDescent="0.3">
      <c r="G354" s="1208"/>
      <c r="H354" s="1208"/>
    </row>
    <row r="355" spans="7:8" x14ac:dyDescent="0.3">
      <c r="G355" s="1208"/>
      <c r="H355" s="1208"/>
    </row>
    <row r="356" spans="7:8" x14ac:dyDescent="0.3">
      <c r="G356" s="1208"/>
      <c r="H356" s="1208"/>
    </row>
    <row r="357" spans="7:8" x14ac:dyDescent="0.3">
      <c r="G357" s="1208"/>
      <c r="H357" s="1208"/>
    </row>
    <row r="358" spans="7:8" x14ac:dyDescent="0.3">
      <c r="G358" s="1208"/>
      <c r="H358" s="1208"/>
    </row>
    <row r="359" spans="7:8" x14ac:dyDescent="0.3">
      <c r="G359" s="1208"/>
      <c r="H359" s="1208"/>
    </row>
    <row r="360" spans="7:8" x14ac:dyDescent="0.3">
      <c r="G360" s="1208"/>
      <c r="H360" s="1208"/>
    </row>
    <row r="361" spans="7:8" x14ac:dyDescent="0.3">
      <c r="G361" s="1208"/>
      <c r="H361" s="1208"/>
    </row>
    <row r="362" spans="7:8" x14ac:dyDescent="0.3">
      <c r="G362" s="1208"/>
      <c r="H362" s="1208"/>
    </row>
    <row r="363" spans="7:8" x14ac:dyDescent="0.3">
      <c r="G363" s="1208"/>
      <c r="H363" s="1208"/>
    </row>
    <row r="364" spans="7:8" x14ac:dyDescent="0.3">
      <c r="G364" s="1208"/>
      <c r="H364" s="1208"/>
    </row>
    <row r="365" spans="7:8" x14ac:dyDescent="0.3">
      <c r="G365" s="1208"/>
      <c r="H365" s="1208"/>
    </row>
    <row r="366" spans="7:8" x14ac:dyDescent="0.3">
      <c r="G366" s="1208"/>
      <c r="H366" s="1208"/>
    </row>
    <row r="367" spans="7:8" x14ac:dyDescent="0.3">
      <c r="G367" s="1208"/>
      <c r="H367" s="1208"/>
    </row>
    <row r="368" spans="7:8" x14ac:dyDescent="0.3">
      <c r="G368" s="1208"/>
      <c r="H368" s="1208"/>
    </row>
    <row r="369" spans="7:8" x14ac:dyDescent="0.3">
      <c r="G369" s="1208"/>
      <c r="H369" s="1208"/>
    </row>
    <row r="370" spans="7:8" x14ac:dyDescent="0.3">
      <c r="G370" s="1208"/>
      <c r="H370" s="1208"/>
    </row>
    <row r="371" spans="7:8" x14ac:dyDescent="0.3">
      <c r="G371" s="1208"/>
      <c r="H371" s="1208"/>
    </row>
    <row r="372" spans="7:8" x14ac:dyDescent="0.3">
      <c r="G372" s="1208"/>
      <c r="H372" s="1208"/>
    </row>
    <row r="373" spans="7:8" x14ac:dyDescent="0.3">
      <c r="G373" s="1208"/>
      <c r="H373" s="1208"/>
    </row>
    <row r="374" spans="7:8" x14ac:dyDescent="0.3">
      <c r="G374" s="1208"/>
      <c r="H374" s="1208"/>
    </row>
    <row r="375" spans="7:8" x14ac:dyDescent="0.3">
      <c r="G375" s="1208"/>
      <c r="H375" s="1208"/>
    </row>
    <row r="376" spans="7:8" x14ac:dyDescent="0.3">
      <c r="G376" s="1208"/>
      <c r="H376" s="1208"/>
    </row>
    <row r="377" spans="7:8" x14ac:dyDescent="0.3">
      <c r="G377" s="1208"/>
      <c r="H377" s="1208"/>
    </row>
    <row r="378" spans="7:8" x14ac:dyDescent="0.3">
      <c r="G378" s="1208"/>
      <c r="H378" s="1208"/>
    </row>
    <row r="379" spans="7:8" x14ac:dyDescent="0.3">
      <c r="G379" s="1208"/>
      <c r="H379" s="1208"/>
    </row>
    <row r="380" spans="7:8" x14ac:dyDescent="0.3">
      <c r="G380" s="1208"/>
      <c r="H380" s="1208"/>
    </row>
    <row r="381" spans="7:8" x14ac:dyDescent="0.3">
      <c r="G381" s="1208"/>
      <c r="H381" s="1208"/>
    </row>
    <row r="382" spans="7:8" x14ac:dyDescent="0.3">
      <c r="G382" s="1208"/>
      <c r="H382" s="1208"/>
    </row>
    <row r="383" spans="7:8" x14ac:dyDescent="0.3">
      <c r="G383" s="1208"/>
      <c r="H383" s="1208"/>
    </row>
    <row r="384" spans="7:8" x14ac:dyDescent="0.3">
      <c r="G384" s="1208"/>
      <c r="H384" s="1208"/>
    </row>
    <row r="385" spans="7:8" x14ac:dyDescent="0.3">
      <c r="G385" s="1208"/>
      <c r="H385" s="1208"/>
    </row>
    <row r="386" spans="7:8" x14ac:dyDescent="0.3">
      <c r="G386" s="1208"/>
      <c r="H386" s="1208"/>
    </row>
    <row r="387" spans="7:8" x14ac:dyDescent="0.3">
      <c r="G387" s="1208"/>
      <c r="H387" s="1208"/>
    </row>
    <row r="388" spans="7:8" x14ac:dyDescent="0.3">
      <c r="G388" s="1208"/>
      <c r="H388" s="1208"/>
    </row>
    <row r="389" spans="7:8" x14ac:dyDescent="0.3">
      <c r="G389" s="1208"/>
      <c r="H389" s="1208"/>
    </row>
    <row r="390" spans="7:8" x14ac:dyDescent="0.3">
      <c r="G390" s="1208"/>
      <c r="H390" s="1208"/>
    </row>
    <row r="391" spans="7:8" x14ac:dyDescent="0.3">
      <c r="G391" s="1208"/>
      <c r="H391" s="1208"/>
    </row>
    <row r="392" spans="7:8" x14ac:dyDescent="0.3">
      <c r="G392" s="1208"/>
      <c r="H392" s="1208"/>
    </row>
    <row r="393" spans="7:8" x14ac:dyDescent="0.3">
      <c r="G393" s="1208"/>
      <c r="H393" s="1208"/>
    </row>
    <row r="394" spans="7:8" x14ac:dyDescent="0.3">
      <c r="G394" s="1208"/>
      <c r="H394" s="1208"/>
    </row>
    <row r="395" spans="7:8" x14ac:dyDescent="0.3">
      <c r="G395" s="1208"/>
      <c r="H395" s="1208"/>
    </row>
    <row r="396" spans="7:8" x14ac:dyDescent="0.3">
      <c r="G396" s="1208"/>
      <c r="H396" s="1208"/>
    </row>
    <row r="397" spans="7:8" x14ac:dyDescent="0.3">
      <c r="G397" s="1208"/>
      <c r="H397" s="1208"/>
    </row>
    <row r="398" spans="7:8" x14ac:dyDescent="0.3">
      <c r="G398" s="1208"/>
      <c r="H398" s="1208"/>
    </row>
    <row r="399" spans="7:8" x14ac:dyDescent="0.3">
      <c r="G399" s="1208"/>
      <c r="H399" s="1208"/>
    </row>
    <row r="400" spans="7:8" x14ac:dyDescent="0.3">
      <c r="G400" s="1208"/>
      <c r="H400" s="1208"/>
    </row>
    <row r="401" spans="7:8" x14ac:dyDescent="0.3">
      <c r="G401" s="1208"/>
      <c r="H401" s="1208"/>
    </row>
    <row r="402" spans="7:8" x14ac:dyDescent="0.3">
      <c r="G402" s="1208"/>
      <c r="H402" s="1208"/>
    </row>
    <row r="403" spans="7:8" x14ac:dyDescent="0.3">
      <c r="G403" s="1208"/>
      <c r="H403" s="1208"/>
    </row>
    <row r="404" spans="7:8" x14ac:dyDescent="0.3">
      <c r="G404" s="1208"/>
      <c r="H404" s="1208"/>
    </row>
    <row r="405" spans="7:8" x14ac:dyDescent="0.3">
      <c r="G405" s="1208"/>
      <c r="H405" s="1208"/>
    </row>
    <row r="406" spans="7:8" x14ac:dyDescent="0.3">
      <c r="G406" s="1208"/>
      <c r="H406" s="1208"/>
    </row>
    <row r="407" spans="7:8" x14ac:dyDescent="0.3">
      <c r="G407" s="1208"/>
      <c r="H407" s="1208"/>
    </row>
    <row r="408" spans="7:8" x14ac:dyDescent="0.3">
      <c r="G408" s="1208"/>
      <c r="H408" s="1208"/>
    </row>
    <row r="409" spans="7:8" x14ac:dyDescent="0.3">
      <c r="G409" s="1208"/>
      <c r="H409" s="1208"/>
    </row>
    <row r="410" spans="7:8" x14ac:dyDescent="0.3">
      <c r="G410" s="1208"/>
      <c r="H410" s="1208"/>
    </row>
    <row r="411" spans="7:8" x14ac:dyDescent="0.3">
      <c r="G411" s="1208"/>
      <c r="H411" s="1208"/>
    </row>
    <row r="412" spans="7:8" x14ac:dyDescent="0.3">
      <c r="G412" s="1208"/>
      <c r="H412" s="1208"/>
    </row>
    <row r="413" spans="7:8" x14ac:dyDescent="0.3">
      <c r="G413" s="1208"/>
      <c r="H413" s="1208"/>
    </row>
    <row r="414" spans="7:8" x14ac:dyDescent="0.3">
      <c r="G414" s="1208"/>
      <c r="H414" s="1208"/>
    </row>
    <row r="415" spans="7:8" x14ac:dyDescent="0.3">
      <c r="G415" s="1208"/>
      <c r="H415" s="1208"/>
    </row>
    <row r="416" spans="7:8" x14ac:dyDescent="0.3">
      <c r="G416" s="1208"/>
      <c r="H416" s="1208"/>
    </row>
    <row r="417" spans="7:8" x14ac:dyDescent="0.3">
      <c r="G417" s="1208"/>
      <c r="H417" s="1208"/>
    </row>
    <row r="418" spans="7:8" x14ac:dyDescent="0.3">
      <c r="G418" s="1208"/>
      <c r="H418" s="1208"/>
    </row>
    <row r="419" spans="7:8" x14ac:dyDescent="0.3">
      <c r="G419" s="1208"/>
      <c r="H419" s="1208"/>
    </row>
    <row r="420" spans="7:8" x14ac:dyDescent="0.3">
      <c r="G420" s="1208"/>
      <c r="H420" s="1208"/>
    </row>
    <row r="421" spans="7:8" x14ac:dyDescent="0.3">
      <c r="G421" s="1208"/>
      <c r="H421" s="1208"/>
    </row>
    <row r="422" spans="7:8" x14ac:dyDescent="0.3">
      <c r="G422" s="1208"/>
      <c r="H422" s="1208"/>
    </row>
    <row r="423" spans="7:8" x14ac:dyDescent="0.3">
      <c r="G423" s="1208"/>
      <c r="H423" s="1208"/>
    </row>
    <row r="424" spans="7:8" x14ac:dyDescent="0.3">
      <c r="G424" s="1208"/>
      <c r="H424" s="1208"/>
    </row>
    <row r="425" spans="7:8" x14ac:dyDescent="0.3">
      <c r="G425" s="1208"/>
      <c r="H425" s="1208"/>
    </row>
    <row r="426" spans="7:8" x14ac:dyDescent="0.3">
      <c r="G426" s="1208"/>
      <c r="H426" s="1208"/>
    </row>
    <row r="427" spans="7:8" x14ac:dyDescent="0.3">
      <c r="G427" s="1208"/>
      <c r="H427" s="1208"/>
    </row>
    <row r="428" spans="7:8" x14ac:dyDescent="0.3">
      <c r="G428" s="1208"/>
      <c r="H428" s="1208"/>
    </row>
    <row r="429" spans="7:8" x14ac:dyDescent="0.3">
      <c r="G429" s="1208"/>
      <c r="H429" s="1208"/>
    </row>
    <row r="430" spans="7:8" x14ac:dyDescent="0.3">
      <c r="G430" s="1208"/>
      <c r="H430" s="1208"/>
    </row>
    <row r="431" spans="7:8" x14ac:dyDescent="0.3">
      <c r="G431" s="1208"/>
      <c r="H431" s="1208"/>
    </row>
    <row r="432" spans="7:8" x14ac:dyDescent="0.3">
      <c r="G432" s="1208"/>
      <c r="H432" s="1208"/>
    </row>
    <row r="433" spans="7:8" x14ac:dyDescent="0.3">
      <c r="G433" s="1208"/>
      <c r="H433" s="1208"/>
    </row>
    <row r="434" spans="7:8" x14ac:dyDescent="0.3">
      <c r="G434" s="1208"/>
      <c r="H434" s="1208"/>
    </row>
    <row r="435" spans="7:8" x14ac:dyDescent="0.3">
      <c r="G435" s="1208"/>
      <c r="H435" s="1208"/>
    </row>
    <row r="436" spans="7:8" x14ac:dyDescent="0.3">
      <c r="G436" s="1208"/>
      <c r="H436" s="1208"/>
    </row>
    <row r="437" spans="7:8" x14ac:dyDescent="0.3">
      <c r="G437" s="1208"/>
      <c r="H437" s="1208"/>
    </row>
    <row r="438" spans="7:8" x14ac:dyDescent="0.3">
      <c r="G438" s="1208"/>
      <c r="H438" s="1208"/>
    </row>
    <row r="439" spans="7:8" x14ac:dyDescent="0.3">
      <c r="G439" s="1208"/>
      <c r="H439" s="1208"/>
    </row>
    <row r="440" spans="7:8" x14ac:dyDescent="0.3">
      <c r="G440" s="1208"/>
      <c r="H440" s="1208"/>
    </row>
    <row r="441" spans="7:8" x14ac:dyDescent="0.3">
      <c r="G441" s="1208"/>
      <c r="H441" s="1208"/>
    </row>
    <row r="442" spans="7:8" x14ac:dyDescent="0.3">
      <c r="G442" s="1208"/>
      <c r="H442" s="1208"/>
    </row>
    <row r="443" spans="7:8" x14ac:dyDescent="0.3">
      <c r="G443" s="1208"/>
      <c r="H443" s="1208"/>
    </row>
    <row r="444" spans="7:8" x14ac:dyDescent="0.3">
      <c r="G444" s="1208"/>
      <c r="H444" s="1208"/>
    </row>
    <row r="445" spans="7:8" x14ac:dyDescent="0.3">
      <c r="G445" s="1208"/>
      <c r="H445" s="1208"/>
    </row>
    <row r="446" spans="7:8" x14ac:dyDescent="0.3">
      <c r="G446" s="1208"/>
      <c r="H446" s="1208"/>
    </row>
    <row r="447" spans="7:8" x14ac:dyDescent="0.3">
      <c r="G447" s="1208"/>
      <c r="H447" s="1208"/>
    </row>
    <row r="448" spans="7:8" x14ac:dyDescent="0.3">
      <c r="G448" s="1208"/>
      <c r="H448" s="1208"/>
    </row>
    <row r="449" spans="7:8" x14ac:dyDescent="0.3">
      <c r="G449" s="1208"/>
      <c r="H449" s="1208"/>
    </row>
    <row r="450" spans="7:8" x14ac:dyDescent="0.3">
      <c r="G450" s="1208"/>
      <c r="H450" s="1208"/>
    </row>
    <row r="451" spans="7:8" x14ac:dyDescent="0.3">
      <c r="G451" s="1208"/>
      <c r="H451" s="1208"/>
    </row>
    <row r="452" spans="7:8" x14ac:dyDescent="0.3">
      <c r="G452" s="1208"/>
      <c r="H452" s="1208"/>
    </row>
    <row r="453" spans="7:8" x14ac:dyDescent="0.3">
      <c r="G453" s="1208"/>
      <c r="H453" s="1208"/>
    </row>
    <row r="454" spans="7:8" x14ac:dyDescent="0.3">
      <c r="G454" s="1208"/>
      <c r="H454" s="1208"/>
    </row>
    <row r="455" spans="7:8" x14ac:dyDescent="0.3">
      <c r="G455" s="1208"/>
      <c r="H455" s="1208"/>
    </row>
    <row r="456" spans="7:8" x14ac:dyDescent="0.3">
      <c r="G456" s="1208"/>
      <c r="H456" s="1208"/>
    </row>
    <row r="457" spans="7:8" x14ac:dyDescent="0.3">
      <c r="G457" s="1208"/>
      <c r="H457" s="1208"/>
    </row>
    <row r="458" spans="7:8" x14ac:dyDescent="0.3">
      <c r="G458" s="1208"/>
      <c r="H458" s="1208"/>
    </row>
    <row r="459" spans="7:8" x14ac:dyDescent="0.3">
      <c r="G459" s="1208"/>
      <c r="H459" s="1208"/>
    </row>
  </sheetData>
  <mergeCells count="3">
    <mergeCell ref="A2:E3"/>
    <mergeCell ref="A7:F7"/>
    <mergeCell ref="I7:AB7"/>
  </mergeCells>
  <conditionalFormatting sqref="A8:AB8">
    <cfRule type="expression" dxfId="15" priority="1">
      <formula>IF(INDEX(VAD_nMeasModWindErosionNutriTranspt,COLUMN(A8),5)&gt;0,TRUE(),FALSE())</formula>
    </cfRule>
  </conditionalFormatting>
  <dataValidations count="11">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197:A65232 C1197:C65232 D128:D822">
      <formula1>#REF!</formula1>
    </dataValidation>
    <dataValidation type="list" allowBlank="1" showInputMessage="1" showErrorMessage="1" sqref="A9:A1196">
      <formula1>Exp_UnitID</formula1>
    </dataValidation>
    <dataValidation type="list" allowBlank="1" showInputMessage="1" showErrorMessage="1" sqref="C9:C1196">
      <formula1>TreatmentID</formula1>
    </dataValidation>
    <dataValidation type="list" allowBlank="1" showInputMessage="1" showErrorMessage="1" sqref="F9 F27:F696 G460:H696">
      <formula1>Harvested_Fraction</formula1>
    </dataValidation>
    <dataValidation type="list" allowBlank="1" showInputMessage="1" showErrorMessage="1" sqref="D9:D127">
      <formula1>Growth_Stage</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I21" sqref="I21"/>
    </sheetView>
  </sheetViews>
  <sheetFormatPr defaultColWidth="9.109375" defaultRowHeight="13.2" x14ac:dyDescent="0.25"/>
  <cols>
    <col min="1" max="1" width="14.88671875" style="316" customWidth="1"/>
    <col min="2" max="2" width="14.88671875" style="313" customWidth="1"/>
    <col min="3" max="3" width="17.33203125" style="316" customWidth="1"/>
    <col min="4" max="4" width="17.5546875" style="316" customWidth="1"/>
    <col min="5" max="5" width="15.5546875" style="316" customWidth="1"/>
    <col min="6" max="6" width="14.44140625" style="316" customWidth="1"/>
    <col min="7" max="7" width="10.6640625" style="314" customWidth="1"/>
    <col min="8" max="8" width="9.5546875" style="314" customWidth="1"/>
    <col min="9" max="14" width="10.6640625" style="314" customWidth="1"/>
    <col min="15" max="15" width="10.109375" style="314" customWidth="1"/>
    <col min="16" max="19" width="10.6640625" style="314" customWidth="1"/>
    <col min="20" max="20" width="9.109375" style="314" customWidth="1"/>
    <col min="21" max="21" width="7.88671875" style="314" customWidth="1"/>
    <col min="22" max="23" width="10.6640625" style="314" customWidth="1"/>
    <col min="24" max="24" width="9.5546875" style="314" customWidth="1"/>
    <col min="25" max="25" width="8.6640625" style="314" customWidth="1"/>
    <col min="26" max="26" width="11.6640625" style="314" customWidth="1"/>
    <col min="27" max="27" width="12.5546875" style="314" customWidth="1"/>
    <col min="28" max="30" width="10.6640625" style="314" customWidth="1"/>
    <col min="31" max="31" width="12.44140625" style="314" customWidth="1"/>
    <col min="32" max="32" width="10.6640625" style="314" customWidth="1"/>
    <col min="33" max="16384" width="9.109375" style="314"/>
  </cols>
  <sheetData>
    <row r="1" spans="1:34" s="339" customFormat="1" ht="18" x14ac:dyDescent="0.35">
      <c r="A1" s="734" t="s">
        <v>554</v>
      </c>
      <c r="B1" s="276"/>
      <c r="C1" s="734"/>
      <c r="D1" s="737"/>
      <c r="E1" s="738"/>
      <c r="F1" s="738"/>
      <c r="G1" s="101"/>
      <c r="H1" s="101"/>
      <c r="I1" s="101"/>
      <c r="J1" s="101"/>
      <c r="K1" s="101"/>
      <c r="L1" s="101"/>
      <c r="M1" s="523"/>
      <c r="N1" s="101"/>
      <c r="O1" s="101"/>
      <c r="P1" s="101"/>
      <c r="Q1" s="101"/>
      <c r="R1" s="101"/>
      <c r="S1" s="215"/>
      <c r="T1" s="101"/>
      <c r="U1" s="101"/>
      <c r="V1" s="101"/>
      <c r="W1" s="101"/>
      <c r="X1" s="101"/>
      <c r="Y1" s="101"/>
      <c r="Z1" s="523"/>
      <c r="AA1" s="101"/>
      <c r="AB1" s="101"/>
      <c r="AC1" s="101"/>
      <c r="AD1" s="101"/>
      <c r="AE1" s="101"/>
      <c r="AF1" s="190"/>
      <c r="AH1" s="413"/>
    </row>
    <row r="2" spans="1:34" s="339" customFormat="1" ht="12.75" customHeight="1" x14ac:dyDescent="0.3">
      <c r="A2" s="739" t="s">
        <v>617</v>
      </c>
      <c r="B2" s="884"/>
      <c r="C2" s="884"/>
      <c r="D2" s="736"/>
      <c r="E2" s="736"/>
      <c r="F2" s="305"/>
      <c r="G2" s="305"/>
      <c r="H2" s="524"/>
      <c r="I2" s="524"/>
      <c r="J2" s="524"/>
      <c r="K2" s="524"/>
      <c r="L2" s="525"/>
      <c r="M2" s="524"/>
      <c r="N2" s="1608" t="s">
        <v>596</v>
      </c>
      <c r="O2" s="1609"/>
      <c r="P2" s="524"/>
      <c r="Q2" s="524"/>
      <c r="R2" s="524"/>
      <c r="S2" s="526"/>
      <c r="T2" s="890" t="s">
        <v>538</v>
      </c>
      <c r="U2" s="890" t="s">
        <v>538</v>
      </c>
      <c r="V2" s="890" t="s">
        <v>538</v>
      </c>
      <c r="W2" s="890" t="s">
        <v>538</v>
      </c>
      <c r="X2" s="890" t="s">
        <v>538</v>
      </c>
      <c r="Y2" s="890" t="s">
        <v>538</v>
      </c>
      <c r="Z2" s="890" t="s">
        <v>538</v>
      </c>
      <c r="AA2" s="890" t="s">
        <v>538</v>
      </c>
      <c r="AB2" s="890" t="s">
        <v>538</v>
      </c>
      <c r="AC2" s="890" t="s">
        <v>538</v>
      </c>
      <c r="AD2" s="890" t="s">
        <v>538</v>
      </c>
      <c r="AE2" s="890" t="s">
        <v>538</v>
      </c>
      <c r="AF2" s="904" t="s">
        <v>538</v>
      </c>
      <c r="AH2" s="413"/>
    </row>
    <row r="3" spans="1:34" s="339" customFormat="1" ht="15" customHeight="1" x14ac:dyDescent="0.3">
      <c r="A3" s="884"/>
      <c r="B3" s="884"/>
      <c r="C3" s="884"/>
      <c r="D3" s="736"/>
      <c r="E3" s="736"/>
      <c r="F3" s="736"/>
      <c r="G3" s="524"/>
      <c r="H3" s="524"/>
      <c r="I3" s="524"/>
      <c r="J3" s="524"/>
      <c r="K3" s="524"/>
      <c r="L3" s="525"/>
      <c r="M3" s="524"/>
      <c r="N3" s="1609"/>
      <c r="O3" s="1609"/>
      <c r="P3" s="524"/>
      <c r="Q3" s="524"/>
      <c r="R3" s="524"/>
      <c r="S3" s="526"/>
      <c r="T3" s="524"/>
      <c r="U3" s="524"/>
      <c r="V3" s="524"/>
      <c r="W3" s="524"/>
      <c r="X3" s="524"/>
      <c r="Y3" s="524"/>
      <c r="Z3" s="524"/>
      <c r="AA3" s="524"/>
      <c r="AB3" s="524"/>
      <c r="AC3" s="524"/>
      <c r="AD3" s="524"/>
      <c r="AE3" s="524"/>
      <c r="AF3" s="527"/>
      <c r="AH3" s="413"/>
    </row>
    <row r="4" spans="1:34" s="339" customFormat="1" ht="24.75" customHeight="1" x14ac:dyDescent="0.3">
      <c r="A4" s="1610" t="s">
        <v>2369</v>
      </c>
      <c r="B4" s="1610"/>
      <c r="C4" s="1610"/>
      <c r="D4" s="1610"/>
      <c r="E4" s="1610"/>
      <c r="F4" s="1610"/>
      <c r="G4" s="524"/>
      <c r="H4" s="524"/>
      <c r="I4" s="524"/>
      <c r="J4" s="524"/>
      <c r="K4" s="524"/>
      <c r="L4" s="525"/>
      <c r="M4" s="524"/>
      <c r="N4" s="1609"/>
      <c r="O4" s="1609"/>
      <c r="P4" s="524"/>
      <c r="Q4" s="524"/>
      <c r="R4" s="524"/>
      <c r="S4" s="526"/>
      <c r="T4" s="524"/>
      <c r="U4" s="524"/>
      <c r="V4" s="524"/>
      <c r="W4" s="524"/>
      <c r="X4" s="524"/>
      <c r="Y4" s="524"/>
      <c r="Z4" s="524"/>
      <c r="AA4" s="524"/>
      <c r="AB4" s="524"/>
      <c r="AC4" s="524"/>
      <c r="AD4" s="524"/>
      <c r="AE4" s="524"/>
      <c r="AF4" s="527"/>
      <c r="AH4" s="413"/>
    </row>
    <row r="5" spans="1:34" s="339" customFormat="1" ht="15.6" x14ac:dyDescent="0.3">
      <c r="A5" s="735" t="s">
        <v>343</v>
      </c>
      <c r="B5" s="96"/>
      <c r="C5" s="735"/>
      <c r="D5" s="735"/>
      <c r="E5" s="735"/>
      <c r="F5" s="905"/>
      <c r="G5" s="524"/>
      <c r="H5" s="524"/>
      <c r="I5" s="524"/>
      <c r="J5" s="524"/>
      <c r="K5" s="524"/>
      <c r="L5" s="525"/>
      <c r="M5" s="524"/>
      <c r="N5" s="1609"/>
      <c r="O5" s="1609"/>
      <c r="P5" s="524"/>
      <c r="Q5" s="524"/>
      <c r="R5" s="524"/>
      <c r="S5" s="526"/>
      <c r="T5" s="524"/>
      <c r="U5" s="524"/>
      <c r="V5" s="524"/>
      <c r="W5" s="524"/>
      <c r="X5" s="524"/>
      <c r="Y5" s="524"/>
      <c r="Z5" s="524"/>
      <c r="AA5" s="524"/>
      <c r="AB5" s="524"/>
      <c r="AC5" s="524"/>
      <c r="AD5" s="524"/>
      <c r="AE5" s="524"/>
      <c r="AF5" s="527"/>
      <c r="AH5" s="413"/>
    </row>
    <row r="6" spans="1:34" s="339" customFormat="1" ht="14.4" x14ac:dyDescent="0.3">
      <c r="A6" s="736"/>
      <c r="B6" s="256" t="s">
        <v>116</v>
      </c>
      <c r="C6" s="736"/>
      <c r="D6" s="736"/>
      <c r="E6" s="736"/>
      <c r="F6" s="740"/>
      <c r="G6" s="1606" t="s">
        <v>383</v>
      </c>
      <c r="H6" s="1606"/>
      <c r="I6" s="1606"/>
      <c r="J6" s="1606"/>
      <c r="K6" s="1606"/>
      <c r="L6" s="1606"/>
      <c r="M6" s="1606"/>
      <c r="N6" s="1606"/>
      <c r="O6" s="1606"/>
      <c r="P6" s="1606"/>
      <c r="Q6" s="1606"/>
      <c r="R6" s="1606"/>
      <c r="S6" s="1607"/>
      <c r="T6" s="528"/>
      <c r="U6" s="528"/>
      <c r="V6" s="528"/>
      <c r="W6" s="528"/>
      <c r="X6" s="528"/>
      <c r="Y6" s="528"/>
      <c r="Z6" s="528"/>
      <c r="AA6" s="528"/>
      <c r="AB6" s="528"/>
      <c r="AC6" s="528"/>
      <c r="AD6" s="528"/>
      <c r="AE6" s="528"/>
      <c r="AF6" s="529"/>
    </row>
    <row r="7" spans="1:34" s="339" customFormat="1" ht="14.4" x14ac:dyDescent="0.3">
      <c r="A7" s="10"/>
      <c r="B7" s="67"/>
      <c r="C7" s="736"/>
      <c r="D7" s="799" t="str">
        <f>HYPERLINK("#DropDownLists!O6","Add to this list")</f>
        <v>Add to this list</v>
      </c>
      <c r="E7" s="809" t="str">
        <f>HYPERLINK("#DropDownLists!K6","Add to this list")</f>
        <v>Add to this list</v>
      </c>
      <c r="F7" s="810" t="str">
        <f>HYPERLINK("#DropDownLists!T6","Add to this list")</f>
        <v>Add to this list</v>
      </c>
      <c r="G7" s="524"/>
      <c r="H7" s="524"/>
      <c r="I7" s="524"/>
      <c r="J7" s="524"/>
      <c r="K7" s="524"/>
      <c r="L7" s="524"/>
      <c r="M7" s="908" t="s">
        <v>598</v>
      </c>
      <c r="N7" s="908" t="s">
        <v>599</v>
      </c>
      <c r="O7" s="524"/>
      <c r="P7" s="524"/>
      <c r="Q7" s="524"/>
      <c r="R7" s="908" t="s">
        <v>600</v>
      </c>
      <c r="S7" s="526"/>
      <c r="T7" s="524"/>
      <c r="U7" s="524"/>
      <c r="V7" s="524"/>
      <c r="W7" s="524"/>
      <c r="X7" s="524"/>
      <c r="Y7" s="524"/>
      <c r="Z7" s="524"/>
      <c r="AA7" s="524"/>
      <c r="AB7" s="524"/>
      <c r="AC7" s="524"/>
      <c r="AD7" s="524"/>
      <c r="AE7" s="524"/>
      <c r="AF7" s="527"/>
      <c r="AH7" s="413"/>
    </row>
    <row r="8" spans="1:34" s="339" customFormat="1" ht="52.5" customHeight="1" thickBot="1" x14ac:dyDescent="0.35">
      <c r="A8" s="18" t="s">
        <v>1637</v>
      </c>
      <c r="B8" s="20" t="s">
        <v>35</v>
      </c>
      <c r="C8" s="7" t="s">
        <v>1598</v>
      </c>
      <c r="D8" s="7" t="s">
        <v>1659</v>
      </c>
      <c r="E8" s="12" t="s">
        <v>77</v>
      </c>
      <c r="F8" s="7" t="s">
        <v>1789</v>
      </c>
      <c r="G8" s="6" t="s">
        <v>1941</v>
      </c>
      <c r="H8" s="6" t="s">
        <v>3763</v>
      </c>
      <c r="I8" s="6" t="s">
        <v>3764</v>
      </c>
      <c r="J8" s="6" t="s">
        <v>3765</v>
      </c>
      <c r="K8" s="6" t="s">
        <v>3766</v>
      </c>
      <c r="L8" s="6" t="s">
        <v>3767</v>
      </c>
      <c r="M8" s="6" t="s">
        <v>1942</v>
      </c>
      <c r="N8" s="6" t="s">
        <v>3768</v>
      </c>
      <c r="O8" s="6" t="s">
        <v>3769</v>
      </c>
      <c r="P8" s="6" t="s">
        <v>3770</v>
      </c>
      <c r="Q8" s="6" t="s">
        <v>1943</v>
      </c>
      <c r="R8" s="6" t="s">
        <v>1944</v>
      </c>
      <c r="S8" s="469" t="s">
        <v>1945</v>
      </c>
      <c r="T8" s="6" t="s">
        <v>1946</v>
      </c>
      <c r="U8" s="6" t="s">
        <v>3771</v>
      </c>
      <c r="V8" s="6" t="s">
        <v>3772</v>
      </c>
      <c r="W8" s="6" t="s">
        <v>3773</v>
      </c>
      <c r="X8" s="6" t="s">
        <v>3774</v>
      </c>
      <c r="Y8" s="6" t="s">
        <v>3775</v>
      </c>
      <c r="Z8" s="6" t="s">
        <v>1947</v>
      </c>
      <c r="AA8" s="6" t="s">
        <v>3776</v>
      </c>
      <c r="AB8" s="6" t="s">
        <v>3777</v>
      </c>
      <c r="AC8" s="6" t="s">
        <v>3778</v>
      </c>
      <c r="AD8" s="6" t="s">
        <v>1948</v>
      </c>
      <c r="AE8" s="6" t="s">
        <v>1949</v>
      </c>
      <c r="AF8" s="114" t="s">
        <v>3779</v>
      </c>
      <c r="AG8" s="365"/>
      <c r="AH8" s="413"/>
    </row>
  </sheetData>
  <mergeCells count="3">
    <mergeCell ref="G6:S6"/>
    <mergeCell ref="N2:O5"/>
    <mergeCell ref="A4:F4"/>
  </mergeCells>
  <conditionalFormatting sqref="A8:AF8">
    <cfRule type="expression" dxfId="14"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G8" sqref="G8"/>
    </sheetView>
  </sheetViews>
  <sheetFormatPr defaultColWidth="9.109375" defaultRowHeight="13.2" x14ac:dyDescent="0.25"/>
  <cols>
    <col min="1" max="1" width="18.33203125" style="316" customWidth="1"/>
    <col min="2" max="2" width="18.33203125" style="313" customWidth="1"/>
    <col min="3" max="3" width="16.88671875" style="316" customWidth="1"/>
    <col min="4" max="4" width="13.88671875" style="316" customWidth="1"/>
    <col min="5" max="5" width="12" style="316" customWidth="1"/>
    <col min="6" max="6" width="19.6640625" style="316" customWidth="1"/>
    <col min="7" max="7" width="16" style="314" customWidth="1"/>
    <col min="8" max="8" width="10.88671875" style="314" customWidth="1"/>
    <col min="9" max="9" width="20.6640625" style="314" customWidth="1"/>
    <col min="10" max="10" width="20.88671875" style="314" customWidth="1"/>
    <col min="11" max="11" width="10.88671875" style="314" customWidth="1"/>
    <col min="12" max="12" width="27" style="314" customWidth="1"/>
    <col min="13" max="16384" width="9.109375" style="314"/>
  </cols>
  <sheetData>
    <row r="1" spans="1:13" s="339" customFormat="1" ht="18" x14ac:dyDescent="0.35">
      <c r="A1" s="741" t="s">
        <v>555</v>
      </c>
      <c r="B1" s="277"/>
      <c r="C1" s="743"/>
      <c r="D1" s="743"/>
      <c r="E1" s="738"/>
      <c r="F1" s="738"/>
      <c r="G1" s="101"/>
      <c r="H1" s="101"/>
      <c r="I1" s="215"/>
      <c r="J1" s="101"/>
      <c r="K1" s="101"/>
      <c r="L1" s="191"/>
    </row>
    <row r="2" spans="1:13" s="533" customFormat="1" ht="15" customHeight="1" x14ac:dyDescent="0.3">
      <c r="A2" s="530" t="s">
        <v>946</v>
      </c>
      <c r="B2" s="884"/>
      <c r="C2" s="884"/>
      <c r="D2" s="744"/>
      <c r="E2" s="744"/>
      <c r="F2" s="744"/>
      <c r="G2" s="901"/>
      <c r="H2" s="531"/>
      <c r="I2" s="532"/>
      <c r="J2" s="899" t="s">
        <v>538</v>
      </c>
      <c r="K2" s="899" t="s">
        <v>538</v>
      </c>
      <c r="L2" s="900" t="s">
        <v>538</v>
      </c>
    </row>
    <row r="3" spans="1:13" s="533" customFormat="1" ht="30.75" customHeight="1" x14ac:dyDescent="0.2">
      <c r="A3" s="1474" t="s">
        <v>2369</v>
      </c>
      <c r="B3" s="1474"/>
      <c r="C3" s="1474"/>
      <c r="D3" s="1474"/>
      <c r="E3" s="1474"/>
      <c r="F3" s="1474"/>
      <c r="G3" s="1608" t="s">
        <v>385</v>
      </c>
      <c r="H3" s="1608" t="s">
        <v>386</v>
      </c>
      <c r="I3" s="1473" t="s">
        <v>387</v>
      </c>
      <c r="J3" s="1608" t="s">
        <v>385</v>
      </c>
      <c r="K3" s="1608" t="s">
        <v>386</v>
      </c>
      <c r="L3" s="1611" t="s">
        <v>387</v>
      </c>
    </row>
    <row r="4" spans="1:13" s="533" customFormat="1" ht="11.25" customHeight="1" x14ac:dyDescent="0.3">
      <c r="A4" s="884"/>
      <c r="B4" s="884"/>
      <c r="C4" s="884"/>
      <c r="D4" s="744"/>
      <c r="E4" s="744"/>
      <c r="F4" s="744"/>
      <c r="G4" s="1608"/>
      <c r="H4" s="1608"/>
      <c r="I4" s="532"/>
      <c r="J4" s="1608"/>
      <c r="K4" s="1608"/>
      <c r="L4" s="1611"/>
    </row>
    <row r="5" spans="1:13" s="533" customFormat="1" ht="13.8" x14ac:dyDescent="0.2">
      <c r="A5" s="903" t="s">
        <v>343</v>
      </c>
      <c r="B5" s="98"/>
      <c r="C5" s="745"/>
      <c r="D5" s="745"/>
      <c r="E5" s="745"/>
      <c r="F5" s="902"/>
      <c r="G5" s="1608"/>
      <c r="H5" s="1608"/>
      <c r="I5" s="532"/>
      <c r="J5" s="1608"/>
      <c r="K5" s="1608"/>
      <c r="L5" s="1611"/>
    </row>
    <row r="6" spans="1:13" s="534" customFormat="1" ht="27" x14ac:dyDescent="0.3">
      <c r="A6" s="742"/>
      <c r="B6" s="256" t="s">
        <v>116</v>
      </c>
      <c r="C6" s="742"/>
      <c r="D6" s="742"/>
      <c r="E6" s="742"/>
      <c r="F6" s="742"/>
      <c r="G6" s="906" t="s">
        <v>790</v>
      </c>
      <c r="H6" s="906" t="s">
        <v>790</v>
      </c>
      <c r="I6" s="907" t="s">
        <v>791</v>
      </c>
      <c r="J6" s="906" t="s">
        <v>790</v>
      </c>
      <c r="K6" s="906" t="s">
        <v>790</v>
      </c>
      <c r="L6" s="913" t="s">
        <v>791</v>
      </c>
    </row>
    <row r="7" spans="1:13" s="339" customFormat="1" ht="14.4" x14ac:dyDescent="0.3">
      <c r="A7" s="10"/>
      <c r="B7" s="67"/>
      <c r="C7" s="736"/>
      <c r="D7" s="799" t="str">
        <f>HYPERLINK("#DropDownLists!O6","Add to this list")</f>
        <v>Add to this list</v>
      </c>
      <c r="E7" s="809" t="str">
        <f>HYPERLINK("#DropDownLists!K6","Add to this list")</f>
        <v>Add to this list</v>
      </c>
      <c r="F7" s="810" t="str">
        <f>HYPERLINK("#DropDownLists!T6","Add to this list")</f>
        <v>Add to this list</v>
      </c>
      <c r="G7" s="524"/>
      <c r="H7" s="524"/>
      <c r="I7" s="526"/>
      <c r="J7" s="524"/>
      <c r="K7" s="524"/>
      <c r="L7" s="527"/>
    </row>
    <row r="8" spans="1:13" s="339" customFormat="1" ht="27.6" thickBot="1" x14ac:dyDescent="0.35">
      <c r="A8" s="18" t="s">
        <v>1637</v>
      </c>
      <c r="B8" s="20" t="s">
        <v>35</v>
      </c>
      <c r="C8" s="7" t="s">
        <v>1598</v>
      </c>
      <c r="D8" s="7" t="s">
        <v>1659</v>
      </c>
      <c r="E8" s="12" t="s">
        <v>77</v>
      </c>
      <c r="F8" s="7" t="s">
        <v>1789</v>
      </c>
      <c r="G8" s="539" t="s">
        <v>3780</v>
      </c>
      <c r="H8" s="539" t="s">
        <v>3781</v>
      </c>
      <c r="I8" s="951" t="s">
        <v>3782</v>
      </c>
      <c r="J8" s="539" t="s">
        <v>3783</v>
      </c>
      <c r="K8" s="539" t="s">
        <v>3779</v>
      </c>
      <c r="L8" s="952" t="s">
        <v>3784</v>
      </c>
      <c r="M8" s="365"/>
    </row>
  </sheetData>
  <mergeCells count="5">
    <mergeCell ref="J3:J5"/>
    <mergeCell ref="K3:K5"/>
    <mergeCell ref="L3:L5"/>
    <mergeCell ref="G3:G5"/>
    <mergeCell ref="H3:H5"/>
  </mergeCells>
  <conditionalFormatting sqref="A8:L8">
    <cfRule type="expression" dxfId="13"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BW8"/>
  <sheetViews>
    <sheetView workbookViewId="0">
      <pane xSplit="5" ySplit="8" topLeftCell="F9" activePane="bottomRight" state="frozen"/>
      <selection pane="topRight" activeCell="F1" sqref="F1"/>
      <selection pane="bottomLeft" activeCell="A9" sqref="A9"/>
      <selection pane="bottomRight" activeCell="F9" sqref="F9"/>
    </sheetView>
  </sheetViews>
  <sheetFormatPr defaultColWidth="9.109375" defaultRowHeight="13.2" x14ac:dyDescent="0.25"/>
  <cols>
    <col min="1" max="1" width="11.6640625" style="316" customWidth="1"/>
    <col min="2" max="2" width="8.6640625" style="313" customWidth="1"/>
    <col min="3" max="3" width="31.5546875" style="316" customWidth="1"/>
    <col min="4" max="4" width="13.33203125" style="316" customWidth="1"/>
    <col min="5" max="5" width="14.6640625" style="316" customWidth="1"/>
    <col min="6" max="6" width="19.6640625" style="316" customWidth="1"/>
    <col min="7" max="7" width="16" style="314" customWidth="1"/>
    <col min="8" max="8" width="9.109375" style="314"/>
    <col min="9" max="9" width="11" style="314" customWidth="1"/>
    <col min="10" max="10" width="12.6640625" style="314" customWidth="1"/>
    <col min="11" max="11" width="7.33203125" style="314" customWidth="1"/>
    <col min="12" max="12" width="10.44140625" style="314" customWidth="1"/>
    <col min="13" max="13" width="12.5546875" style="314" customWidth="1"/>
    <col min="14" max="14" width="8.44140625" style="314" customWidth="1"/>
    <col min="15" max="16" width="8.33203125" style="314" customWidth="1"/>
    <col min="17" max="17" width="10" style="314" bestFit="1" customWidth="1"/>
    <col min="18" max="18" width="9.6640625" style="314" bestFit="1" customWidth="1"/>
    <col min="19" max="19" width="8" style="314" customWidth="1"/>
    <col min="20" max="21" width="7.88671875" style="314" customWidth="1"/>
    <col min="22" max="22" width="10" style="314" bestFit="1" customWidth="1"/>
    <col min="23" max="23" width="9.6640625" style="314" bestFit="1" customWidth="1"/>
    <col min="24" max="24" width="10.33203125" style="314" customWidth="1"/>
    <col min="25" max="28" width="10.6640625" style="314" customWidth="1"/>
    <col min="29" max="29" width="10.44140625" style="314" customWidth="1"/>
    <col min="30" max="33" width="9.5546875" style="314" customWidth="1"/>
    <col min="34" max="34" width="16" style="314" customWidth="1"/>
    <col min="35" max="35" width="17" style="314" customWidth="1"/>
    <col min="36" max="40" width="21.33203125" style="314" customWidth="1"/>
    <col min="41" max="42" width="14.5546875" style="314" customWidth="1"/>
    <col min="43" max="43" width="11.44140625" style="314" customWidth="1"/>
    <col min="44" max="44" width="17" style="314" customWidth="1"/>
    <col min="45" max="48" width="9.5546875" style="314" customWidth="1"/>
    <col min="49" max="49" width="19.44140625" style="314" customWidth="1"/>
    <col min="50" max="50" width="15.44140625" style="314" customWidth="1"/>
    <col min="51" max="51" width="13.33203125" style="314" customWidth="1"/>
    <col min="52" max="52" width="13" style="314" customWidth="1"/>
    <col min="53" max="53" width="7.33203125" style="314" customWidth="1"/>
    <col min="54" max="54" width="10.44140625" style="314" customWidth="1"/>
    <col min="55" max="55" width="12.5546875" style="314" customWidth="1"/>
    <col min="56" max="56" width="8.44140625" style="314" customWidth="1"/>
    <col min="57" max="60" width="8.33203125" style="314" customWidth="1"/>
    <col min="61" max="61" width="8" style="314" customWidth="1"/>
    <col min="62" max="65" width="7.88671875" style="314" customWidth="1"/>
    <col min="66" max="66" width="10.33203125" style="314" customWidth="1"/>
    <col min="67" max="70" width="10.6640625" style="314" customWidth="1"/>
    <col min="71" max="71" width="10.44140625" style="314" customWidth="1"/>
    <col min="72" max="72" width="9.5546875" style="314" customWidth="1"/>
    <col min="73" max="16384" width="9.109375" style="314"/>
  </cols>
  <sheetData>
    <row r="1" spans="1:75" s="324" customFormat="1" ht="17.399999999999999" x14ac:dyDescent="0.3">
      <c r="A1" s="1227" t="s">
        <v>557</v>
      </c>
      <c r="B1" s="1228"/>
      <c r="C1" s="1229"/>
      <c r="D1" s="1371"/>
      <c r="E1" s="1371"/>
      <c r="F1" s="1371"/>
      <c r="G1" s="543"/>
      <c r="H1" s="543"/>
      <c r="I1" s="543"/>
      <c r="J1" s="543"/>
      <c r="K1" s="543"/>
      <c r="L1" s="543"/>
      <c r="M1" s="543"/>
      <c r="N1" s="543"/>
      <c r="O1" s="543"/>
      <c r="P1" s="543"/>
      <c r="Q1" s="543"/>
      <c r="R1" s="543"/>
      <c r="S1" s="543"/>
      <c r="T1" s="543"/>
      <c r="U1" s="543"/>
      <c r="V1" s="543"/>
      <c r="W1" s="543"/>
      <c r="X1" s="543"/>
      <c r="Y1" s="543"/>
      <c r="Z1" s="543"/>
      <c r="AA1" s="543"/>
      <c r="AB1" s="543"/>
      <c r="AC1" s="543"/>
      <c r="AD1" s="543"/>
      <c r="AE1" s="543"/>
      <c r="AF1" s="543"/>
      <c r="AG1" s="543"/>
      <c r="AH1" s="543"/>
      <c r="AI1" s="543"/>
      <c r="AJ1" s="543"/>
      <c r="AK1" s="543"/>
      <c r="AL1" s="543"/>
      <c r="AM1" s="543"/>
      <c r="AN1" s="543"/>
      <c r="AO1" s="543"/>
      <c r="AP1" s="543"/>
      <c r="AQ1" s="543"/>
      <c r="AR1" s="543"/>
      <c r="AS1" s="543"/>
      <c r="AT1" s="543"/>
      <c r="AU1" s="543"/>
      <c r="AV1" s="543"/>
      <c r="AW1" s="543"/>
      <c r="AX1" s="543"/>
      <c r="AY1" s="543"/>
      <c r="AZ1" s="543"/>
      <c r="BA1" s="543"/>
      <c r="BB1" s="543"/>
      <c r="BC1" s="543"/>
      <c r="BD1" s="543"/>
      <c r="BE1" s="543"/>
      <c r="BF1" s="543"/>
      <c r="BG1" s="543"/>
      <c r="BH1" s="543"/>
      <c r="BI1" s="543"/>
      <c r="BJ1" s="543"/>
      <c r="BK1" s="543"/>
      <c r="BL1" s="543"/>
      <c r="BM1" s="543"/>
      <c r="BN1" s="543"/>
      <c r="BO1" s="543"/>
      <c r="BP1" s="543"/>
      <c r="BQ1" s="543"/>
      <c r="BR1" s="543"/>
      <c r="BS1" s="543"/>
      <c r="BT1" s="1444"/>
      <c r="BU1" s="1444"/>
      <c r="BV1" s="1444"/>
      <c r="BW1" s="543"/>
    </row>
    <row r="2" spans="1:75" s="324" customFormat="1" ht="14.4" x14ac:dyDescent="0.3">
      <c r="A2" s="73"/>
      <c r="B2" s="61"/>
      <c r="C2" s="748"/>
      <c r="D2" s="739" t="s">
        <v>617</v>
      </c>
      <c r="E2" s="615"/>
      <c r="F2" s="615"/>
      <c r="G2" s="40"/>
      <c r="H2" s="544"/>
      <c r="I2" s="40"/>
      <c r="J2" s="40"/>
      <c r="K2" s="40"/>
      <c r="L2" s="40"/>
      <c r="M2" s="63"/>
      <c r="N2" s="63"/>
      <c r="O2" s="63"/>
      <c r="P2" s="63"/>
      <c r="Q2" s="63"/>
      <c r="R2" s="63"/>
      <c r="S2" s="63"/>
      <c r="T2" s="63"/>
      <c r="U2" s="63"/>
      <c r="V2" s="63"/>
      <c r="W2" s="63"/>
      <c r="X2" s="63"/>
      <c r="Y2" s="63"/>
      <c r="Z2" s="63"/>
      <c r="AA2" s="63"/>
      <c r="AB2" s="63"/>
      <c r="AC2" s="63"/>
      <c r="AD2" s="1440"/>
      <c r="AE2" s="63"/>
      <c r="AF2" s="63"/>
      <c r="AG2" s="1316"/>
      <c r="AS2" s="63"/>
      <c r="AT2" s="63"/>
      <c r="AU2" s="63"/>
      <c r="AV2" s="460"/>
      <c r="AW2" s="1280" t="s">
        <v>538</v>
      </c>
      <c r="AX2" s="1280" t="s">
        <v>538</v>
      </c>
      <c r="AY2" s="1280" t="s">
        <v>538</v>
      </c>
      <c r="AZ2" s="1280" t="s">
        <v>538</v>
      </c>
      <c r="BA2" s="1280" t="s">
        <v>538</v>
      </c>
      <c r="BB2" s="1280" t="s">
        <v>538</v>
      </c>
      <c r="BC2" s="1280" t="s">
        <v>538</v>
      </c>
      <c r="BD2" s="1280" t="s">
        <v>538</v>
      </c>
      <c r="BE2" s="1280" t="s">
        <v>538</v>
      </c>
      <c r="BF2" s="1280" t="s">
        <v>538</v>
      </c>
      <c r="BG2" s="1280" t="s">
        <v>538</v>
      </c>
      <c r="BH2" s="1280" t="s">
        <v>538</v>
      </c>
      <c r="BI2" s="1280" t="s">
        <v>538</v>
      </c>
      <c r="BJ2" s="1280" t="s">
        <v>538</v>
      </c>
      <c r="BK2" s="1280" t="s">
        <v>538</v>
      </c>
      <c r="BL2" s="1280" t="s">
        <v>538</v>
      </c>
      <c r="BM2" s="1280" t="s">
        <v>538</v>
      </c>
      <c r="BN2" s="1280" t="s">
        <v>538</v>
      </c>
      <c r="BO2" s="1280" t="s">
        <v>538</v>
      </c>
      <c r="BP2" s="1280" t="s">
        <v>538</v>
      </c>
      <c r="BQ2" s="1280" t="s">
        <v>538</v>
      </c>
      <c r="BR2" s="1280" t="s">
        <v>538</v>
      </c>
      <c r="BS2" s="1280" t="s">
        <v>538</v>
      </c>
      <c r="BT2" s="1280" t="s">
        <v>538</v>
      </c>
      <c r="BU2" s="1280" t="s">
        <v>538</v>
      </c>
      <c r="BV2" s="1280" t="s">
        <v>538</v>
      </c>
      <c r="BW2" s="1280" t="s">
        <v>538</v>
      </c>
    </row>
    <row r="3" spans="1:75" s="324" customFormat="1" ht="21.6" x14ac:dyDescent="0.4">
      <c r="A3" s="560"/>
      <c r="B3" s="61"/>
      <c r="C3" s="748"/>
      <c r="D3" s="615"/>
      <c r="E3" s="615"/>
      <c r="F3" s="615"/>
      <c r="G3" s="40"/>
      <c r="H3" s="544"/>
      <c r="I3" s="40"/>
      <c r="J3" s="40"/>
      <c r="K3" s="40"/>
      <c r="L3" s="40"/>
      <c r="M3" s="63"/>
      <c r="N3" s="443"/>
      <c r="O3" s="443"/>
      <c r="P3" s="443"/>
      <c r="Q3" s="443"/>
      <c r="R3" s="443"/>
      <c r="S3" s="443"/>
      <c r="T3" s="63"/>
      <c r="U3" s="63"/>
      <c r="V3" s="63"/>
      <c r="W3" s="63"/>
      <c r="X3" s="63"/>
      <c r="Y3" s="63"/>
      <c r="Z3" s="63"/>
      <c r="AA3" s="63"/>
      <c r="AB3" s="63"/>
      <c r="AC3" s="63"/>
      <c r="AD3" s="63"/>
      <c r="AE3" s="63"/>
      <c r="AF3" s="63"/>
      <c r="AG3" s="460"/>
      <c r="AK3" s="1619" t="s">
        <v>3017</v>
      </c>
      <c r="AL3" s="1619"/>
      <c r="AM3" s="1619"/>
      <c r="AN3" s="1619"/>
      <c r="AO3" s="1619"/>
      <c r="AP3" s="1619"/>
      <c r="AQ3" s="1619"/>
      <c r="AR3" s="1620"/>
      <c r="AS3" s="63"/>
      <c r="AT3" s="63"/>
      <c r="AU3" s="63"/>
      <c r="AV3" s="460"/>
      <c r="AW3" s="1612" t="s">
        <v>3018</v>
      </c>
      <c r="AX3" s="1612" t="s">
        <v>3019</v>
      </c>
      <c r="AY3" s="40"/>
      <c r="AZ3" s="40"/>
      <c r="BA3" s="40"/>
      <c r="BB3" s="40"/>
      <c r="BC3" s="63"/>
      <c r="BD3" s="443"/>
      <c r="BE3" s="443"/>
      <c r="BF3" s="443"/>
      <c r="BG3" s="443"/>
      <c r="BH3" s="443"/>
      <c r="BI3" s="443"/>
      <c r="BJ3" s="63"/>
      <c r="BK3" s="63"/>
      <c r="BL3" s="63"/>
      <c r="BM3" s="63"/>
      <c r="BN3" s="63"/>
      <c r="BO3" s="63"/>
      <c r="BP3" s="63"/>
      <c r="BQ3" s="63"/>
      <c r="BR3" s="63"/>
      <c r="BS3" s="63"/>
      <c r="BT3" s="63"/>
      <c r="BU3" s="246"/>
      <c r="BV3" s="246"/>
      <c r="BW3" s="1445"/>
    </row>
    <row r="4" spans="1:75" s="324" customFormat="1" ht="14.4" x14ac:dyDescent="0.3">
      <c r="A4" s="73"/>
      <c r="B4" s="67"/>
      <c r="C4" s="748"/>
      <c r="D4" s="73"/>
      <c r="E4" s="73"/>
      <c r="F4" s="750"/>
      <c r="G4" s="63"/>
      <c r="H4" s="545"/>
      <c r="I4" s="545"/>
      <c r="J4" s="545"/>
      <c r="K4" s="545"/>
      <c r="L4" s="545"/>
      <c r="M4" s="546"/>
      <c r="N4" s="545"/>
      <c r="O4" s="545"/>
      <c r="P4" s="1372"/>
      <c r="Q4" s="1372"/>
      <c r="R4" s="1372"/>
      <c r="S4" s="545"/>
      <c r="T4" s="545"/>
      <c r="U4" s="1372"/>
      <c r="V4" s="1372"/>
      <c r="W4" s="1372"/>
      <c r="X4" s="545"/>
      <c r="Y4" s="545"/>
      <c r="Z4" s="1372"/>
      <c r="AA4" s="1372"/>
      <c r="AB4" s="1372"/>
      <c r="AC4" s="545"/>
      <c r="AD4" s="545"/>
      <c r="AE4" s="1372"/>
      <c r="AF4" s="1372"/>
      <c r="AG4" s="1425"/>
      <c r="AH4" s="1372"/>
      <c r="AI4" s="1372"/>
      <c r="AJ4" s="1372"/>
      <c r="AK4" s="1372"/>
      <c r="AL4" s="1372"/>
      <c r="AM4" s="1372"/>
      <c r="AN4" s="1372"/>
      <c r="AO4" s="1372"/>
      <c r="AP4" s="1372"/>
      <c r="AQ4" s="1372"/>
      <c r="AR4" s="1372"/>
      <c r="AS4" s="1372"/>
      <c r="AT4" s="1372"/>
      <c r="AU4" s="1372"/>
      <c r="AV4" s="1425"/>
      <c r="AW4" s="1612"/>
      <c r="AX4" s="1612"/>
      <c r="AY4" s="545"/>
      <c r="AZ4" s="545"/>
      <c r="BA4" s="545"/>
      <c r="BB4" s="545"/>
      <c r="BC4" s="546"/>
      <c r="BD4" s="545"/>
      <c r="BE4" s="545"/>
      <c r="BF4" s="545"/>
      <c r="BG4" s="545"/>
      <c r="BH4" s="545"/>
      <c r="BI4" s="545"/>
      <c r="BJ4" s="545"/>
      <c r="BK4" s="545"/>
      <c r="BL4" s="545"/>
      <c r="BM4" s="545"/>
      <c r="BN4" s="545"/>
      <c r="BO4" s="545"/>
      <c r="BP4" s="545"/>
      <c r="BQ4" s="545"/>
      <c r="BR4" s="545"/>
      <c r="BS4" s="545"/>
      <c r="BT4" s="545"/>
      <c r="BU4" s="246"/>
      <c r="BV4" s="246"/>
      <c r="BW4" s="1445"/>
    </row>
    <row r="5" spans="1:75" s="324" customFormat="1" ht="18" x14ac:dyDescent="0.35">
      <c r="A5" s="1613" t="s">
        <v>343</v>
      </c>
      <c r="B5" s="1614"/>
      <c r="C5" s="1615"/>
      <c r="D5" s="1373" t="s">
        <v>85</v>
      </c>
      <c r="E5" s="1374"/>
      <c r="F5" s="1374"/>
      <c r="G5" s="1443"/>
      <c r="H5" s="1443"/>
      <c r="I5" s="1443"/>
      <c r="J5" s="1443"/>
      <c r="K5" s="1443"/>
      <c r="L5" s="1443"/>
      <c r="M5" s="1443"/>
      <c r="N5" s="1443"/>
      <c r="O5" s="1443"/>
      <c r="P5" s="1443"/>
      <c r="Q5" s="1443"/>
      <c r="R5" s="1443"/>
      <c r="S5" s="1443"/>
      <c r="T5" s="1443"/>
      <c r="U5" s="1443"/>
      <c r="V5" s="1443"/>
      <c r="W5" s="1443"/>
      <c r="X5" s="1443"/>
      <c r="Y5" s="1443"/>
      <c r="Z5" s="1443"/>
      <c r="AA5" s="1443"/>
      <c r="AB5" s="1443"/>
      <c r="AC5" s="1443"/>
      <c r="AD5" s="1443"/>
      <c r="AE5" s="547"/>
      <c r="AF5" s="547"/>
      <c r="AG5" s="1441"/>
      <c r="AR5" s="1428"/>
      <c r="AS5" s="1616" t="s">
        <v>3020</v>
      </c>
      <c r="AT5" s="1616"/>
      <c r="AU5" s="1616"/>
      <c r="AV5" s="1617"/>
      <c r="AW5" s="1612"/>
      <c r="AX5" s="1612"/>
      <c r="AY5" s="547"/>
      <c r="AZ5" s="547"/>
      <c r="BA5" s="547"/>
      <c r="BB5" s="547"/>
      <c r="BC5" s="547"/>
      <c r="BD5" s="547"/>
      <c r="BE5" s="547"/>
      <c r="BF5" s="547"/>
      <c r="BG5" s="547"/>
      <c r="BH5" s="547"/>
      <c r="BI5" s="547"/>
      <c r="BJ5" s="547"/>
      <c r="BK5" s="547"/>
      <c r="BL5" s="547"/>
      <c r="BM5" s="547"/>
      <c r="BN5" s="547"/>
      <c r="BO5" s="547"/>
      <c r="BP5" s="547"/>
      <c r="BQ5" s="547"/>
      <c r="BR5" s="547"/>
      <c r="BS5" s="547"/>
      <c r="BT5" s="547"/>
      <c r="BU5" s="246"/>
      <c r="BV5" s="246"/>
      <c r="BW5" s="1445"/>
    </row>
    <row r="6" spans="1:75" s="330" customFormat="1" ht="40.799999999999997" x14ac:dyDescent="0.35">
      <c r="A6" s="667"/>
      <c r="B6" s="256" t="s">
        <v>116</v>
      </c>
      <c r="C6" s="25"/>
      <c r="D6" s="25"/>
      <c r="E6" s="25"/>
      <c r="F6" s="25"/>
      <c r="G6" s="1449" t="s">
        <v>137</v>
      </c>
      <c r="H6" s="1449"/>
      <c r="I6" s="1449"/>
      <c r="J6" s="1375" t="s">
        <v>124</v>
      </c>
      <c r="K6" s="1449" t="s">
        <v>40</v>
      </c>
      <c r="L6" s="1450"/>
      <c r="M6" s="1450"/>
      <c r="N6" s="1434" t="s">
        <v>119</v>
      </c>
      <c r="O6" s="1397" t="s">
        <v>91</v>
      </c>
      <c r="P6" s="1376" t="s">
        <v>185</v>
      </c>
      <c r="Q6" s="1376" t="s">
        <v>3021</v>
      </c>
      <c r="R6" s="1435" t="s">
        <v>3022</v>
      </c>
      <c r="S6" s="1434" t="s">
        <v>119</v>
      </c>
      <c r="T6" s="1397" t="s">
        <v>91</v>
      </c>
      <c r="U6" s="1376" t="s">
        <v>185</v>
      </c>
      <c r="V6" s="1376" t="s">
        <v>3021</v>
      </c>
      <c r="W6" s="1435" t="s">
        <v>3022</v>
      </c>
      <c r="X6" s="1135" t="s">
        <v>1014</v>
      </c>
      <c r="Y6" s="1135" t="s">
        <v>1016</v>
      </c>
      <c r="Z6" s="1376" t="s">
        <v>3023</v>
      </c>
      <c r="AA6" s="1376" t="s">
        <v>3021</v>
      </c>
      <c r="AB6" s="1435" t="s">
        <v>3022</v>
      </c>
      <c r="AC6" s="1135" t="s">
        <v>1014</v>
      </c>
      <c r="AD6" s="1397" t="s">
        <v>1016</v>
      </c>
      <c r="AE6" s="1376" t="s">
        <v>3023</v>
      </c>
      <c r="AF6" s="1376" t="s">
        <v>3021</v>
      </c>
      <c r="AG6" s="1435" t="s">
        <v>3022</v>
      </c>
      <c r="AH6" s="1618" t="s">
        <v>3024</v>
      </c>
      <c r="AI6" s="1377" t="s">
        <v>3437</v>
      </c>
      <c r="AJ6" s="1378"/>
      <c r="AK6" s="1448" t="s">
        <v>388</v>
      </c>
      <c r="AL6" s="1448" t="s">
        <v>3026</v>
      </c>
      <c r="AM6" s="1448" t="s">
        <v>3027</v>
      </c>
      <c r="AN6" s="1448" t="s">
        <v>3027</v>
      </c>
      <c r="AO6" s="1382" t="s">
        <v>1014</v>
      </c>
      <c r="AP6" s="1382" t="s">
        <v>1016</v>
      </c>
      <c r="AQ6" s="1382" t="s">
        <v>3023</v>
      </c>
      <c r="AR6" s="1429" t="s">
        <v>3022</v>
      </c>
      <c r="AS6" s="1418" t="s">
        <v>396</v>
      </c>
      <c r="AT6" s="1418"/>
      <c r="AU6" s="1419"/>
      <c r="AV6" s="1420"/>
      <c r="AW6" s="548"/>
      <c r="AX6" s="548"/>
      <c r="AY6" s="548"/>
      <c r="AZ6" s="549"/>
      <c r="BA6" s="1489"/>
      <c r="BB6" s="1490"/>
      <c r="BC6" s="1132"/>
      <c r="BD6" s="1434" t="s">
        <v>119</v>
      </c>
      <c r="BE6" s="1397" t="s">
        <v>91</v>
      </c>
      <c r="BF6" s="1376" t="s">
        <v>185</v>
      </c>
      <c r="BG6" s="1376" t="s">
        <v>3021</v>
      </c>
      <c r="BH6" s="1435" t="s">
        <v>3022</v>
      </c>
      <c r="BI6" s="1434" t="s">
        <v>119</v>
      </c>
      <c r="BJ6" s="1397" t="s">
        <v>91</v>
      </c>
      <c r="BK6" s="1376" t="s">
        <v>185</v>
      </c>
      <c r="BL6" s="1376" t="s">
        <v>3021</v>
      </c>
      <c r="BM6" s="1435" t="s">
        <v>3022</v>
      </c>
      <c r="BN6" s="1397" t="s">
        <v>1014</v>
      </c>
      <c r="BO6" s="1397" t="s">
        <v>1016</v>
      </c>
      <c r="BP6" s="1376" t="s">
        <v>3023</v>
      </c>
      <c r="BQ6" s="1376" t="s">
        <v>3021</v>
      </c>
      <c r="BR6" s="1435" t="s">
        <v>3022</v>
      </c>
      <c r="BS6" s="1397" t="s">
        <v>1014</v>
      </c>
      <c r="BT6" s="1397" t="s">
        <v>1016</v>
      </c>
      <c r="BU6" s="1376" t="s">
        <v>3023</v>
      </c>
      <c r="BV6" s="1376" t="s">
        <v>3021</v>
      </c>
      <c r="BW6" s="1435" t="s">
        <v>3022</v>
      </c>
    </row>
    <row r="7" spans="1:75" s="324" customFormat="1" ht="28.8" customHeight="1" x14ac:dyDescent="0.3">
      <c r="A7" s="26"/>
      <c r="B7" s="67"/>
      <c r="C7" s="26"/>
      <c r="D7" s="1163" t="str">
        <f>HYPERLINK("#DropDownLists!AB6","Add to this list")</f>
        <v>Add to this list</v>
      </c>
      <c r="E7" s="1163" t="str">
        <f>HYPERLINK("#DropDownLists!O6","Add to this list")</f>
        <v>Add to this list</v>
      </c>
      <c r="F7" s="11"/>
      <c r="G7" s="63"/>
      <c r="H7" s="1379"/>
      <c r="I7" s="11"/>
      <c r="J7" s="11"/>
      <c r="K7" s="11"/>
      <c r="L7" s="11"/>
      <c r="M7" s="1144"/>
      <c r="N7" s="1436" t="s">
        <v>80</v>
      </c>
      <c r="O7" s="1432"/>
      <c r="P7" s="1433"/>
      <c r="Q7" s="1433"/>
      <c r="R7" s="1437"/>
      <c r="S7" s="1436" t="s">
        <v>81</v>
      </c>
      <c r="T7" s="1432"/>
      <c r="U7" s="1432"/>
      <c r="V7" s="1432"/>
      <c r="W7" s="1438"/>
      <c r="X7" s="1432" t="s">
        <v>131</v>
      </c>
      <c r="Y7" s="1432"/>
      <c r="Z7" s="1432"/>
      <c r="AA7" s="1432"/>
      <c r="AB7" s="1438"/>
      <c r="AC7" s="1432" t="s">
        <v>130</v>
      </c>
      <c r="AD7" s="1432"/>
      <c r="AE7" s="1439"/>
      <c r="AF7" s="1439"/>
      <c r="AG7" s="1442"/>
      <c r="AH7" s="1618"/>
      <c r="AI7" s="1398"/>
      <c r="AJ7" s="1380"/>
      <c r="AK7" s="1381"/>
      <c r="AL7" s="1381"/>
      <c r="AM7" s="1381"/>
      <c r="AN7" s="1381"/>
      <c r="AO7" s="1421"/>
      <c r="AP7" s="1421"/>
      <c r="AQ7" s="1421"/>
      <c r="AR7" s="1430"/>
      <c r="AS7" s="1422"/>
      <c r="AT7" s="1422"/>
      <c r="AU7" s="1423"/>
      <c r="AV7" s="1424"/>
      <c r="AW7" s="63"/>
      <c r="AX7" s="1379"/>
      <c r="AY7" s="11"/>
      <c r="AZ7" s="11"/>
      <c r="BA7" s="11"/>
      <c r="BB7" s="11"/>
      <c r="BC7" s="1144"/>
      <c r="BD7" s="1432" t="s">
        <v>80</v>
      </c>
      <c r="BE7" s="1432"/>
      <c r="BF7" s="1432"/>
      <c r="BG7" s="1432"/>
      <c r="BH7" s="1432"/>
      <c r="BI7" s="1432" t="s">
        <v>81</v>
      </c>
      <c r="BJ7" s="1432"/>
      <c r="BK7" s="1432"/>
      <c r="BL7" s="1432"/>
      <c r="BM7" s="1432"/>
      <c r="BN7" s="1432" t="s">
        <v>131</v>
      </c>
      <c r="BO7" s="1432"/>
      <c r="BP7" s="1432"/>
      <c r="BQ7" s="1432"/>
      <c r="BR7" s="1432"/>
      <c r="BS7" s="1432" t="s">
        <v>130</v>
      </c>
      <c r="BT7" s="1432"/>
      <c r="BU7" s="1446"/>
      <c r="BV7" s="1446"/>
      <c r="BW7" s="1447"/>
    </row>
    <row r="8" spans="1:75" s="324" customFormat="1" ht="54" thickBot="1" x14ac:dyDescent="0.35">
      <c r="A8" s="1037" t="s">
        <v>3474</v>
      </c>
      <c r="B8" s="812" t="s">
        <v>35</v>
      </c>
      <c r="C8" s="625" t="s">
        <v>152</v>
      </c>
      <c r="D8" s="647" t="s">
        <v>1848</v>
      </c>
      <c r="E8" s="556" t="s">
        <v>1659</v>
      </c>
      <c r="F8" s="625" t="s">
        <v>1849</v>
      </c>
      <c r="G8" s="114" t="s">
        <v>3785</v>
      </c>
      <c r="H8" s="114" t="s">
        <v>3786</v>
      </c>
      <c r="I8" s="114" t="s">
        <v>3787</v>
      </c>
      <c r="J8" s="331" t="s">
        <v>3788</v>
      </c>
      <c r="K8" s="114" t="s">
        <v>3789</v>
      </c>
      <c r="L8" s="114" t="s">
        <v>3790</v>
      </c>
      <c r="M8" s="114" t="s">
        <v>3791</v>
      </c>
      <c r="N8" s="114" t="s">
        <v>3792</v>
      </c>
      <c r="O8" s="114" t="s">
        <v>3793</v>
      </c>
      <c r="P8" s="1244" t="s">
        <v>3794</v>
      </c>
      <c r="Q8" s="1244" t="s">
        <v>3795</v>
      </c>
      <c r="R8" s="1308" t="s">
        <v>3796</v>
      </c>
      <c r="S8" s="114" t="s">
        <v>3797</v>
      </c>
      <c r="T8" s="114" t="s">
        <v>3798</v>
      </c>
      <c r="U8" s="1244" t="s">
        <v>3799</v>
      </c>
      <c r="V8" s="1244" t="s">
        <v>3800</v>
      </c>
      <c r="W8" s="1308" t="s">
        <v>3801</v>
      </c>
      <c r="X8" s="114" t="s">
        <v>3802</v>
      </c>
      <c r="Y8" s="114" t="s">
        <v>3803</v>
      </c>
      <c r="Z8" s="1244" t="s">
        <v>3804</v>
      </c>
      <c r="AA8" s="1244" t="s">
        <v>3805</v>
      </c>
      <c r="AB8" s="1308" t="s">
        <v>3806</v>
      </c>
      <c r="AC8" s="114" t="s">
        <v>3807</v>
      </c>
      <c r="AD8" s="114" t="s">
        <v>3808</v>
      </c>
      <c r="AE8" s="1244" t="s">
        <v>3809</v>
      </c>
      <c r="AF8" s="1244" t="s">
        <v>3810</v>
      </c>
      <c r="AG8" s="1308" t="s">
        <v>3811</v>
      </c>
      <c r="AH8" s="1384"/>
      <c r="AI8" s="1399" t="s">
        <v>3438</v>
      </c>
      <c r="AJ8" s="1427" t="s">
        <v>3025</v>
      </c>
      <c r="AK8" s="1385" t="s">
        <v>3028</v>
      </c>
      <c r="AL8" s="1385" t="s">
        <v>3029</v>
      </c>
      <c r="AM8" s="1385" t="s">
        <v>3030</v>
      </c>
      <c r="AN8" s="1385" t="s">
        <v>3031</v>
      </c>
      <c r="AO8" s="1386" t="s">
        <v>3013</v>
      </c>
      <c r="AP8" s="1386" t="s">
        <v>3013</v>
      </c>
      <c r="AQ8" s="1386" t="s">
        <v>3013</v>
      </c>
      <c r="AR8" s="1431" t="s">
        <v>3013</v>
      </c>
      <c r="AS8" s="1387" t="s">
        <v>3032</v>
      </c>
      <c r="AT8" s="1387" t="s">
        <v>3033</v>
      </c>
      <c r="AU8" s="1387" t="s">
        <v>3034</v>
      </c>
      <c r="AV8" s="1426" t="s">
        <v>3035</v>
      </c>
      <c r="AW8" s="114" t="s">
        <v>3640</v>
      </c>
      <c r="AX8" s="1383" t="s">
        <v>3686</v>
      </c>
      <c r="AY8" s="114" t="s">
        <v>3687</v>
      </c>
      <c r="AZ8" s="331" t="s">
        <v>3688</v>
      </c>
      <c r="BA8" s="114" t="s">
        <v>3689</v>
      </c>
      <c r="BB8" s="114" t="s">
        <v>3690</v>
      </c>
      <c r="BC8" s="114" t="s">
        <v>3691</v>
      </c>
      <c r="BD8" s="114" t="s">
        <v>3812</v>
      </c>
      <c r="BE8" s="114" t="s">
        <v>3813</v>
      </c>
      <c r="BF8" s="1244" t="s">
        <v>3814</v>
      </c>
      <c r="BG8" s="1244" t="s">
        <v>3815</v>
      </c>
      <c r="BH8" s="1308" t="s">
        <v>3816</v>
      </c>
      <c r="BI8" s="114" t="s">
        <v>3817</v>
      </c>
      <c r="BJ8" s="114" t="s">
        <v>3818</v>
      </c>
      <c r="BK8" s="1244" t="s">
        <v>3819</v>
      </c>
      <c r="BL8" s="1244" t="s">
        <v>3820</v>
      </c>
      <c r="BM8" s="1308" t="s">
        <v>3821</v>
      </c>
      <c r="BN8" s="114" t="s">
        <v>3822</v>
      </c>
      <c r="BO8" s="114" t="s">
        <v>3823</v>
      </c>
      <c r="BP8" s="1244" t="s">
        <v>3824</v>
      </c>
      <c r="BQ8" s="1244" t="s">
        <v>3825</v>
      </c>
      <c r="BR8" s="1308" t="s">
        <v>3826</v>
      </c>
      <c r="BS8" s="114" t="s">
        <v>3827</v>
      </c>
      <c r="BT8" s="114" t="s">
        <v>3828</v>
      </c>
      <c r="BU8" s="1244" t="s">
        <v>3829</v>
      </c>
      <c r="BV8" s="1244" t="s">
        <v>3830</v>
      </c>
      <c r="BW8" s="1308" t="s">
        <v>3831</v>
      </c>
    </row>
  </sheetData>
  <mergeCells count="7">
    <mergeCell ref="BA6:BB6"/>
    <mergeCell ref="AW3:AW5"/>
    <mergeCell ref="AX3:AX5"/>
    <mergeCell ref="A5:C5"/>
    <mergeCell ref="AS5:AV5"/>
    <mergeCell ref="AH6:AH7"/>
    <mergeCell ref="AK3:AR3"/>
  </mergeCells>
  <conditionalFormatting sqref="AK8:BC8 A8:F8 AH8:AI8 P8:R8 U8:W8 Z8:AD8">
    <cfRule type="expression" dxfId="12" priority="14">
      <formula>IF(INDEX(VAD_nMeasGrazingPlants,COLUMN(A8),5)&gt;0,TRUE(),FALSE())</formula>
    </cfRule>
  </conditionalFormatting>
  <conditionalFormatting sqref="AE8:AG8">
    <cfRule type="expression" dxfId="11" priority="13">
      <formula>IF(INDEX(VAD_nMeasGrazingPlants,COLUMN(AE8),5)&gt;0,TRUE(),FALSE())</formula>
    </cfRule>
  </conditionalFormatting>
  <conditionalFormatting sqref="G8:M8">
    <cfRule type="expression" dxfId="10" priority="9">
      <formula>IF(INDEX(Vad_MeasGrazingPlants,COLUMN(G8),5)&gt;0,TRUE(),FALSE())</formula>
    </cfRule>
  </conditionalFormatting>
  <conditionalFormatting sqref="N8:O8">
    <cfRule type="expression" dxfId="9" priority="8">
      <formula>IF(INDEX(Vad_MeasGrazingPlants,COLUMN(N8),5)&gt;0,TRUE(),FALSE())</formula>
    </cfRule>
  </conditionalFormatting>
  <conditionalFormatting sqref="S8:T8">
    <cfRule type="expression" dxfId="8" priority="7">
      <formula>IF(INDEX(Vad_MeasGrazingPlants,COLUMN(S8),5)&gt;0,TRUE(),FALSE())</formula>
    </cfRule>
  </conditionalFormatting>
  <conditionalFormatting sqref="X8:Y8">
    <cfRule type="expression" dxfId="7" priority="6">
      <formula>IF(INDEX(Vad_MeasGrazingPlants,COLUMN(X8),5)&gt;0,TRUE(),FALSE())</formula>
    </cfRule>
  </conditionalFormatting>
  <conditionalFormatting sqref="BF8:BH8 BK8:BM8 BP8:BT8">
    <cfRule type="expression" dxfId="6" priority="5">
      <formula>IF(INDEX(VAD_nMeasGrazingPlants,COLUMN(BF8),5)&gt;0,TRUE(),FALSE())</formula>
    </cfRule>
  </conditionalFormatting>
  <conditionalFormatting sqref="BU8:BW8">
    <cfRule type="expression" dxfId="5" priority="4">
      <formula>IF(INDEX(VAD_nMeasGrazingPlants,COLUMN(BU8),5)&gt;0,TRUE(),FALSE())</formula>
    </cfRule>
  </conditionalFormatting>
  <conditionalFormatting sqref="BD8:BE8">
    <cfRule type="expression" dxfId="4" priority="3">
      <formula>IF(INDEX(Vad_MeasGrazingPlants,COLUMN(BD8),5)&gt;0,TRUE(),FALSE())</formula>
    </cfRule>
  </conditionalFormatting>
  <conditionalFormatting sqref="BI8:BJ8">
    <cfRule type="expression" dxfId="3" priority="2">
      <formula>IF(INDEX(Vad_MeasGrazingPlants,COLUMN(BI8),5)&gt;0,TRUE(),FALSE())</formula>
    </cfRule>
  </conditionalFormatting>
  <conditionalFormatting sqref="BN8:BO8">
    <cfRule type="expression" dxfId="2" priority="1">
      <formula>IF(INDEX(Vad_MeasGrazingPlants,COLUMN(BN8),5)&gt;0,TRUE(),FALSE())</formula>
    </cfRule>
  </conditionalFormatting>
  <dataValidations count="37">
    <dataValidation allowBlank="1" showInputMessage="1" showErrorMessage="1" prompt="Enter the potassium content of above ground net primary production (i.e. new growth), in units specified above." sqref="AA8"/>
    <dataValidation allowBlank="1" showInputMessage="1" showErrorMessage="1" prompt="Enter the phosphorus content of above ground net primary production (i.e. new growth), in units specified above." sqref="Z8"/>
    <dataValidation allowBlank="1" showInputMessage="1" showErrorMessage="1" prompt="Enter potassium content of below ground biomass, in units specified above." sqref="V8"/>
    <dataValidation allowBlank="1" showInputMessage="1" showErrorMessage="1" prompt="Enter phosphorus content of below ground biomass, in units specified above." sqref="U8"/>
    <dataValidation allowBlank="1" showInputMessage="1" showErrorMessage="1" prompt="Enter potassium content of aboveground biomass, in units specified above._x000a_" sqref="Q8"/>
    <dataValidation allowBlank="1" showInputMessage="1" showErrorMessage="1" prompt="Enter phosphorus content of aboveground biomass, in units specified above._x000a_" sqref="P8"/>
    <dataValidation allowBlank="1" showInputMessage="1" showErrorMessage="1" prompt="Enter the sulfur content of above ground net primary production (i.e. new growth), in units specified above." sqref="AB8"/>
    <dataValidation allowBlank="1" showInputMessage="1" showErrorMessage="1" prompt="Enter sulfur content of below ground biomass, in units specified above." sqref="W8"/>
    <dataValidation allowBlank="1" showInputMessage="1" showErrorMessage="1" prompt="Enter sulfur content of aboveground biomass, in units specified above._x000a_" sqref="R8"/>
    <dataValidation allowBlank="1" showInputMessage="1" showErrorMessage="1" prompt="Enter the date that the harvest event occurred." sqref="B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F9:F1142">
      <formula1>Broadleaf_vs_Grass</formula1>
    </dataValidation>
    <dataValidation type="list" allowBlank="1" showInputMessage="1" showErrorMessage="1" sqref="E9:E1142">
      <formula1>Growth_Stage</formula1>
    </dataValidation>
    <dataValidation type="list" allowBlank="1" showInputMessage="1" showErrorMessage="1" sqref="D9:D1142">
      <formula1>Species_Mix</formula1>
    </dataValidation>
    <dataValidation type="list" allowBlank="1" showInputMessage="1" showErrorMessage="1" sqref="A1501:A65536 C1501:C65536">
      <formula1>#REF!</formula1>
    </dataValidation>
    <dataValidation allowBlank="1" showInputMessage="1" showErrorMessage="1" prompt="Select from the drop down list whether the grazing plants are broadleaf or grass." sqref="F8"/>
    <dataValidation allowBlank="1" showInputMessage="1" showErrorMessage="1" prompt="Select crop or species mixture from the drop down list.  If the species is not present in the list, add to the appropriate column located on the DropDownLists worksheet." sqref="D8"/>
    <dataValidation allowBlank="1" showInputMessage="1" showErrorMessage="1" prompt="Select the growth stage from the drop down list if it applies to the data collected." sqref="E8"/>
    <dataValidation allowBlank="1" showInputMessage="1" showErrorMessage="1" prompt="Enter carbon content of below ground primary production (i.e. new root material produced) in kgC/ha/yr. The entry can be a mean or a single measurement, depending on the exper_unit for this value." sqref="AC8"/>
    <dataValidation allowBlank="1" showInputMessage="1" showErrorMessage="1" prompt="Enter nitrogen content of below ground net primary production (i.e. new root material produced) in kgN/ha/yr. The entry can be a mean or a single measurement, depending on the exper_unit for this value." sqref="AD8"/>
    <dataValidation allowBlank="1" showInputMessage="1" showErrorMessage="1" prompt="Enter the Standard Deviation of this measurement if you entered a Mean on the left." sqref="AW8:BC8 BD8:BW8"/>
    <dataValidation allowBlank="1" showInputMessage="1" showErrorMessage="1" prompt="Enter the dryweight of the above ground biomass, in units specified above." sqref="G8"/>
    <dataValidation allowBlank="1" showInputMessage="1" showErrorMessage="1" prompt="Enter the dryweight of the surface litter, in units specified above." sqref="H8"/>
    <dataValidation allowBlank="1" showInputMessage="1" showErrorMessage="1" prompt="Enter the dryweight of the standing dead plant material, in units specified above." sqref="I8"/>
    <dataValidation allowBlank="1" showInputMessage="1" showErrorMessage="1" prompt="Enter the Leaf Area Index, in units specified above." sqref="J8"/>
    <dataValidation allowBlank="1" showInputMessage="1" showErrorMessage="1" prompt="The N mass divided by the biomass and multiplied by 100." sqref="K8"/>
    <dataValidation allowBlank="1" showInputMessage="1" showErrorMessage="1" prompt="The lignin mass divided by the biomass and multiplied by 100." sqref="L8"/>
    <dataValidation allowBlank="1" showInputMessage="1" showErrorMessage="1" prompt="The surface area of vegetation divided by the surface area of land. " sqref="M8"/>
    <dataValidation allowBlank="1" showInputMessage="1" showErrorMessage="1" prompt="Enter carbon content of aboveground biomass, in units specified above." sqref="N8"/>
    <dataValidation allowBlank="1" showInputMessage="1" showErrorMessage="1" prompt="Enter nitrogen content of aboveground biomass, in units specified above._x000a_" sqref="O8"/>
    <dataValidation allowBlank="1" showInputMessage="1" showErrorMessage="1" prompt="Enter carbon content of below ground biomass, in units specified above._x000a_" sqref="S8"/>
    <dataValidation allowBlank="1" showInputMessage="1" showErrorMessage="1" prompt="Enter nitrogen content of below ground biomass, in units specified above." sqref="T8"/>
    <dataValidation allowBlank="1" showInputMessage="1" showErrorMessage="1" prompt="Enter carbon content of above ground net primary production (i.e. new growth), in units specified above." sqref="X8"/>
    <dataValidation allowBlank="1" showInputMessage="1" showErrorMessage="1" prompt="Enter the nitrogen content of above ground net primary production (i.e. new growth), in units specified above." sqref="Y8"/>
  </dataValidations>
  <pageMargins left="0.7" right="0.7" top="0.75" bottom="0.75" header="0.3" footer="0.3"/>
  <legacy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C16" sqref="C16"/>
    </sheetView>
  </sheetViews>
  <sheetFormatPr defaultColWidth="9.109375" defaultRowHeight="13.2" x14ac:dyDescent="0.25"/>
  <cols>
    <col min="1" max="1" width="24.88671875" style="316" customWidth="1"/>
    <col min="2" max="2" width="20.88671875" style="313" customWidth="1"/>
    <col min="3" max="3" width="24.88671875" style="316" customWidth="1"/>
    <col min="4" max="4" width="27.88671875" style="316" customWidth="1"/>
    <col min="5" max="5" width="20.44140625" style="314" customWidth="1"/>
    <col min="6" max="6" width="19.88671875" style="316" customWidth="1"/>
    <col min="7" max="16384" width="9.109375" style="314"/>
  </cols>
  <sheetData>
    <row r="1" spans="1:6" s="339" customFormat="1" ht="17.399999999999999" x14ac:dyDescent="0.3">
      <c r="A1" s="731" t="s">
        <v>558</v>
      </c>
      <c r="B1" s="279"/>
      <c r="C1" s="733"/>
      <c r="D1" s="749"/>
      <c r="E1" s="542"/>
      <c r="F1" s="754"/>
    </row>
    <row r="2" spans="1:6" s="339" customFormat="1" ht="15.6" x14ac:dyDescent="0.3">
      <c r="A2" s="897" t="s">
        <v>617</v>
      </c>
      <c r="B2" s="892"/>
      <c r="C2" s="893"/>
      <c r="D2" s="894"/>
      <c r="E2" s="895"/>
      <c r="F2" s="896"/>
    </row>
    <row r="3" spans="1:6" s="339" customFormat="1" ht="14.4" x14ac:dyDescent="0.3">
      <c r="B3" s="280"/>
      <c r="C3" s="748"/>
      <c r="D3" s="752"/>
      <c r="E3" s="502"/>
      <c r="F3" s="755"/>
    </row>
    <row r="4" spans="1:6" s="339" customFormat="1" ht="45" customHeight="1" x14ac:dyDescent="0.3">
      <c r="A4" s="1623" t="s">
        <v>486</v>
      </c>
      <c r="B4" s="1623"/>
      <c r="C4" s="1623"/>
      <c r="D4" s="898"/>
      <c r="E4" s="500"/>
      <c r="F4" s="756"/>
    </row>
    <row r="5" spans="1:6" s="339" customFormat="1" ht="15.6" x14ac:dyDescent="0.3">
      <c r="A5" s="1530" t="s">
        <v>343</v>
      </c>
      <c r="B5" s="1531"/>
      <c r="C5" s="1532"/>
      <c r="D5" s="752"/>
      <c r="E5" s="502"/>
      <c r="F5" s="755"/>
    </row>
    <row r="6" spans="1:6" s="339" customFormat="1" ht="16.2" x14ac:dyDescent="0.35">
      <c r="A6" s="667"/>
      <c r="B6" s="249" t="s">
        <v>116</v>
      </c>
      <c r="C6" s="25"/>
      <c r="D6" s="1621"/>
      <c r="E6" s="1621"/>
      <c r="F6" s="757"/>
    </row>
    <row r="7" spans="1:6" s="339" customFormat="1" ht="14.4" x14ac:dyDescent="0.3">
      <c r="A7" s="1622"/>
      <c r="B7" s="1622"/>
      <c r="C7" s="751"/>
      <c r="D7" s="753"/>
      <c r="E7" s="550"/>
      <c r="F7" s="758"/>
    </row>
    <row r="8" spans="1:6" s="339" customFormat="1" ht="15" thickBot="1" x14ac:dyDescent="0.35">
      <c r="A8" s="18" t="s">
        <v>1637</v>
      </c>
      <c r="B8" s="20" t="s">
        <v>35</v>
      </c>
      <c r="C8" s="7" t="s">
        <v>1598</v>
      </c>
      <c r="D8" s="12" t="s">
        <v>1880</v>
      </c>
      <c r="E8" s="39" t="s">
        <v>1878</v>
      </c>
      <c r="F8" s="759" t="s">
        <v>1879</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12" activePane="bottomRight" state="frozen"/>
      <selection activeCell="B9" sqref="B9"/>
      <selection pane="topRight" activeCell="B9" sqref="B9"/>
      <selection pane="bottomLeft" activeCell="B9" sqref="B9"/>
      <selection pane="bottomRight" activeCell="C22" sqref="C22"/>
    </sheetView>
  </sheetViews>
  <sheetFormatPr defaultColWidth="9.109375" defaultRowHeight="13.2" x14ac:dyDescent="0.25"/>
  <cols>
    <col min="1" max="1" width="11.5546875" style="316" customWidth="1"/>
    <col min="2" max="2" width="16.44140625" style="313" customWidth="1"/>
    <col min="3" max="3" width="18.88671875" style="316" customWidth="1"/>
    <col min="4" max="4" width="18.5546875" style="316" customWidth="1"/>
    <col min="5" max="5" width="16.88671875" style="316" customWidth="1"/>
    <col min="6" max="6" width="75.44140625" style="316" customWidth="1"/>
    <col min="7" max="16384" width="9.109375" style="314"/>
  </cols>
  <sheetData>
    <row r="1" spans="1:7" s="339" customFormat="1" ht="17.399999999999999" x14ac:dyDescent="0.3">
      <c r="A1" s="760" t="s">
        <v>487</v>
      </c>
      <c r="B1" s="281"/>
      <c r="C1" s="763"/>
      <c r="D1" s="763"/>
      <c r="E1" s="763"/>
      <c r="F1" s="764"/>
      <c r="G1" s="365"/>
    </row>
    <row r="2" spans="1:7" s="339" customFormat="1" ht="14.4" x14ac:dyDescent="0.3">
      <c r="A2" s="761"/>
      <c r="B2" s="272"/>
      <c r="C2" s="599"/>
      <c r="D2" s="599"/>
      <c r="E2" s="599"/>
      <c r="F2" s="765"/>
      <c r="G2" s="365"/>
    </row>
    <row r="3" spans="1:7" s="339" customFormat="1" ht="14.4" x14ac:dyDescent="0.3">
      <c r="A3" s="761"/>
      <c r="B3" s="272"/>
      <c r="C3" s="599"/>
      <c r="D3" s="599"/>
      <c r="E3" s="599"/>
      <c r="F3" s="765"/>
      <c r="G3" s="365"/>
    </row>
    <row r="4" spans="1:7" s="339" customFormat="1" ht="14.4" x14ac:dyDescent="0.3">
      <c r="A4" s="761"/>
      <c r="B4" s="272"/>
      <c r="C4" s="599"/>
      <c r="D4" s="599"/>
      <c r="E4" s="599"/>
      <c r="F4" s="765"/>
      <c r="G4" s="365"/>
    </row>
    <row r="5" spans="1:7" s="339" customFormat="1" ht="15.6" x14ac:dyDescent="0.3">
      <c r="A5" s="762" t="s">
        <v>149</v>
      </c>
      <c r="B5" s="282"/>
      <c r="C5" s="766"/>
      <c r="D5" s="766"/>
      <c r="E5" s="767"/>
      <c r="F5" s="768"/>
      <c r="G5" s="365"/>
    </row>
    <row r="6" spans="1:7" s="339" customFormat="1" ht="14.4" x14ac:dyDescent="0.3">
      <c r="A6" s="641"/>
      <c r="B6" s="256" t="s">
        <v>116</v>
      </c>
      <c r="C6" s="641"/>
      <c r="D6" s="641"/>
      <c r="E6" s="14"/>
      <c r="F6" s="769"/>
      <c r="G6" s="365"/>
    </row>
    <row r="7" spans="1:7" s="339" customFormat="1" ht="14.4" x14ac:dyDescent="0.3">
      <c r="A7" s="713"/>
      <c r="B7" s="67"/>
      <c r="C7" s="713"/>
      <c r="D7" s="713"/>
      <c r="E7" s="15"/>
      <c r="F7" s="770"/>
      <c r="G7" s="365"/>
    </row>
    <row r="8" spans="1:7" s="339" customFormat="1" ht="27.6" thickBot="1" x14ac:dyDescent="0.35">
      <c r="A8" s="7" t="s">
        <v>1573</v>
      </c>
      <c r="B8" s="20" t="s">
        <v>35</v>
      </c>
      <c r="C8" s="38" t="s">
        <v>1881</v>
      </c>
      <c r="D8" s="38" t="s">
        <v>1882</v>
      </c>
      <c r="E8" s="38" t="s">
        <v>2371</v>
      </c>
      <c r="F8" s="37" t="s">
        <v>150</v>
      </c>
      <c r="G8" s="365"/>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Y182"/>
  <sheetViews>
    <sheetView topLeftCell="S1" zoomScaleNormal="100" workbookViewId="0">
      <pane ySplit="7" topLeftCell="A8" activePane="bottomLeft" state="frozen"/>
      <selection pane="bottomLeft" activeCell="V21" sqref="V21"/>
    </sheetView>
  </sheetViews>
  <sheetFormatPr defaultColWidth="9.109375" defaultRowHeight="14.4" x14ac:dyDescent="0.3"/>
  <cols>
    <col min="1" max="1" width="7" style="4" customWidth="1"/>
    <col min="2" max="2" width="45.44140625" style="13" customWidth="1"/>
    <col min="3" max="3" width="21.88671875" style="13" bestFit="1" customWidth="1"/>
    <col min="4" max="4" width="34.88671875" style="13" bestFit="1"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5" customWidth="1"/>
    <col min="11" max="11" width="43.109375" style="13" customWidth="1"/>
    <col min="12" max="12" width="36.5546875" style="195"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6.6640625" style="13" bestFit="1" customWidth="1"/>
    <col min="19" max="19" width="27" style="13" bestFit="1" customWidth="1"/>
    <col min="20" max="20" width="30.88671875" style="13" customWidth="1"/>
    <col min="21" max="21" width="14.5546875" style="13" bestFit="1" customWidth="1"/>
    <col min="22" max="22" width="18.88671875" style="195" bestFit="1" customWidth="1"/>
    <col min="23" max="23" width="35.5546875" style="195" bestFit="1" customWidth="1"/>
    <col min="24" max="24" width="26.33203125" style="13" bestFit="1" customWidth="1"/>
    <col min="25" max="25" width="25.5546875" style="195" bestFit="1" customWidth="1"/>
    <col min="26" max="26" width="15" style="195" bestFit="1" customWidth="1"/>
    <col min="27" max="27" width="7.44140625" style="782" customWidth="1"/>
    <col min="28" max="28" width="35.44140625" style="13" bestFit="1" customWidth="1"/>
    <col min="29" max="29" width="16.109375" style="195" bestFit="1" customWidth="1"/>
    <col min="30" max="30" width="43.88671875" style="13" customWidth="1"/>
    <col min="31" max="31" width="37.109375" style="13" bestFit="1" customWidth="1"/>
    <col min="32" max="32" width="11.88671875" style="4" customWidth="1"/>
    <col min="33" max="33" width="51.88671875" style="106" bestFit="1" customWidth="1"/>
    <col min="34" max="35" width="11.88671875" style="106" customWidth="1"/>
    <col min="36" max="36" width="23.109375" style="106" customWidth="1"/>
    <col min="37" max="37" width="11.88671875" style="106" customWidth="1"/>
    <col min="38" max="38" width="21.33203125" style="106" bestFit="1" customWidth="1"/>
    <col min="39" max="39" width="17" style="106" bestFit="1" customWidth="1"/>
    <col min="40" max="40" width="16.44140625" style="106" bestFit="1" customWidth="1"/>
    <col min="41" max="41" width="17.6640625" style="106" bestFit="1" customWidth="1"/>
    <col min="42" max="42" width="36" style="106" bestFit="1" customWidth="1"/>
    <col min="43" max="43" width="13.88671875" style="106" bestFit="1" customWidth="1"/>
    <col min="44" max="44" width="11" style="106" bestFit="1" customWidth="1"/>
    <col min="45" max="45" width="9.109375" style="106"/>
    <col min="46" max="46" width="10.109375" style="106" bestFit="1" customWidth="1"/>
    <col min="47" max="47" width="13.44140625" style="106" bestFit="1" customWidth="1"/>
    <col min="48" max="48" width="12.6640625" style="106" bestFit="1" customWidth="1"/>
    <col min="49" max="49" width="11.5546875" style="106" bestFit="1" customWidth="1"/>
    <col min="50" max="50" width="14" style="106" bestFit="1" customWidth="1"/>
    <col min="51" max="51" width="9.109375" style="106"/>
    <col min="52" max="16384" width="9.109375" style="4"/>
  </cols>
  <sheetData>
    <row r="1" spans="1:51" x14ac:dyDescent="0.3">
      <c r="A1" s="31"/>
      <c r="J1" s="193"/>
      <c r="L1" s="193"/>
      <c r="V1" s="194"/>
      <c r="W1" s="193"/>
      <c r="Y1" s="194"/>
      <c r="Z1" s="193"/>
      <c r="AC1" s="193"/>
    </row>
    <row r="2" spans="1:51" x14ac:dyDescent="0.3">
      <c r="A2" s="31"/>
      <c r="J2" s="193"/>
      <c r="V2" s="194"/>
      <c r="W2" s="193"/>
      <c r="Y2" s="194"/>
      <c r="Z2" s="193"/>
      <c r="AC2" s="193"/>
    </row>
    <row r="3" spans="1:51" x14ac:dyDescent="0.3">
      <c r="A3" s="31"/>
      <c r="J3" s="193"/>
      <c r="V3" s="194"/>
      <c r="W3" s="193"/>
      <c r="Y3" s="194"/>
      <c r="Z3" s="193"/>
      <c r="AC3" s="193"/>
    </row>
    <row r="4" spans="1:51" x14ac:dyDescent="0.3">
      <c r="A4" s="31"/>
      <c r="J4" s="193"/>
      <c r="L4" s="193"/>
      <c r="V4" s="194"/>
      <c r="W4" s="193"/>
      <c r="Y4" s="194"/>
      <c r="Z4" s="193"/>
      <c r="AC4" s="193"/>
      <c r="AG4" s="106" t="s">
        <v>3037</v>
      </c>
      <c r="AH4" s="106" t="s">
        <v>3037</v>
      </c>
    </row>
    <row r="5" spans="1:51" ht="16.5" customHeight="1" x14ac:dyDescent="0.3">
      <c r="A5" s="31"/>
      <c r="B5" s="171" t="s">
        <v>75</v>
      </c>
      <c r="C5" s="196"/>
      <c r="D5" s="196"/>
      <c r="E5" s="196"/>
      <c r="F5" s="196"/>
      <c r="G5" s="197"/>
      <c r="H5" s="196"/>
      <c r="I5" s="196"/>
      <c r="J5" s="196"/>
      <c r="K5" s="196"/>
      <c r="L5" s="196"/>
      <c r="M5" s="196"/>
      <c r="N5" s="196"/>
      <c r="O5" s="196"/>
      <c r="P5" s="198"/>
      <c r="Q5" s="196"/>
      <c r="R5" s="196"/>
      <c r="S5" s="196"/>
      <c r="T5" s="198"/>
      <c r="U5" s="196"/>
      <c r="V5" s="199"/>
      <c r="W5" s="196"/>
      <c r="X5" s="198"/>
      <c r="Y5" s="171"/>
      <c r="Z5" s="196"/>
      <c r="AA5" s="783"/>
      <c r="AB5" s="196"/>
      <c r="AC5" s="196"/>
      <c r="AD5" s="196"/>
      <c r="AE5" s="290"/>
      <c r="AF5" s="200"/>
      <c r="AG5" s="200"/>
      <c r="AH5" s="200"/>
      <c r="AI5" s="200"/>
      <c r="AJ5" s="200"/>
      <c r="AK5" s="200"/>
      <c r="AL5" s="200"/>
      <c r="AM5" s="200"/>
      <c r="AN5" s="200"/>
      <c r="AO5" s="200"/>
      <c r="AP5" s="200"/>
      <c r="AQ5" s="200"/>
      <c r="AR5" s="200"/>
      <c r="AS5" s="200"/>
      <c r="AT5" s="200"/>
      <c r="AU5" s="200"/>
      <c r="AV5" s="200"/>
      <c r="AW5" s="200"/>
      <c r="AX5" s="200"/>
      <c r="AY5" s="200"/>
    </row>
    <row r="6" spans="1:51" s="8" customFormat="1" ht="27" customHeight="1" x14ac:dyDescent="0.25">
      <c r="A6" s="24"/>
      <c r="B6" s="201"/>
      <c r="C6" s="201"/>
      <c r="D6" s="201"/>
      <c r="E6" s="201"/>
      <c r="F6" s="201"/>
      <c r="G6" s="201"/>
      <c r="H6" s="201"/>
      <c r="I6" s="201"/>
      <c r="J6" s="201"/>
      <c r="K6" s="201"/>
      <c r="L6" s="202"/>
      <c r="M6" s="201"/>
      <c r="N6" s="201"/>
      <c r="O6" s="201"/>
      <c r="P6" s="201"/>
      <c r="Q6" s="201"/>
      <c r="R6" s="201"/>
      <c r="S6" s="201"/>
      <c r="T6" s="201"/>
      <c r="U6" s="201"/>
      <c r="V6" s="201"/>
      <c r="W6" s="201"/>
      <c r="X6" s="201"/>
      <c r="Y6" s="201"/>
      <c r="Z6" s="201"/>
      <c r="AA6" s="784"/>
      <c r="AB6" s="201"/>
      <c r="AC6" s="201"/>
      <c r="AD6" s="201"/>
      <c r="AE6" s="201"/>
      <c r="AF6" s="201"/>
      <c r="AG6" s="201"/>
      <c r="AH6" s="201"/>
      <c r="AI6" s="201"/>
      <c r="AJ6" s="201"/>
      <c r="AK6" s="201"/>
    </row>
    <row r="7" spans="1:51" ht="15.75" customHeight="1" thickBot="1" x14ac:dyDescent="0.35">
      <c r="A7" s="1388"/>
      <c r="B7" s="1389" t="s">
        <v>492</v>
      </c>
      <c r="C7" s="203" t="s">
        <v>473</v>
      </c>
      <c r="D7" s="203" t="s">
        <v>279</v>
      </c>
      <c r="E7" s="203" t="s">
        <v>159</v>
      </c>
      <c r="F7" s="203" t="s">
        <v>83</v>
      </c>
      <c r="G7" s="203" t="s">
        <v>79</v>
      </c>
      <c r="H7" s="203" t="s">
        <v>508</v>
      </c>
      <c r="I7" s="203" t="s">
        <v>166</v>
      </c>
      <c r="J7" s="203" t="s">
        <v>378</v>
      </c>
      <c r="K7" s="203" t="s">
        <v>77</v>
      </c>
      <c r="L7" s="203" t="s">
        <v>128</v>
      </c>
      <c r="M7" s="203" t="s">
        <v>342</v>
      </c>
      <c r="N7" s="1390" t="s">
        <v>155</v>
      </c>
      <c r="O7" s="203" t="s">
        <v>76</v>
      </c>
      <c r="P7" s="203" t="s">
        <v>395</v>
      </c>
      <c r="Q7" s="203" t="s">
        <v>120</v>
      </c>
      <c r="R7" s="1390" t="s">
        <v>126</v>
      </c>
      <c r="S7" s="203" t="s">
        <v>183</v>
      </c>
      <c r="T7" s="203" t="s">
        <v>384</v>
      </c>
      <c r="U7" s="204" t="s">
        <v>184</v>
      </c>
      <c r="V7" s="203" t="s">
        <v>533</v>
      </c>
      <c r="W7" s="203" t="s">
        <v>471</v>
      </c>
      <c r="X7" s="203" t="s">
        <v>902</v>
      </c>
      <c r="Y7" s="1391" t="s">
        <v>125</v>
      </c>
      <c r="Z7" s="203" t="s">
        <v>70</v>
      </c>
      <c r="AA7" s="1392" t="s">
        <v>127</v>
      </c>
      <c r="AB7" s="203" t="s">
        <v>84</v>
      </c>
      <c r="AC7" s="203" t="s">
        <v>129</v>
      </c>
      <c r="AD7" s="821" t="s">
        <v>338</v>
      </c>
      <c r="AE7" s="205" t="s">
        <v>509</v>
      </c>
      <c r="AF7" s="289" t="s">
        <v>1291</v>
      </c>
      <c r="AG7" s="289" t="s">
        <v>3036</v>
      </c>
      <c r="AH7" s="289" t="s">
        <v>2930</v>
      </c>
      <c r="AI7" s="289" t="s">
        <v>3038</v>
      </c>
      <c r="AJ7" s="289" t="s">
        <v>200</v>
      </c>
      <c r="AK7" s="289" t="s">
        <v>2832</v>
      </c>
      <c r="AL7" s="289" t="s">
        <v>484</v>
      </c>
      <c r="AM7" s="205" t="s">
        <v>3039</v>
      </c>
      <c r="AN7" s="205" t="s">
        <v>3040</v>
      </c>
      <c r="AO7" s="205" t="s">
        <v>3041</v>
      </c>
      <c r="AP7" s="205" t="s">
        <v>2722</v>
      </c>
      <c r="AQ7" s="205" t="s">
        <v>3042</v>
      </c>
      <c r="AR7" s="205" t="s">
        <v>3043</v>
      </c>
      <c r="AS7" s="205" t="s">
        <v>2725</v>
      </c>
      <c r="AT7" s="205" t="s">
        <v>3044</v>
      </c>
      <c r="AU7" s="205" t="s">
        <v>3045</v>
      </c>
      <c r="AV7" s="205" t="s">
        <v>3046</v>
      </c>
      <c r="AW7" s="205" t="s">
        <v>3047</v>
      </c>
      <c r="AX7" s="205" t="s">
        <v>3048</v>
      </c>
      <c r="AY7" s="205" t="s">
        <v>3049</v>
      </c>
    </row>
    <row r="8" spans="1:51" s="5" customFormat="1" x14ac:dyDescent="0.3">
      <c r="A8" s="291"/>
      <c r="B8" s="929" t="s">
        <v>838</v>
      </c>
      <c r="C8" s="288" t="s">
        <v>877</v>
      </c>
      <c r="D8" s="288" t="s">
        <v>1081</v>
      </c>
      <c r="E8" s="288" t="s">
        <v>160</v>
      </c>
      <c r="F8" s="823" t="s">
        <v>1494</v>
      </c>
      <c r="G8" s="288" t="s">
        <v>1130</v>
      </c>
      <c r="H8" s="288" t="s">
        <v>158</v>
      </c>
      <c r="I8" s="288" t="s">
        <v>1004</v>
      </c>
      <c r="J8" s="288" t="s">
        <v>1133</v>
      </c>
      <c r="K8" s="288" t="s">
        <v>1145</v>
      </c>
      <c r="L8" s="929" t="s">
        <v>92</v>
      </c>
      <c r="M8" s="288" t="s">
        <v>1194</v>
      </c>
      <c r="N8" s="288" t="s">
        <v>158</v>
      </c>
      <c r="O8" s="288" t="s">
        <v>1195</v>
      </c>
      <c r="P8" s="288" t="s">
        <v>1202</v>
      </c>
      <c r="Q8" s="288" t="s">
        <v>883</v>
      </c>
      <c r="R8" s="288" t="s">
        <v>1079</v>
      </c>
      <c r="S8" s="288" t="s">
        <v>880</v>
      </c>
      <c r="T8" s="288" t="s">
        <v>1212</v>
      </c>
      <c r="U8" s="288" t="s">
        <v>951</v>
      </c>
      <c r="V8" s="288" t="s">
        <v>3880</v>
      </c>
      <c r="W8" s="288" t="s">
        <v>517</v>
      </c>
      <c r="X8" s="288" t="s">
        <v>1239</v>
      </c>
      <c r="Y8" s="288" t="s">
        <v>1245</v>
      </c>
      <c r="Z8" s="288" t="s">
        <v>141</v>
      </c>
      <c r="AA8" s="785">
        <v>0</v>
      </c>
      <c r="AB8" s="288" t="s">
        <v>962</v>
      </c>
      <c r="AC8" s="818" t="s">
        <v>804</v>
      </c>
      <c r="AD8" s="308" t="s">
        <v>1284</v>
      </c>
      <c r="AE8" s="819" t="s">
        <v>968</v>
      </c>
      <c r="AF8" s="288" t="s">
        <v>141</v>
      </c>
      <c r="AG8" s="308" t="s">
        <v>2909</v>
      </c>
      <c r="AH8" s="308" t="s">
        <v>2933</v>
      </c>
      <c r="AI8" s="308" t="s">
        <v>3050</v>
      </c>
      <c r="AJ8" s="308" t="s">
        <v>3051</v>
      </c>
      <c r="AK8" s="308" t="s">
        <v>2743</v>
      </c>
      <c r="AL8" s="308" t="s">
        <v>3052</v>
      </c>
      <c r="AM8" s="1393" t="s">
        <v>3053</v>
      </c>
      <c r="AN8" s="1393" t="s">
        <v>2755</v>
      </c>
      <c r="AO8" s="1394">
        <v>454</v>
      </c>
      <c r="AP8" s="1393" t="s">
        <v>3054</v>
      </c>
      <c r="AQ8" s="1394" t="s">
        <v>2743</v>
      </c>
      <c r="AR8" s="1394" t="s">
        <v>49</v>
      </c>
      <c r="AS8" s="1393"/>
      <c r="AT8" s="1393" t="s">
        <v>3055</v>
      </c>
      <c r="AU8" s="1393" t="s">
        <v>3056</v>
      </c>
      <c r="AV8" s="1393" t="s">
        <v>2747</v>
      </c>
      <c r="AW8" s="1394" t="s">
        <v>3057</v>
      </c>
      <c r="AX8" s="1394" t="s">
        <v>3053</v>
      </c>
      <c r="AY8" s="1394">
        <v>0</v>
      </c>
    </row>
    <row r="9" spans="1:51" x14ac:dyDescent="0.3">
      <c r="A9" s="208"/>
      <c r="B9" s="929" t="s">
        <v>839</v>
      </c>
      <c r="C9" s="288" t="s">
        <v>878</v>
      </c>
      <c r="D9" s="288" t="s">
        <v>351</v>
      </c>
      <c r="E9" s="288" t="s">
        <v>161</v>
      </c>
      <c r="F9" s="822" t="s">
        <v>87</v>
      </c>
      <c r="G9" s="288" t="s">
        <v>947</v>
      </c>
      <c r="H9" s="288" t="s">
        <v>156</v>
      </c>
      <c r="I9" s="288" t="s">
        <v>948</v>
      </c>
      <c r="J9" s="288" t="s">
        <v>1134</v>
      </c>
      <c r="K9" s="288" t="s">
        <v>1146</v>
      </c>
      <c r="L9" s="929" t="s">
        <v>1180</v>
      </c>
      <c r="M9" s="288" t="s">
        <v>143</v>
      </c>
      <c r="N9" s="288" t="s">
        <v>156</v>
      </c>
      <c r="O9" s="288" t="s">
        <v>941</v>
      </c>
      <c r="P9" s="288" t="s">
        <v>1203</v>
      </c>
      <c r="Q9" s="288" t="s">
        <v>171</v>
      </c>
      <c r="R9" s="288" t="s">
        <v>1313</v>
      </c>
      <c r="S9" s="288" t="s">
        <v>362</v>
      </c>
      <c r="T9" s="288" t="s">
        <v>1213</v>
      </c>
      <c r="U9" s="288" t="s">
        <v>344</v>
      </c>
      <c r="V9" s="288" t="s">
        <v>535</v>
      </c>
      <c r="W9" s="288" t="s">
        <v>518</v>
      </c>
      <c r="X9" s="288" t="s">
        <v>1240</v>
      </c>
      <c r="Y9" s="288" t="s">
        <v>931</v>
      </c>
      <c r="Z9" s="288" t="s">
        <v>142</v>
      </c>
      <c r="AA9" s="785">
        <v>1</v>
      </c>
      <c r="AB9" s="288" t="s">
        <v>961</v>
      </c>
      <c r="AC9" s="818" t="s">
        <v>799</v>
      </c>
      <c r="AD9" s="308" t="s">
        <v>1285</v>
      </c>
      <c r="AE9" s="819" t="s">
        <v>963</v>
      </c>
      <c r="AF9" s="288" t="s">
        <v>140</v>
      </c>
      <c r="AG9" s="308" t="s">
        <v>2910</v>
      </c>
      <c r="AH9" s="308" t="s">
        <v>2934</v>
      </c>
      <c r="AI9" s="308" t="s">
        <v>3058</v>
      </c>
      <c r="AJ9" s="308" t="s">
        <v>3059</v>
      </c>
      <c r="AK9" s="308" t="s">
        <v>3060</v>
      </c>
      <c r="AL9" s="308" t="s">
        <v>3061</v>
      </c>
      <c r="AM9" s="1393" t="s">
        <v>3062</v>
      </c>
      <c r="AN9" s="1393"/>
      <c r="AO9" s="1394" t="s">
        <v>3063</v>
      </c>
      <c r="AP9" s="1393" t="s">
        <v>3064</v>
      </c>
      <c r="AQ9" s="1394" t="s">
        <v>3065</v>
      </c>
      <c r="AR9" s="1394" t="s">
        <v>50</v>
      </c>
      <c r="AS9" s="1393"/>
      <c r="AT9" s="1393"/>
      <c r="AU9" s="1393"/>
      <c r="AV9" s="1393" t="s">
        <v>3066</v>
      </c>
      <c r="AW9" s="1394" t="s">
        <v>3067</v>
      </c>
      <c r="AX9" s="1394" t="s">
        <v>2747</v>
      </c>
      <c r="AY9" s="1394">
        <v>1</v>
      </c>
    </row>
    <row r="10" spans="1:51" x14ac:dyDescent="0.3">
      <c r="A10" s="208"/>
      <c r="B10" s="930" t="s">
        <v>1508</v>
      </c>
      <c r="C10" s="288" t="s">
        <v>1077</v>
      </c>
      <c r="D10" s="288" t="s">
        <v>1082</v>
      </c>
      <c r="E10" s="288" t="s">
        <v>162</v>
      </c>
      <c r="F10" s="823" t="s">
        <v>1495</v>
      </c>
      <c r="G10" s="288" t="s">
        <v>940</v>
      </c>
      <c r="H10" s="288" t="s">
        <v>157</v>
      </c>
      <c r="I10" s="822" t="s">
        <v>949</v>
      </c>
      <c r="J10" s="288" t="s">
        <v>1135</v>
      </c>
      <c r="K10" s="308" t="s">
        <v>1497</v>
      </c>
      <c r="L10" s="929" t="s">
        <v>828</v>
      </c>
      <c r="M10" s="288" t="s">
        <v>72</v>
      </c>
      <c r="N10" s="288" t="s">
        <v>157</v>
      </c>
      <c r="O10" s="288" t="s">
        <v>919</v>
      </c>
      <c r="P10" s="288" t="s">
        <v>1204</v>
      </c>
      <c r="Q10" s="288" t="s">
        <v>173</v>
      </c>
      <c r="R10" s="288" t="s">
        <v>1314</v>
      </c>
      <c r="S10" s="288" t="s">
        <v>363</v>
      </c>
      <c r="T10" s="288" t="s">
        <v>1214</v>
      </c>
      <c r="U10" s="288" t="s">
        <v>950</v>
      </c>
      <c r="V10" s="288" t="s">
        <v>536</v>
      </c>
      <c r="W10" s="288" t="s">
        <v>519</v>
      </c>
      <c r="X10" s="288" t="s">
        <v>901</v>
      </c>
      <c r="Y10" s="288" t="s">
        <v>930</v>
      </c>
      <c r="Z10" s="288" t="s">
        <v>140</v>
      </c>
      <c r="AA10" s="785">
        <v>2</v>
      </c>
      <c r="AB10" s="288" t="s">
        <v>1278</v>
      </c>
      <c r="AC10" s="818" t="s">
        <v>800</v>
      </c>
      <c r="AD10" s="308" t="s">
        <v>345</v>
      </c>
      <c r="AE10" s="819" t="s">
        <v>970</v>
      </c>
      <c r="AF10" s="288"/>
      <c r="AG10" s="308" t="s">
        <v>2911</v>
      </c>
      <c r="AH10" s="308" t="s">
        <v>2936</v>
      </c>
      <c r="AI10" s="308" t="s">
        <v>3068</v>
      </c>
      <c r="AJ10" s="308" t="s">
        <v>3069</v>
      </c>
      <c r="AK10" s="308" t="s">
        <v>3070</v>
      </c>
      <c r="AL10" s="308" t="s">
        <v>3071</v>
      </c>
      <c r="AM10" s="1393" t="s">
        <v>3072</v>
      </c>
      <c r="AN10" s="1393"/>
      <c r="AO10" s="1394" t="s">
        <v>3073</v>
      </c>
      <c r="AP10" s="1393" t="s">
        <v>3074</v>
      </c>
      <c r="AQ10" s="1393"/>
      <c r="AR10" s="1394" t="s">
        <v>51</v>
      </c>
      <c r="AS10" s="1393"/>
      <c r="AT10" s="1393"/>
      <c r="AU10" s="1393"/>
      <c r="AV10" s="1393" t="s">
        <v>3075</v>
      </c>
      <c r="AW10" s="1393" t="s">
        <v>3076</v>
      </c>
      <c r="AX10" s="1393" t="s">
        <v>3077</v>
      </c>
    </row>
    <row r="11" spans="1:51" ht="16.2" x14ac:dyDescent="0.3">
      <c r="A11" s="208"/>
      <c r="B11" s="930" t="s">
        <v>1477</v>
      </c>
      <c r="C11" s="288" t="s">
        <v>1078</v>
      </c>
      <c r="D11" s="288" t="s">
        <v>352</v>
      </c>
      <c r="E11" s="288" t="s">
        <v>1125</v>
      </c>
      <c r="F11" s="288" t="s">
        <v>123</v>
      </c>
      <c r="G11" s="288"/>
      <c r="H11" s="288"/>
      <c r="I11" s="823" t="s">
        <v>1457</v>
      </c>
      <c r="J11" s="288" t="s">
        <v>1136</v>
      </c>
      <c r="K11" s="308" t="s">
        <v>1498</v>
      </c>
      <c r="L11" s="930" t="s">
        <v>1564</v>
      </c>
      <c r="M11" s="288" t="s">
        <v>197</v>
      </c>
      <c r="N11" s="288" t="s">
        <v>143</v>
      </c>
      <c r="O11" s="288" t="s">
        <v>920</v>
      </c>
      <c r="P11" s="288" t="s">
        <v>495</v>
      </c>
      <c r="Q11" s="288" t="s">
        <v>122</v>
      </c>
      <c r="R11" s="288" t="s">
        <v>1315</v>
      </c>
      <c r="S11" s="823" t="s">
        <v>1464</v>
      </c>
      <c r="T11" s="288" t="s">
        <v>1215</v>
      </c>
      <c r="U11" s="288" t="s">
        <v>1303</v>
      </c>
      <c r="V11" s="288" t="s">
        <v>3881</v>
      </c>
      <c r="W11" s="288" t="s">
        <v>520</v>
      </c>
      <c r="X11" s="288" t="s">
        <v>1241</v>
      </c>
      <c r="Y11" s="288" t="s">
        <v>1246</v>
      </c>
      <c r="Z11" s="288"/>
      <c r="AA11" s="785">
        <v>3</v>
      </c>
      <c r="AB11" s="288" t="s">
        <v>954</v>
      </c>
      <c r="AC11" s="818" t="s">
        <v>143</v>
      </c>
      <c r="AD11" s="308" t="s">
        <v>344</v>
      </c>
      <c r="AE11" s="819" t="s">
        <v>980</v>
      </c>
      <c r="AF11" s="288"/>
      <c r="AG11" s="308" t="s">
        <v>2912</v>
      </c>
      <c r="AH11" s="308" t="s">
        <v>2937</v>
      </c>
      <c r="AI11" s="308" t="s">
        <v>3078</v>
      </c>
      <c r="AJ11" s="308" t="s">
        <v>3079</v>
      </c>
      <c r="AK11" s="308" t="s">
        <v>3080</v>
      </c>
      <c r="AL11" s="308" t="s">
        <v>3081</v>
      </c>
      <c r="AM11" s="1393" t="s">
        <v>3082</v>
      </c>
      <c r="AN11" s="1393"/>
      <c r="AO11" s="1393"/>
      <c r="AP11" s="1393" t="s">
        <v>3083</v>
      </c>
      <c r="AQ11" s="1393"/>
      <c r="AR11" s="1393" t="s">
        <v>52</v>
      </c>
      <c r="AS11" s="1393"/>
      <c r="AT11" s="1393"/>
      <c r="AU11" s="1393"/>
      <c r="AV11" s="1393" t="s">
        <v>3084</v>
      </c>
      <c r="AW11" s="1393" t="s">
        <v>3085</v>
      </c>
      <c r="AX11" s="1393" t="s">
        <v>3086</v>
      </c>
    </row>
    <row r="12" spans="1:51" x14ac:dyDescent="0.3">
      <c r="A12" s="208"/>
      <c r="B12" s="929" t="s">
        <v>1056</v>
      </c>
      <c r="C12" s="288" t="s">
        <v>879</v>
      </c>
      <c r="D12" s="288" t="s">
        <v>1083</v>
      </c>
      <c r="E12" s="288" t="s">
        <v>1126</v>
      </c>
      <c r="F12" s="288" t="s">
        <v>90</v>
      </c>
      <c r="G12" s="288"/>
      <c r="H12" s="288"/>
      <c r="I12" s="823" t="s">
        <v>1469</v>
      </c>
      <c r="J12" s="288" t="s">
        <v>1137</v>
      </c>
      <c r="K12" s="288" t="s">
        <v>1147</v>
      </c>
      <c r="L12" s="929" t="s">
        <v>805</v>
      </c>
      <c r="M12" s="288"/>
      <c r="N12" s="288"/>
      <c r="O12" s="288" t="s">
        <v>921</v>
      </c>
      <c r="P12" s="288" t="s">
        <v>1205</v>
      </c>
      <c r="Q12" s="288" t="s">
        <v>1209</v>
      </c>
      <c r="R12" s="818"/>
      <c r="S12" s="308" t="s">
        <v>881</v>
      </c>
      <c r="T12" s="819" t="s">
        <v>502</v>
      </c>
      <c r="U12" s="308" t="s">
        <v>1454</v>
      </c>
      <c r="V12" s="288" t="s">
        <v>534</v>
      </c>
      <c r="W12" s="288" t="s">
        <v>521</v>
      </c>
      <c r="X12" s="288" t="s">
        <v>1242</v>
      </c>
      <c r="Y12" s="288" t="s">
        <v>1247</v>
      </c>
      <c r="Z12" s="288"/>
      <c r="AA12" s="785">
        <v>4</v>
      </c>
      <c r="AB12" s="288" t="s">
        <v>952</v>
      </c>
      <c r="AC12" s="818" t="s">
        <v>801</v>
      </c>
      <c r="AD12" s="308" t="s">
        <v>1296</v>
      </c>
      <c r="AE12" s="819" t="s">
        <v>967</v>
      </c>
      <c r="AF12" s="288"/>
      <c r="AG12" s="308" t="s">
        <v>2913</v>
      </c>
      <c r="AH12" s="308" t="s">
        <v>2938</v>
      </c>
      <c r="AI12" s="308" t="s">
        <v>3087</v>
      </c>
      <c r="AJ12" s="308"/>
      <c r="AK12" s="308" t="s">
        <v>3088</v>
      </c>
      <c r="AL12" s="308" t="s">
        <v>3089</v>
      </c>
      <c r="AM12" s="1393" t="s">
        <v>2736</v>
      </c>
      <c r="AN12" s="1393"/>
      <c r="AO12" s="1393"/>
      <c r="AP12" s="1393" t="s">
        <v>3090</v>
      </c>
      <c r="AQ12" s="1393"/>
      <c r="AR12" s="1393" t="s">
        <v>53</v>
      </c>
      <c r="AS12" s="1393"/>
      <c r="AT12" s="1393"/>
      <c r="AU12" s="1393"/>
      <c r="AV12" s="1393" t="s">
        <v>3091</v>
      </c>
      <c r="AW12" s="1393" t="s">
        <v>3092</v>
      </c>
      <c r="AX12" s="1393" t="s">
        <v>3093</v>
      </c>
    </row>
    <row r="13" spans="1:51" x14ac:dyDescent="0.3">
      <c r="A13" s="208"/>
      <c r="B13" s="930" t="s">
        <v>1511</v>
      </c>
      <c r="C13" s="288" t="s">
        <v>170</v>
      </c>
      <c r="D13" s="288" t="s">
        <v>1084</v>
      </c>
      <c r="E13" s="288" t="s">
        <v>1127</v>
      </c>
      <c r="F13" s="288" t="s">
        <v>88</v>
      </c>
      <c r="G13" s="288"/>
      <c r="H13" s="288"/>
      <c r="I13" s="288" t="s">
        <v>1131</v>
      </c>
      <c r="J13" s="288" t="s">
        <v>143</v>
      </c>
      <c r="K13" s="288" t="s">
        <v>1148</v>
      </c>
      <c r="L13" s="930" t="s">
        <v>1565</v>
      </c>
      <c r="M13" s="288"/>
      <c r="N13" s="288"/>
      <c r="O13" s="288" t="s">
        <v>110</v>
      </c>
      <c r="P13" s="288" t="s">
        <v>1206</v>
      </c>
      <c r="Q13" s="288" t="s">
        <v>1210</v>
      </c>
      <c r="R13" s="818"/>
      <c r="S13" s="308" t="s">
        <v>882</v>
      </c>
      <c r="T13" s="819" t="s">
        <v>1216</v>
      </c>
      <c r="U13" s="288"/>
      <c r="V13" s="288" t="s">
        <v>3882</v>
      </c>
      <c r="W13" s="288" t="s">
        <v>1233</v>
      </c>
      <c r="X13" s="288" t="s">
        <v>1243</v>
      </c>
      <c r="Y13" s="288" t="s">
        <v>932</v>
      </c>
      <c r="Z13" s="288"/>
      <c r="AA13" s="785">
        <v>5</v>
      </c>
      <c r="AB13" s="288" t="s">
        <v>1279</v>
      </c>
      <c r="AC13" s="818" t="s">
        <v>341</v>
      </c>
      <c r="AD13" s="308" t="s">
        <v>1286</v>
      </c>
      <c r="AE13" s="819" t="s">
        <v>966</v>
      </c>
      <c r="AF13" s="288"/>
      <c r="AG13" s="308" t="s">
        <v>2914</v>
      </c>
      <c r="AH13" s="308" t="s">
        <v>2939</v>
      </c>
      <c r="AI13" s="308" t="s">
        <v>3094</v>
      </c>
      <c r="AJ13" s="308"/>
      <c r="AK13" s="308" t="s">
        <v>3095</v>
      </c>
      <c r="AL13" s="308" t="s">
        <v>3096</v>
      </c>
      <c r="AM13" s="1393" t="s">
        <v>3097</v>
      </c>
      <c r="AN13" s="1393"/>
      <c r="AO13" s="1393"/>
      <c r="AP13" s="1393" t="s">
        <v>3098</v>
      </c>
      <c r="AQ13" s="1393"/>
      <c r="AR13" s="1393" t="s">
        <v>54</v>
      </c>
      <c r="AS13" s="1393"/>
      <c r="AT13" s="1393"/>
      <c r="AU13" s="1393"/>
      <c r="AV13" s="1393" t="s">
        <v>3099</v>
      </c>
      <c r="AW13" s="1393" t="s">
        <v>3100</v>
      </c>
      <c r="AX13" s="1393" t="s">
        <v>3101</v>
      </c>
    </row>
    <row r="14" spans="1:51" x14ac:dyDescent="0.3">
      <c r="A14" s="208"/>
      <c r="B14" s="929" t="s">
        <v>1057</v>
      </c>
      <c r="C14" s="288" t="s">
        <v>1079</v>
      </c>
      <c r="D14" s="288" t="s">
        <v>1085</v>
      </c>
      <c r="E14" s="288" t="s">
        <v>1128</v>
      </c>
      <c r="F14" s="288" t="s">
        <v>109</v>
      </c>
      <c r="G14" s="288"/>
      <c r="H14" s="818"/>
      <c r="I14" s="308" t="s">
        <v>1132</v>
      </c>
      <c r="J14" s="819" t="s">
        <v>1138</v>
      </c>
      <c r="K14" s="288" t="s">
        <v>107</v>
      </c>
      <c r="L14" s="929" t="s">
        <v>806</v>
      </c>
      <c r="M14" s="288"/>
      <c r="N14" s="288"/>
      <c r="O14" s="288" t="s">
        <v>922</v>
      </c>
      <c r="P14" s="288" t="s">
        <v>496</v>
      </c>
      <c r="Q14" s="288" t="s">
        <v>175</v>
      </c>
      <c r="R14" s="288"/>
      <c r="S14" s="288"/>
      <c r="T14" s="288" t="s">
        <v>1217</v>
      </c>
      <c r="U14" s="288"/>
      <c r="V14" s="288" t="s">
        <v>507</v>
      </c>
      <c r="W14" s="288" t="s">
        <v>1234</v>
      </c>
      <c r="X14" s="288" t="s">
        <v>1244</v>
      </c>
      <c r="Y14" s="288" t="s">
        <v>189</v>
      </c>
      <c r="Z14" s="288"/>
      <c r="AA14" s="785">
        <v>6</v>
      </c>
      <c r="AB14" s="288" t="s">
        <v>1280</v>
      </c>
      <c r="AC14" s="818" t="s">
        <v>802</v>
      </c>
      <c r="AD14" s="823" t="s">
        <v>1466</v>
      </c>
      <c r="AE14" s="819" t="s">
        <v>964</v>
      </c>
      <c r="AF14" s="288"/>
      <c r="AG14" s="308" t="s">
        <v>2915</v>
      </c>
      <c r="AH14" s="308" t="s">
        <v>2940</v>
      </c>
      <c r="AI14" s="308" t="s">
        <v>3102</v>
      </c>
      <c r="AJ14" s="308"/>
      <c r="AK14" s="308" t="s">
        <v>3103</v>
      </c>
      <c r="AL14" s="308" t="s">
        <v>3104</v>
      </c>
      <c r="AM14" s="308"/>
      <c r="AN14" s="308"/>
      <c r="AO14" s="308"/>
      <c r="AP14" s="1393" t="s">
        <v>3054</v>
      </c>
      <c r="AQ14" s="1393"/>
      <c r="AR14" s="1393" t="s">
        <v>55</v>
      </c>
      <c r="AS14" s="308"/>
      <c r="AT14" s="308"/>
      <c r="AU14" s="308"/>
      <c r="AV14" s="1394" t="s">
        <v>3105</v>
      </c>
      <c r="AW14" s="1393" t="s">
        <v>3066</v>
      </c>
      <c r="AX14" s="1393" t="s">
        <v>3106</v>
      </c>
    </row>
    <row r="15" spans="1:51" x14ac:dyDescent="0.3">
      <c r="A15" s="208"/>
      <c r="B15" s="929" t="s">
        <v>1058</v>
      </c>
      <c r="C15" s="288" t="s">
        <v>361</v>
      </c>
      <c r="D15" s="288" t="s">
        <v>1086</v>
      </c>
      <c r="E15" s="818" t="s">
        <v>1129</v>
      </c>
      <c r="F15" s="308" t="s">
        <v>89</v>
      </c>
      <c r="G15" s="819"/>
      <c r="H15" s="818"/>
      <c r="I15" s="308" t="s">
        <v>94</v>
      </c>
      <c r="J15" s="819" t="s">
        <v>1139</v>
      </c>
      <c r="K15" s="288" t="s">
        <v>1149</v>
      </c>
      <c r="L15" s="929" t="s">
        <v>807</v>
      </c>
      <c r="M15" s="288"/>
      <c r="N15" s="288"/>
      <c r="O15" s="288" t="s">
        <v>1196</v>
      </c>
      <c r="P15" s="288" t="s">
        <v>500</v>
      </c>
      <c r="Q15" s="288" t="s">
        <v>174</v>
      </c>
      <c r="R15" s="288"/>
      <c r="S15" s="288"/>
      <c r="T15" s="288" t="s">
        <v>1218</v>
      </c>
      <c r="U15" s="288"/>
      <c r="V15" s="308"/>
      <c r="W15" s="288" t="s">
        <v>1235</v>
      </c>
      <c r="X15" s="288"/>
      <c r="Y15" s="288" t="s">
        <v>190</v>
      </c>
      <c r="Z15" s="288"/>
      <c r="AA15" s="785">
        <v>7</v>
      </c>
      <c r="AB15" s="288" t="s">
        <v>959</v>
      </c>
      <c r="AC15" s="818" t="s">
        <v>803</v>
      </c>
      <c r="AD15" s="822" t="s">
        <v>1297</v>
      </c>
      <c r="AE15" s="819" t="s">
        <v>965</v>
      </c>
      <c r="AF15" s="288"/>
      <c r="AG15" s="308"/>
      <c r="AH15" s="308" t="s">
        <v>2941</v>
      </c>
      <c r="AI15" s="308" t="s">
        <v>3107</v>
      </c>
      <c r="AJ15" s="308"/>
      <c r="AK15" s="308" t="s">
        <v>3108</v>
      </c>
      <c r="AL15" s="308" t="s">
        <v>3109</v>
      </c>
      <c r="AM15" s="308"/>
      <c r="AN15" s="308"/>
      <c r="AO15" s="308"/>
      <c r="AP15" s="1393" t="s">
        <v>3064</v>
      </c>
      <c r="AQ15" s="1393"/>
      <c r="AR15" s="1393" t="s">
        <v>56</v>
      </c>
      <c r="AS15" s="308"/>
      <c r="AT15" s="308"/>
      <c r="AU15" s="308"/>
      <c r="AV15" s="1394" t="s">
        <v>3110</v>
      </c>
      <c r="AW15" s="1393" t="s">
        <v>3111</v>
      </c>
      <c r="AX15" s="1393" t="s">
        <v>3112</v>
      </c>
    </row>
    <row r="16" spans="1:51" x14ac:dyDescent="0.3">
      <c r="A16" s="208"/>
      <c r="B16" s="929" t="s">
        <v>840</v>
      </c>
      <c r="C16" s="288" t="s">
        <v>172</v>
      </c>
      <c r="D16" s="288" t="s">
        <v>1087</v>
      </c>
      <c r="E16" s="818"/>
      <c r="F16" s="308"/>
      <c r="G16" s="819"/>
      <c r="H16" s="288"/>
      <c r="I16" s="288"/>
      <c r="J16" s="288" t="s">
        <v>1140</v>
      </c>
      <c r="K16" s="288" t="s">
        <v>1150</v>
      </c>
      <c r="L16" s="929" t="s">
        <v>808</v>
      </c>
      <c r="M16" s="288"/>
      <c r="N16" s="288"/>
      <c r="O16" s="288" t="s">
        <v>913</v>
      </c>
      <c r="P16" s="288" t="s">
        <v>497</v>
      </c>
      <c r="Q16" s="288" t="s">
        <v>884</v>
      </c>
      <c r="R16" s="288"/>
      <c r="S16" s="288"/>
      <c r="T16" s="288" t="s">
        <v>1219</v>
      </c>
      <c r="U16" s="288"/>
      <c r="V16" s="288"/>
      <c r="W16" s="288" t="s">
        <v>1236</v>
      </c>
      <c r="X16" s="288"/>
      <c r="Y16" s="288" t="s">
        <v>1248</v>
      </c>
      <c r="Z16" s="288"/>
      <c r="AA16" s="785">
        <v>8</v>
      </c>
      <c r="AB16" s="288" t="s">
        <v>1281</v>
      </c>
      <c r="AC16" s="818"/>
      <c r="AD16" s="822" t="s">
        <v>1287</v>
      </c>
      <c r="AE16" s="819" t="s">
        <v>969</v>
      </c>
      <c r="AF16" s="288"/>
      <c r="AG16" s="308"/>
      <c r="AH16" s="308" t="s">
        <v>2268</v>
      </c>
      <c r="AI16" s="308" t="s">
        <v>3113</v>
      </c>
      <c r="AJ16" s="308"/>
      <c r="AK16" s="308" t="s">
        <v>3114</v>
      </c>
      <c r="AL16" s="308" t="s">
        <v>3115</v>
      </c>
      <c r="AM16" s="308"/>
      <c r="AN16" s="308"/>
      <c r="AO16" s="308"/>
      <c r="AP16" s="1393" t="s">
        <v>3116</v>
      </c>
      <c r="AQ16" s="1393"/>
      <c r="AR16" s="1393" t="s">
        <v>57</v>
      </c>
      <c r="AS16" s="308"/>
      <c r="AT16" s="308"/>
      <c r="AU16" s="308"/>
      <c r="AV16" s="1393"/>
      <c r="AW16" s="1393" t="s">
        <v>3075</v>
      </c>
      <c r="AX16" s="1393" t="s">
        <v>3117</v>
      </c>
    </row>
    <row r="17" spans="1:50" x14ac:dyDescent="0.3">
      <c r="A17" s="208"/>
      <c r="B17" s="929" t="s">
        <v>841</v>
      </c>
      <c r="C17" s="288" t="s">
        <v>1080</v>
      </c>
      <c r="D17" s="288" t="s">
        <v>1088</v>
      </c>
      <c r="E17" s="288"/>
      <c r="F17" s="288"/>
      <c r="G17" s="288"/>
      <c r="H17" s="288"/>
      <c r="I17" s="288"/>
      <c r="J17" s="288" t="s">
        <v>1141</v>
      </c>
      <c r="K17" s="288" t="s">
        <v>1135</v>
      </c>
      <c r="L17" s="929" t="s">
        <v>1181</v>
      </c>
      <c r="M17" s="288"/>
      <c r="N17" s="288"/>
      <c r="O17" s="288" t="s">
        <v>914</v>
      </c>
      <c r="P17" s="288" t="s">
        <v>498</v>
      </c>
      <c r="Q17" s="288" t="s">
        <v>1211</v>
      </c>
      <c r="R17" s="288"/>
      <c r="S17" s="288"/>
      <c r="T17" s="288" t="s">
        <v>501</v>
      </c>
      <c r="U17" s="288"/>
      <c r="V17" s="288"/>
      <c r="W17" s="288" t="s">
        <v>1237</v>
      </c>
      <c r="X17" s="288"/>
      <c r="Y17" s="288" t="s">
        <v>1249</v>
      </c>
      <c r="Z17" s="288"/>
      <c r="AA17" s="785">
        <v>9</v>
      </c>
      <c r="AB17" s="288" t="s">
        <v>955</v>
      </c>
      <c r="AC17" s="818"/>
      <c r="AD17" s="823" t="s">
        <v>1465</v>
      </c>
      <c r="AE17" s="819"/>
      <c r="AF17" s="288"/>
      <c r="AG17" s="308"/>
      <c r="AH17" s="308" t="s">
        <v>2269</v>
      </c>
      <c r="AI17" s="308" t="s">
        <v>3118</v>
      </c>
      <c r="AJ17" s="308"/>
      <c r="AK17" s="308" t="s">
        <v>3119</v>
      </c>
      <c r="AL17" s="308" t="s">
        <v>3120</v>
      </c>
      <c r="AM17" s="308"/>
      <c r="AN17" s="308"/>
      <c r="AO17" s="308"/>
      <c r="AP17" s="1393" t="s">
        <v>3121</v>
      </c>
      <c r="AQ17" s="1393"/>
      <c r="AR17" s="1393" t="s">
        <v>3122</v>
      </c>
      <c r="AS17" s="308"/>
      <c r="AT17" s="308"/>
      <c r="AU17" s="308"/>
      <c r="AV17" s="1393"/>
      <c r="AW17" s="1393" t="s">
        <v>3123</v>
      </c>
      <c r="AX17" s="1393" t="s">
        <v>3124</v>
      </c>
    </row>
    <row r="18" spans="1:50" x14ac:dyDescent="0.3">
      <c r="A18" s="208"/>
      <c r="B18" s="930" t="s">
        <v>1463</v>
      </c>
      <c r="C18" s="288"/>
      <c r="D18" s="288" t="s">
        <v>1089</v>
      </c>
      <c r="E18" s="288"/>
      <c r="F18" s="288"/>
      <c r="G18" s="288"/>
      <c r="H18" s="288"/>
      <c r="I18" s="288"/>
      <c r="J18" s="288" t="s">
        <v>1142</v>
      </c>
      <c r="K18" s="288" t="s">
        <v>1151</v>
      </c>
      <c r="L18" s="929" t="s">
        <v>829</v>
      </c>
      <c r="M18" s="288"/>
      <c r="N18" s="288"/>
      <c r="O18" s="288" t="s">
        <v>915</v>
      </c>
      <c r="P18" s="288" t="s">
        <v>499</v>
      </c>
      <c r="Q18" s="288" t="s">
        <v>176</v>
      </c>
      <c r="R18" s="288"/>
      <c r="S18" s="288"/>
      <c r="T18" s="288" t="s">
        <v>1220</v>
      </c>
      <c r="U18" s="288"/>
      <c r="V18" s="288"/>
      <c r="W18" s="288" t="s">
        <v>1238</v>
      </c>
      <c r="X18" s="288"/>
      <c r="Y18" s="288" t="s">
        <v>1250</v>
      </c>
      <c r="Z18" s="288"/>
      <c r="AA18" s="785">
        <v>10</v>
      </c>
      <c r="AB18" s="288" t="s">
        <v>1282</v>
      </c>
      <c r="AC18" s="818"/>
      <c r="AD18" s="822" t="s">
        <v>339</v>
      </c>
      <c r="AE18" s="819"/>
      <c r="AF18" s="288"/>
      <c r="AG18" s="308"/>
      <c r="AH18" s="308" t="s">
        <v>2270</v>
      </c>
      <c r="AI18" s="308"/>
      <c r="AJ18" s="308"/>
      <c r="AK18" s="308" t="s">
        <v>3125</v>
      </c>
      <c r="AL18" s="308" t="s">
        <v>3126</v>
      </c>
      <c r="AM18" s="308"/>
      <c r="AN18" s="308"/>
      <c r="AO18" s="308"/>
      <c r="AP18" s="1393" t="s">
        <v>3127</v>
      </c>
      <c r="AQ18" s="1393"/>
      <c r="AR18" s="1393" t="s">
        <v>3128</v>
      </c>
      <c r="AS18" s="308"/>
      <c r="AT18" s="308"/>
      <c r="AU18" s="308"/>
      <c r="AV18" s="1393"/>
      <c r="AW18" s="1393" t="s">
        <v>3129</v>
      </c>
      <c r="AX18" s="1393" t="s">
        <v>3130</v>
      </c>
    </row>
    <row r="19" spans="1:50" x14ac:dyDescent="0.3">
      <c r="A19" s="208"/>
      <c r="B19" s="930" t="s">
        <v>1463</v>
      </c>
      <c r="C19" s="288"/>
      <c r="D19" s="288" t="s">
        <v>1307</v>
      </c>
      <c r="E19" s="288"/>
      <c r="F19" s="288"/>
      <c r="G19" s="288"/>
      <c r="H19" s="288"/>
      <c r="I19" s="288"/>
      <c r="J19" s="288" t="s">
        <v>1143</v>
      </c>
      <c r="K19" s="288" t="s">
        <v>1152</v>
      </c>
      <c r="L19" s="929" t="s">
        <v>809</v>
      </c>
      <c r="M19" s="288"/>
      <c r="N19" s="288"/>
      <c r="O19" s="288" t="s">
        <v>916</v>
      </c>
      <c r="P19" s="288" t="s">
        <v>1207</v>
      </c>
      <c r="Q19" s="288" t="s">
        <v>172</v>
      </c>
      <c r="R19" s="288"/>
      <c r="S19" s="288"/>
      <c r="T19" s="288" t="s">
        <v>1221</v>
      </c>
      <c r="U19" s="288"/>
      <c r="V19" s="288"/>
      <c r="W19" s="288"/>
      <c r="X19" s="288"/>
      <c r="Y19" s="288" t="s">
        <v>1251</v>
      </c>
      <c r="Z19" s="288"/>
      <c r="AA19" s="786"/>
      <c r="AB19" s="288" t="s">
        <v>1283</v>
      </c>
      <c r="AC19" s="818"/>
      <c r="AD19" s="822" t="s">
        <v>340</v>
      </c>
      <c r="AE19" s="819"/>
      <c r="AF19" s="288"/>
      <c r="AG19" s="308"/>
      <c r="AH19" s="308" t="s">
        <v>2271</v>
      </c>
      <c r="AI19" s="308"/>
      <c r="AJ19" s="308"/>
      <c r="AK19" s="308" t="s">
        <v>3131</v>
      </c>
      <c r="AL19" s="308" t="s">
        <v>3132</v>
      </c>
      <c r="AM19" s="308"/>
      <c r="AN19" s="308"/>
      <c r="AO19" s="308"/>
      <c r="AP19" s="1393" t="s">
        <v>3133</v>
      </c>
      <c r="AQ19" s="308"/>
      <c r="AR19" s="308"/>
      <c r="AS19" s="308"/>
      <c r="AT19" s="308"/>
      <c r="AU19" s="308"/>
      <c r="AV19" s="1393"/>
      <c r="AW19" s="1393" t="s">
        <v>3134</v>
      </c>
      <c r="AX19" s="1393" t="s">
        <v>3135</v>
      </c>
    </row>
    <row r="20" spans="1:50" x14ac:dyDescent="0.3">
      <c r="A20" s="208"/>
      <c r="B20" s="930" t="s">
        <v>1487</v>
      </c>
      <c r="C20" s="288"/>
      <c r="D20" s="288" t="s">
        <v>1090</v>
      </c>
      <c r="E20" s="288"/>
      <c r="F20" s="288"/>
      <c r="G20" s="288"/>
      <c r="H20" s="288"/>
      <c r="I20" s="288"/>
      <c r="J20" s="288" t="s">
        <v>1144</v>
      </c>
      <c r="K20" s="288" t="s">
        <v>1136</v>
      </c>
      <c r="L20" s="929" t="s">
        <v>1182</v>
      </c>
      <c r="M20" s="288"/>
      <c r="N20" s="288"/>
      <c r="O20" s="288" t="s">
        <v>917</v>
      </c>
      <c r="P20" s="288" t="s">
        <v>1208</v>
      </c>
      <c r="Q20" s="288" t="s">
        <v>886</v>
      </c>
      <c r="R20" s="288"/>
      <c r="S20" s="288"/>
      <c r="T20" s="288" t="s">
        <v>1222</v>
      </c>
      <c r="U20" s="288"/>
      <c r="V20" s="288"/>
      <c r="W20" s="288"/>
      <c r="X20" s="288"/>
      <c r="Y20" s="288" t="s">
        <v>934</v>
      </c>
      <c r="Z20" s="288"/>
      <c r="AA20" s="786"/>
      <c r="AB20" s="288" t="s">
        <v>958</v>
      </c>
      <c r="AC20" s="818"/>
      <c r="AD20" s="822" t="s">
        <v>1288</v>
      </c>
      <c r="AE20" s="819"/>
      <c r="AF20" s="288"/>
      <c r="AG20" s="308"/>
      <c r="AH20" s="308" t="s">
        <v>2272</v>
      </c>
      <c r="AI20" s="308"/>
      <c r="AJ20" s="308"/>
      <c r="AK20" s="308" t="s">
        <v>3136</v>
      </c>
      <c r="AL20" s="308" t="s">
        <v>3137</v>
      </c>
      <c r="AM20" s="308"/>
      <c r="AN20" s="308"/>
      <c r="AO20" s="308"/>
      <c r="AP20" s="1393" t="s">
        <v>3138</v>
      </c>
      <c r="AQ20" s="308"/>
      <c r="AR20" s="308"/>
      <c r="AS20" s="308"/>
      <c r="AT20" s="308"/>
      <c r="AU20" s="308"/>
      <c r="AV20" s="1393"/>
      <c r="AW20" s="1393" t="s">
        <v>3139</v>
      </c>
      <c r="AX20" s="1393" t="s">
        <v>3140</v>
      </c>
    </row>
    <row r="21" spans="1:50" x14ac:dyDescent="0.3">
      <c r="A21" s="208"/>
      <c r="B21" s="929" t="s">
        <v>1059</v>
      </c>
      <c r="C21" s="288"/>
      <c r="D21" s="288" t="s">
        <v>1091</v>
      </c>
      <c r="E21" s="288"/>
      <c r="F21" s="288"/>
      <c r="G21" s="288"/>
      <c r="H21" s="288"/>
      <c r="I21" s="288"/>
      <c r="J21" s="288"/>
      <c r="K21" s="288" t="s">
        <v>1153</v>
      </c>
      <c r="L21" s="929" t="s">
        <v>810</v>
      </c>
      <c r="M21" s="288"/>
      <c r="N21" s="288"/>
      <c r="O21" s="288" t="s">
        <v>918</v>
      </c>
      <c r="P21" s="288" t="s">
        <v>143</v>
      </c>
      <c r="Q21" s="288" t="s">
        <v>885</v>
      </c>
      <c r="R21" s="288"/>
      <c r="S21" s="288"/>
      <c r="T21" s="288" t="s">
        <v>503</v>
      </c>
      <c r="U21" s="288"/>
      <c r="V21" s="288"/>
      <c r="W21" s="288"/>
      <c r="X21" s="288"/>
      <c r="Y21" s="288" t="s">
        <v>1252</v>
      </c>
      <c r="Z21" s="288"/>
      <c r="AA21" s="786"/>
      <c r="AB21" s="288" t="s">
        <v>960</v>
      </c>
      <c r="AC21" s="818"/>
      <c r="AD21" s="822" t="s">
        <v>168</v>
      </c>
      <c r="AE21" s="819"/>
      <c r="AF21" s="288"/>
      <c r="AG21" s="308"/>
      <c r="AH21" s="308" t="s">
        <v>2273</v>
      </c>
      <c r="AI21" s="308"/>
      <c r="AJ21" s="308"/>
      <c r="AK21" s="308" t="s">
        <v>3141</v>
      </c>
      <c r="AL21" s="308" t="s">
        <v>3142</v>
      </c>
      <c r="AM21" s="308"/>
      <c r="AN21" s="308"/>
      <c r="AO21" s="308"/>
      <c r="AP21" s="1393" t="s">
        <v>3143</v>
      </c>
      <c r="AQ21" s="308"/>
      <c r="AR21" s="308"/>
      <c r="AS21" s="308"/>
      <c r="AT21" s="308"/>
      <c r="AU21" s="308"/>
      <c r="AV21" s="1393"/>
      <c r="AW21" s="1393" t="s">
        <v>3144</v>
      </c>
      <c r="AX21" s="1393" t="s">
        <v>3145</v>
      </c>
    </row>
    <row r="22" spans="1:50" x14ac:dyDescent="0.3">
      <c r="A22" s="208"/>
      <c r="B22" s="929" t="s">
        <v>1060</v>
      </c>
      <c r="C22" s="288"/>
      <c r="D22" s="288" t="s">
        <v>1092</v>
      </c>
      <c r="E22" s="288"/>
      <c r="F22" s="288"/>
      <c r="G22" s="288"/>
      <c r="H22" s="288"/>
      <c r="I22" s="288"/>
      <c r="J22" s="288"/>
      <c r="K22" s="823" t="s">
        <v>1499</v>
      </c>
      <c r="L22" s="929" t="s">
        <v>976</v>
      </c>
      <c r="M22" s="288"/>
      <c r="N22" s="288"/>
      <c r="O22" s="288" t="s">
        <v>1197</v>
      </c>
      <c r="P22" s="288"/>
      <c r="Q22" s="288"/>
      <c r="R22" s="288"/>
      <c r="S22" s="288"/>
      <c r="T22" s="288" t="s">
        <v>1223</v>
      </c>
      <c r="U22" s="288"/>
      <c r="V22" s="288"/>
      <c r="W22" s="288"/>
      <c r="X22" s="288"/>
      <c r="Y22" s="288" t="s">
        <v>1253</v>
      </c>
      <c r="Z22" s="288"/>
      <c r="AA22" s="786"/>
      <c r="AB22" s="288" t="s">
        <v>957</v>
      </c>
      <c r="AC22" s="818"/>
      <c r="AD22" s="823" t="s">
        <v>1467</v>
      </c>
      <c r="AE22" s="819"/>
      <c r="AF22" s="288"/>
      <c r="AG22" s="308"/>
      <c r="AH22" s="308" t="s">
        <v>2274</v>
      </c>
      <c r="AI22" s="308"/>
      <c r="AJ22" s="308"/>
      <c r="AK22" s="308" t="s">
        <v>3146</v>
      </c>
      <c r="AL22" s="308" t="s">
        <v>3147</v>
      </c>
      <c r="AM22" s="308"/>
      <c r="AN22" s="308"/>
      <c r="AO22" s="308"/>
      <c r="AP22" s="1393" t="s">
        <v>3148</v>
      </c>
      <c r="AQ22" s="308"/>
      <c r="AR22" s="308"/>
      <c r="AS22" s="308"/>
      <c r="AT22" s="308"/>
      <c r="AU22" s="308"/>
      <c r="AV22" s="1393"/>
      <c r="AW22" s="1393" t="s">
        <v>3149</v>
      </c>
      <c r="AX22" s="1393" t="s">
        <v>3150</v>
      </c>
    </row>
    <row r="23" spans="1:50" x14ac:dyDescent="0.3">
      <c r="A23" s="208"/>
      <c r="B23" s="929" t="s">
        <v>842</v>
      </c>
      <c r="C23" s="288"/>
      <c r="D23" s="288" t="s">
        <v>353</v>
      </c>
      <c r="E23" s="288"/>
      <c r="F23" s="288"/>
      <c r="G23" s="288"/>
      <c r="H23" s="288"/>
      <c r="I23" s="288"/>
      <c r="J23" s="288"/>
      <c r="K23" s="288" t="s">
        <v>1137</v>
      </c>
      <c r="L23" s="929" t="s">
        <v>1183</v>
      </c>
      <c r="M23" s="288"/>
      <c r="N23" s="288"/>
      <c r="O23" s="823" t="s">
        <v>1491</v>
      </c>
      <c r="P23" s="288"/>
      <c r="Q23" s="288"/>
      <c r="R23" s="288"/>
      <c r="S23" s="288"/>
      <c r="T23" s="288" t="s">
        <v>1224</v>
      </c>
      <c r="U23" s="288"/>
      <c r="V23" s="288"/>
      <c r="W23" s="288"/>
      <c r="X23" s="288"/>
      <c r="Y23" s="288" t="s">
        <v>191</v>
      </c>
      <c r="Z23" s="288"/>
      <c r="AA23" s="786"/>
      <c r="AB23" s="288" t="s">
        <v>956</v>
      </c>
      <c r="AC23" s="818"/>
      <c r="AD23" s="822" t="s">
        <v>346</v>
      </c>
      <c r="AE23" s="819"/>
      <c r="AF23" s="288"/>
      <c r="AG23" s="308"/>
      <c r="AH23" s="308" t="s">
        <v>2275</v>
      </c>
      <c r="AI23" s="308"/>
      <c r="AJ23" s="308"/>
      <c r="AK23" s="308" t="s">
        <v>3151</v>
      </c>
      <c r="AL23" s="308" t="s">
        <v>3152</v>
      </c>
      <c r="AM23" s="308"/>
      <c r="AN23" s="308"/>
      <c r="AO23" s="308"/>
      <c r="AP23" s="1393" t="s">
        <v>3153</v>
      </c>
      <c r="AQ23" s="308"/>
      <c r="AR23" s="308"/>
      <c r="AS23" s="308"/>
      <c r="AT23" s="308"/>
      <c r="AU23" s="308"/>
      <c r="AV23" s="1393"/>
      <c r="AW23" s="1393" t="s">
        <v>3154</v>
      </c>
      <c r="AX23" s="1393" t="s">
        <v>3155</v>
      </c>
    </row>
    <row r="24" spans="1:50" x14ac:dyDescent="0.3">
      <c r="A24" s="208"/>
      <c r="B24" s="929" t="s">
        <v>1304</v>
      </c>
      <c r="C24" s="288"/>
      <c r="D24" s="288" t="s">
        <v>1093</v>
      </c>
      <c r="E24" s="288"/>
      <c r="F24" s="288"/>
      <c r="G24" s="288"/>
      <c r="H24" s="288"/>
      <c r="I24" s="288"/>
      <c r="J24" s="288"/>
      <c r="K24" s="288" t="s">
        <v>1154</v>
      </c>
      <c r="L24" s="929" t="s">
        <v>977</v>
      </c>
      <c r="M24" s="288"/>
      <c r="N24" s="288"/>
      <c r="O24" s="822" t="s">
        <v>102</v>
      </c>
      <c r="P24" s="288"/>
      <c r="Q24" s="288"/>
      <c r="R24" s="288"/>
      <c r="S24" s="288"/>
      <c r="T24" s="288" t="s">
        <v>495</v>
      </c>
      <c r="U24" s="288"/>
      <c r="V24" s="288"/>
      <c r="W24" s="288"/>
      <c r="X24" s="288"/>
      <c r="Y24" s="288" t="s">
        <v>1254</v>
      </c>
      <c r="Z24" s="288"/>
      <c r="AA24" s="786"/>
      <c r="AB24" s="288" t="s">
        <v>953</v>
      </c>
      <c r="AC24" s="818"/>
      <c r="AD24" s="308" t="s">
        <v>341</v>
      </c>
      <c r="AE24" s="819"/>
      <c r="AF24" s="288"/>
      <c r="AG24" s="308"/>
      <c r="AH24" s="308" t="s">
        <v>2276</v>
      </c>
      <c r="AI24" s="308"/>
      <c r="AJ24" s="308"/>
      <c r="AK24" s="308" t="s">
        <v>3156</v>
      </c>
      <c r="AL24" s="308" t="s">
        <v>3157</v>
      </c>
      <c r="AM24" s="308"/>
      <c r="AN24" s="308"/>
      <c r="AO24" s="308"/>
      <c r="AP24" s="1393" t="s">
        <v>3158</v>
      </c>
      <c r="AQ24" s="308"/>
      <c r="AR24" s="308"/>
      <c r="AS24" s="308"/>
      <c r="AT24" s="308"/>
      <c r="AU24" s="308"/>
      <c r="AV24" s="1393"/>
      <c r="AW24" s="1393" t="s">
        <v>3159</v>
      </c>
      <c r="AX24" s="1393" t="s">
        <v>3160</v>
      </c>
    </row>
    <row r="25" spans="1:50" x14ac:dyDescent="0.3">
      <c r="A25" s="208"/>
      <c r="B25" s="929" t="s">
        <v>843</v>
      </c>
      <c r="C25" s="288"/>
      <c r="D25" s="288" t="s">
        <v>1105</v>
      </c>
      <c r="E25" s="288"/>
      <c r="F25" s="288"/>
      <c r="G25" s="288"/>
      <c r="H25" s="288"/>
      <c r="I25" s="288"/>
      <c r="J25" s="288"/>
      <c r="K25" s="288" t="s">
        <v>1155</v>
      </c>
      <c r="L25" s="929" t="s">
        <v>811</v>
      </c>
      <c r="M25" s="288"/>
      <c r="N25" s="288"/>
      <c r="O25" s="822" t="s">
        <v>1198</v>
      </c>
      <c r="P25" s="288"/>
      <c r="Q25" s="288"/>
      <c r="R25" s="288"/>
      <c r="S25" s="288"/>
      <c r="T25" s="288" t="s">
        <v>1225</v>
      </c>
      <c r="U25" s="288"/>
      <c r="V25" s="288"/>
      <c r="W25" s="288"/>
      <c r="X25" s="288"/>
      <c r="Y25" s="288" t="s">
        <v>192</v>
      </c>
      <c r="Z25" s="288"/>
      <c r="AA25" s="786"/>
      <c r="AB25" s="288"/>
      <c r="AC25" s="818"/>
      <c r="AD25" s="308" t="s">
        <v>1290</v>
      </c>
      <c r="AE25" s="819"/>
      <c r="AF25" s="288"/>
      <c r="AG25" s="308"/>
      <c r="AH25" s="308" t="s">
        <v>2942</v>
      </c>
      <c r="AI25" s="308"/>
      <c r="AJ25" s="308"/>
      <c r="AK25" s="308" t="s">
        <v>3161</v>
      </c>
      <c r="AL25" s="308" t="s">
        <v>3162</v>
      </c>
      <c r="AM25" s="308"/>
      <c r="AN25" s="308"/>
      <c r="AO25" s="308"/>
      <c r="AP25" s="1393" t="s">
        <v>3163</v>
      </c>
      <c r="AQ25" s="308"/>
      <c r="AR25" s="308"/>
      <c r="AS25" s="308"/>
      <c r="AT25" s="308"/>
      <c r="AU25" s="308"/>
      <c r="AV25" s="1393"/>
      <c r="AW25" s="1393" t="s">
        <v>3164</v>
      </c>
      <c r="AX25" s="1393" t="s">
        <v>3165</v>
      </c>
    </row>
    <row r="26" spans="1:50" x14ac:dyDescent="0.3">
      <c r="A26" s="208"/>
      <c r="B26" s="929" t="s">
        <v>844</v>
      </c>
      <c r="C26" s="288"/>
      <c r="D26" s="288" t="s">
        <v>1094</v>
      </c>
      <c r="E26" s="288"/>
      <c r="F26" s="288"/>
      <c r="G26" s="288"/>
      <c r="H26" s="288"/>
      <c r="I26" s="288"/>
      <c r="J26" s="288"/>
      <c r="K26" s="288" t="s">
        <v>143</v>
      </c>
      <c r="L26" s="929" t="s">
        <v>1184</v>
      </c>
      <c r="M26" s="288"/>
      <c r="N26" s="288"/>
      <c r="O26" s="822" t="s">
        <v>1199</v>
      </c>
      <c r="P26" s="288"/>
      <c r="Q26" s="288"/>
      <c r="R26" s="288"/>
      <c r="S26" s="288"/>
      <c r="T26" s="288" t="s">
        <v>506</v>
      </c>
      <c r="U26" s="288"/>
      <c r="V26" s="288"/>
      <c r="W26" s="288"/>
      <c r="X26" s="288"/>
      <c r="Y26" s="288" t="s">
        <v>1255</v>
      </c>
      <c r="Z26" s="288"/>
      <c r="AA26" s="786"/>
      <c r="AB26" s="288"/>
      <c r="AC26" s="818"/>
      <c r="AD26" s="308" t="s">
        <v>1289</v>
      </c>
      <c r="AE26" s="819"/>
      <c r="AF26" s="288"/>
      <c r="AG26" s="308"/>
      <c r="AH26" s="308" t="s">
        <v>2278</v>
      </c>
      <c r="AI26" s="308"/>
      <c r="AJ26" s="308"/>
      <c r="AK26" s="308" t="s">
        <v>3166</v>
      </c>
      <c r="AL26" s="308" t="s">
        <v>3167</v>
      </c>
      <c r="AM26" s="308"/>
      <c r="AN26" s="308"/>
      <c r="AO26" s="308"/>
      <c r="AP26" s="1393" t="s">
        <v>3168</v>
      </c>
      <c r="AQ26" s="308"/>
      <c r="AR26" s="308"/>
      <c r="AS26" s="308"/>
      <c r="AT26" s="308"/>
      <c r="AU26" s="308"/>
      <c r="AV26" s="1393"/>
      <c r="AW26" s="1393" t="s">
        <v>3169</v>
      </c>
      <c r="AX26" s="1393" t="s">
        <v>3170</v>
      </c>
    </row>
    <row r="27" spans="1:50" x14ac:dyDescent="0.3">
      <c r="A27" s="208"/>
      <c r="B27" s="929" t="s">
        <v>944</v>
      </c>
      <c r="C27" s="288"/>
      <c r="D27" s="288" t="s">
        <v>354</v>
      </c>
      <c r="E27" s="288"/>
      <c r="F27" s="288"/>
      <c r="G27" s="288"/>
      <c r="H27" s="288"/>
      <c r="I27" s="288"/>
      <c r="J27" s="288"/>
      <c r="K27" s="288" t="s">
        <v>1156</v>
      </c>
      <c r="L27" s="929" t="s">
        <v>812</v>
      </c>
      <c r="M27" s="288"/>
      <c r="N27" s="288"/>
      <c r="O27" s="822" t="s">
        <v>1200</v>
      </c>
      <c r="P27" s="288"/>
      <c r="Q27" s="288"/>
      <c r="R27" s="288"/>
      <c r="S27" s="288"/>
      <c r="T27" s="288" t="s">
        <v>1226</v>
      </c>
      <c r="U27" s="288"/>
      <c r="V27" s="288"/>
      <c r="W27" s="288"/>
      <c r="X27" s="288"/>
      <c r="Y27" s="288" t="s">
        <v>1256</v>
      </c>
      <c r="Z27" s="288"/>
      <c r="AA27" s="786"/>
      <c r="AB27" s="288"/>
      <c r="AC27" s="288"/>
      <c r="AD27" s="288"/>
      <c r="AE27" s="288"/>
      <c r="AF27" s="288"/>
      <c r="AG27" s="308"/>
      <c r="AH27" s="308" t="s">
        <v>2279</v>
      </c>
      <c r="AI27" s="308"/>
      <c r="AJ27" s="308"/>
      <c r="AK27" s="308" t="s">
        <v>3171</v>
      </c>
      <c r="AL27" s="308" t="s">
        <v>3172</v>
      </c>
      <c r="AM27" s="308"/>
      <c r="AN27" s="308"/>
      <c r="AO27" s="308"/>
      <c r="AP27" s="1393" t="s">
        <v>3173</v>
      </c>
      <c r="AQ27" s="308"/>
      <c r="AR27" s="308"/>
      <c r="AS27" s="308"/>
      <c r="AT27" s="308"/>
      <c r="AU27" s="308"/>
      <c r="AV27" s="1393"/>
      <c r="AW27" s="1393" t="s">
        <v>3174</v>
      </c>
      <c r="AX27" s="1393" t="s">
        <v>3175</v>
      </c>
    </row>
    <row r="28" spans="1:50" x14ac:dyDescent="0.3">
      <c r="A28" s="208"/>
      <c r="B28" s="929" t="s">
        <v>1061</v>
      </c>
      <c r="C28" s="288"/>
      <c r="D28" s="288" t="s">
        <v>1095</v>
      </c>
      <c r="E28" s="288"/>
      <c r="F28" s="288"/>
      <c r="G28" s="288"/>
      <c r="H28" s="288"/>
      <c r="I28" s="288"/>
      <c r="J28" s="288"/>
      <c r="K28" s="288" t="s">
        <v>1157</v>
      </c>
      <c r="L28" s="929" t="s">
        <v>978</v>
      </c>
      <c r="M28" s="288"/>
      <c r="N28" s="288"/>
      <c r="O28" s="823" t="s">
        <v>1474</v>
      </c>
      <c r="P28" s="288"/>
      <c r="Q28" s="288"/>
      <c r="R28" s="288"/>
      <c r="S28" s="288"/>
      <c r="T28" s="288" t="s">
        <v>505</v>
      </c>
      <c r="U28" s="288"/>
      <c r="V28" s="288"/>
      <c r="W28" s="288"/>
      <c r="X28" s="288"/>
      <c r="Y28" s="288" t="s">
        <v>1257</v>
      </c>
      <c r="Z28" s="288"/>
      <c r="AA28" s="786"/>
      <c r="AB28" s="288"/>
      <c r="AC28" s="288"/>
      <c r="AD28" s="288"/>
      <c r="AE28" s="288"/>
      <c r="AF28" s="822"/>
      <c r="AG28" s="822"/>
      <c r="AH28" s="822" t="s">
        <v>2280</v>
      </c>
      <c r="AI28" s="822"/>
      <c r="AJ28" s="822"/>
      <c r="AK28" s="308" t="s">
        <v>3176</v>
      </c>
      <c r="AL28" s="308" t="s">
        <v>3177</v>
      </c>
      <c r="AM28" s="822"/>
      <c r="AN28" s="822"/>
      <c r="AO28" s="822"/>
      <c r="AP28" s="1393" t="s">
        <v>3178</v>
      </c>
      <c r="AQ28" s="822"/>
      <c r="AR28" s="822"/>
      <c r="AS28" s="822"/>
      <c r="AT28" s="822"/>
      <c r="AU28" s="822"/>
      <c r="AV28" s="1393"/>
      <c r="AW28" s="1393" t="s">
        <v>3105</v>
      </c>
      <c r="AX28" s="1393" t="s">
        <v>3179</v>
      </c>
    </row>
    <row r="29" spans="1:50" x14ac:dyDescent="0.3">
      <c r="A29" s="208"/>
      <c r="B29" s="929" t="s">
        <v>845</v>
      </c>
      <c r="C29" s="288"/>
      <c r="D29" s="824" t="s">
        <v>1468</v>
      </c>
      <c r="E29" s="288"/>
      <c r="F29" s="288"/>
      <c r="G29" s="288"/>
      <c r="H29" s="288"/>
      <c r="I29" s="288"/>
      <c r="J29" s="288"/>
      <c r="K29" s="288" t="s">
        <v>93</v>
      </c>
      <c r="L29" s="929" t="s">
        <v>813</v>
      </c>
      <c r="M29" s="288"/>
      <c r="N29" s="288"/>
      <c r="O29" s="288" t="s">
        <v>59</v>
      </c>
      <c r="P29" s="288"/>
      <c r="Q29" s="288"/>
      <c r="R29" s="288"/>
      <c r="S29" s="288"/>
      <c r="T29" s="288" t="s">
        <v>1227</v>
      </c>
      <c r="U29" s="288"/>
      <c r="V29" s="288"/>
      <c r="W29" s="288"/>
      <c r="X29" s="288"/>
      <c r="Y29" s="288" t="s">
        <v>1258</v>
      </c>
      <c r="Z29" s="288"/>
      <c r="AA29" s="786"/>
      <c r="AB29" s="288"/>
      <c r="AC29" s="288"/>
      <c r="AD29" s="288"/>
      <c r="AE29" s="288"/>
      <c r="AF29" s="288"/>
      <c r="AG29" s="308"/>
      <c r="AH29" s="308" t="s">
        <v>2943</v>
      </c>
      <c r="AI29" s="308"/>
      <c r="AJ29" s="308"/>
      <c r="AK29" s="308"/>
      <c r="AL29" s="308" t="s">
        <v>3180</v>
      </c>
      <c r="AM29" s="308"/>
      <c r="AN29" s="308"/>
      <c r="AO29" s="308"/>
      <c r="AP29" s="1393" t="s">
        <v>3181</v>
      </c>
      <c r="AQ29" s="308"/>
      <c r="AR29" s="308"/>
      <c r="AS29" s="308"/>
      <c r="AT29" s="308"/>
      <c r="AU29" s="308"/>
      <c r="AV29" s="1393"/>
      <c r="AW29" s="1393" t="s">
        <v>3182</v>
      </c>
      <c r="AX29" s="1393" t="s">
        <v>2748</v>
      </c>
    </row>
    <row r="30" spans="1:50" x14ac:dyDescent="0.3">
      <c r="A30" s="208"/>
      <c r="B30" s="930" t="s">
        <v>845</v>
      </c>
      <c r="C30" s="288"/>
      <c r="D30" s="288" t="s">
        <v>1096</v>
      </c>
      <c r="E30" s="288"/>
      <c r="F30" s="288"/>
      <c r="G30" s="288"/>
      <c r="H30" s="288"/>
      <c r="I30" s="288"/>
      <c r="J30" s="288"/>
      <c r="K30" s="288" t="s">
        <v>1158</v>
      </c>
      <c r="L30" s="929" t="s">
        <v>814</v>
      </c>
      <c r="M30" s="288"/>
      <c r="N30" s="288"/>
      <c r="O30" s="288" t="s">
        <v>376</v>
      </c>
      <c r="P30" s="288"/>
      <c r="Q30" s="288"/>
      <c r="R30" s="288"/>
      <c r="S30" s="288"/>
      <c r="T30" s="288" t="s">
        <v>1228</v>
      </c>
      <c r="U30" s="288"/>
      <c r="V30" s="288"/>
      <c r="W30" s="288"/>
      <c r="X30" s="288"/>
      <c r="Y30" s="288" t="s">
        <v>1259</v>
      </c>
      <c r="Z30" s="288"/>
      <c r="AA30" s="786"/>
      <c r="AB30" s="288"/>
      <c r="AC30" s="288"/>
      <c r="AD30" s="288"/>
      <c r="AE30" s="288"/>
      <c r="AF30" s="288"/>
      <c r="AG30" s="308"/>
      <c r="AH30" s="308" t="s">
        <v>2944</v>
      </c>
      <c r="AI30" s="308"/>
      <c r="AJ30" s="308"/>
      <c r="AK30" s="308"/>
      <c r="AL30" s="308" t="s">
        <v>3183</v>
      </c>
      <c r="AM30" s="308"/>
      <c r="AN30" s="308"/>
      <c r="AO30" s="308"/>
      <c r="AP30" s="1393" t="s">
        <v>3184</v>
      </c>
      <c r="AQ30" s="308"/>
      <c r="AR30" s="308"/>
      <c r="AS30" s="308"/>
      <c r="AT30" s="308"/>
      <c r="AU30" s="308"/>
      <c r="AV30" s="1393"/>
      <c r="AW30" s="1393" t="s">
        <v>3185</v>
      </c>
      <c r="AX30" s="1393" t="s">
        <v>3186</v>
      </c>
    </row>
    <row r="31" spans="1:50" x14ac:dyDescent="0.3">
      <c r="A31" s="208"/>
      <c r="B31" s="930" t="s">
        <v>845</v>
      </c>
      <c r="C31" s="288"/>
      <c r="D31" s="288" t="s">
        <v>1097</v>
      </c>
      <c r="E31" s="288"/>
      <c r="F31" s="288"/>
      <c r="G31" s="288"/>
      <c r="H31" s="288"/>
      <c r="I31" s="288"/>
      <c r="J31" s="288"/>
      <c r="K31" s="288" t="s">
        <v>1159</v>
      </c>
      <c r="L31" s="929" t="s">
        <v>979</v>
      </c>
      <c r="M31" s="288"/>
      <c r="N31" s="288"/>
      <c r="O31" s="288" t="s">
        <v>60</v>
      </c>
      <c r="P31" s="288"/>
      <c r="Q31" s="288"/>
      <c r="R31" s="288"/>
      <c r="S31" s="288"/>
      <c r="T31" s="288" t="s">
        <v>1229</v>
      </c>
      <c r="U31" s="288"/>
      <c r="V31" s="288"/>
      <c r="W31" s="288"/>
      <c r="X31" s="288"/>
      <c r="Y31" s="288" t="s">
        <v>1260</v>
      </c>
      <c r="Z31" s="288"/>
      <c r="AA31" s="786"/>
      <c r="AB31" s="288"/>
      <c r="AC31" s="288"/>
      <c r="AD31" s="288"/>
      <c r="AE31" s="288"/>
      <c r="AF31" s="288"/>
      <c r="AG31" s="308"/>
      <c r="AH31" s="308" t="s">
        <v>2945</v>
      </c>
      <c r="AI31" s="308"/>
      <c r="AJ31" s="308"/>
      <c r="AK31" s="308"/>
      <c r="AL31" s="308" t="s">
        <v>3187</v>
      </c>
      <c r="AM31" s="308"/>
      <c r="AN31" s="308"/>
      <c r="AO31" s="308"/>
      <c r="AP31" s="1393" t="s">
        <v>3188</v>
      </c>
      <c r="AQ31" s="308"/>
      <c r="AR31" s="308"/>
      <c r="AS31" s="308"/>
      <c r="AT31" s="308"/>
      <c r="AU31" s="308"/>
      <c r="AV31" s="1393"/>
      <c r="AW31" s="1393" t="s">
        <v>3189</v>
      </c>
      <c r="AX31" s="1393" t="s">
        <v>3190</v>
      </c>
    </row>
    <row r="32" spans="1:50" x14ac:dyDescent="0.3">
      <c r="A32" s="208"/>
      <c r="B32" s="929" t="s">
        <v>1062</v>
      </c>
      <c r="C32" s="288"/>
      <c r="D32" s="288" t="s">
        <v>1098</v>
      </c>
      <c r="E32" s="288"/>
      <c r="F32" s="288"/>
      <c r="G32" s="288"/>
      <c r="H32" s="288"/>
      <c r="I32" s="288"/>
      <c r="J32" s="288"/>
      <c r="K32" s="288" t="s">
        <v>1160</v>
      </c>
      <c r="L32" s="929" t="s">
        <v>1185</v>
      </c>
      <c r="M32" s="288"/>
      <c r="N32" s="288"/>
      <c r="O32" s="288" t="s">
        <v>61</v>
      </c>
      <c r="P32" s="288"/>
      <c r="Q32" s="288"/>
      <c r="R32" s="288"/>
      <c r="S32" s="288"/>
      <c r="T32" s="288" t="s">
        <v>1299</v>
      </c>
      <c r="U32" s="288"/>
      <c r="V32" s="288"/>
      <c r="W32" s="288"/>
      <c r="X32" s="288"/>
      <c r="Y32" s="288" t="s">
        <v>188</v>
      </c>
      <c r="Z32" s="288"/>
      <c r="AA32" s="786"/>
      <c r="AB32" s="288"/>
      <c r="AC32" s="288"/>
      <c r="AD32" s="288"/>
      <c r="AE32" s="288"/>
      <c r="AF32" s="288"/>
      <c r="AG32" s="308"/>
      <c r="AH32" s="308" t="s">
        <v>2946</v>
      </c>
      <c r="AI32" s="308"/>
      <c r="AJ32" s="308"/>
      <c r="AK32" s="308"/>
      <c r="AL32" s="308" t="s">
        <v>3191</v>
      </c>
      <c r="AM32" s="308"/>
      <c r="AN32" s="308"/>
      <c r="AO32" s="308"/>
      <c r="AP32" s="1393" t="s">
        <v>3192</v>
      </c>
      <c r="AQ32" s="308"/>
      <c r="AR32" s="308"/>
      <c r="AS32" s="308"/>
      <c r="AT32" s="308"/>
      <c r="AU32" s="308"/>
      <c r="AV32" s="1393"/>
      <c r="AW32" s="1393" t="s">
        <v>3110</v>
      </c>
      <c r="AX32" s="1393" t="s">
        <v>3097</v>
      </c>
    </row>
    <row r="33" spans="1:50" x14ac:dyDescent="0.3">
      <c r="A33" s="208"/>
      <c r="B33" s="930" t="s">
        <v>1510</v>
      </c>
      <c r="C33" s="288"/>
      <c r="D33" s="288" t="s">
        <v>1310</v>
      </c>
      <c r="E33" s="288"/>
      <c r="F33" s="288"/>
      <c r="G33" s="288"/>
      <c r="H33" s="288"/>
      <c r="I33" s="288"/>
      <c r="J33" s="288"/>
      <c r="K33" s="288" t="s">
        <v>1161</v>
      </c>
      <c r="L33" s="929" t="s">
        <v>815</v>
      </c>
      <c r="M33" s="288"/>
      <c r="N33" s="288"/>
      <c r="O33" s="288" t="s">
        <v>62</v>
      </c>
      <c r="P33" s="288"/>
      <c r="Q33" s="288"/>
      <c r="R33" s="288"/>
      <c r="S33" s="288"/>
      <c r="T33" s="288" t="s">
        <v>1230</v>
      </c>
      <c r="U33" s="288"/>
      <c r="V33" s="288"/>
      <c r="W33" s="288"/>
      <c r="X33" s="288"/>
      <c r="Y33" s="288" t="s">
        <v>1261</v>
      </c>
      <c r="Z33" s="288"/>
      <c r="AA33" s="786"/>
      <c r="AB33" s="288"/>
      <c r="AC33" s="288"/>
      <c r="AD33" s="288"/>
      <c r="AE33" s="288"/>
      <c r="AF33" s="288"/>
      <c r="AG33" s="308"/>
      <c r="AH33" s="308" t="s">
        <v>2947</v>
      </c>
      <c r="AI33" s="308"/>
      <c r="AJ33" s="308"/>
      <c r="AK33" s="308"/>
      <c r="AL33" s="308" t="s">
        <v>3193</v>
      </c>
      <c r="AM33" s="308"/>
      <c r="AN33" s="308"/>
      <c r="AO33" s="308"/>
      <c r="AP33" s="1393" t="s">
        <v>3194</v>
      </c>
      <c r="AQ33" s="308"/>
      <c r="AR33" s="308"/>
      <c r="AS33" s="308"/>
      <c r="AT33" s="308"/>
      <c r="AU33" s="308"/>
      <c r="AV33" s="1393"/>
      <c r="AW33" s="1393" t="s">
        <v>196</v>
      </c>
      <c r="AX33" s="1393"/>
    </row>
    <row r="34" spans="1:50" x14ac:dyDescent="0.3">
      <c r="A34" s="208"/>
      <c r="B34" s="930" t="s">
        <v>1461</v>
      </c>
      <c r="C34" s="288"/>
      <c r="D34" s="288" t="s">
        <v>1099</v>
      </c>
      <c r="E34" s="288"/>
      <c r="F34" s="288"/>
      <c r="G34" s="288"/>
      <c r="H34" s="288"/>
      <c r="I34" s="288"/>
      <c r="J34" s="288"/>
      <c r="K34" s="288" t="s">
        <v>1138</v>
      </c>
      <c r="L34" s="929" t="s">
        <v>830</v>
      </c>
      <c r="M34" s="288"/>
      <c r="N34" s="288"/>
      <c r="O34" s="288" t="s">
        <v>63</v>
      </c>
      <c r="P34" s="288"/>
      <c r="Q34" s="288"/>
      <c r="R34" s="288"/>
      <c r="S34" s="288"/>
      <c r="T34" s="288" t="s">
        <v>1298</v>
      </c>
      <c r="U34" s="288"/>
      <c r="V34" s="288"/>
      <c r="W34" s="288"/>
      <c r="X34" s="288"/>
      <c r="Y34" s="288" t="s">
        <v>935</v>
      </c>
      <c r="Z34" s="288"/>
      <c r="AA34" s="786"/>
      <c r="AB34" s="288"/>
      <c r="AC34" s="288"/>
      <c r="AD34" s="288"/>
      <c r="AE34" s="288"/>
      <c r="AF34" s="288"/>
      <c r="AG34" s="308"/>
      <c r="AH34" s="308" t="s">
        <v>2948</v>
      </c>
      <c r="AI34" s="308"/>
      <c r="AJ34" s="308"/>
      <c r="AK34" s="308"/>
      <c r="AL34" s="308" t="s">
        <v>3195</v>
      </c>
      <c r="AM34" s="308"/>
      <c r="AN34" s="308"/>
      <c r="AO34" s="308"/>
      <c r="AP34" s="1393" t="s">
        <v>3196</v>
      </c>
      <c r="AQ34" s="308"/>
      <c r="AR34" s="308"/>
      <c r="AS34" s="308"/>
      <c r="AT34" s="308"/>
      <c r="AU34" s="308"/>
      <c r="AV34" s="308"/>
      <c r="AW34" s="308"/>
      <c r="AX34" s="308"/>
    </row>
    <row r="35" spans="1:50" x14ac:dyDescent="0.3">
      <c r="A35" s="208"/>
      <c r="B35" s="930" t="s">
        <v>1512</v>
      </c>
      <c r="C35" s="288"/>
      <c r="D35" s="288" t="s">
        <v>1100</v>
      </c>
      <c r="E35" s="288"/>
      <c r="F35" s="288"/>
      <c r="G35" s="288"/>
      <c r="H35" s="288"/>
      <c r="I35" s="288"/>
      <c r="J35" s="288"/>
      <c r="K35" s="288" t="s">
        <v>1139</v>
      </c>
      <c r="L35" s="929" t="s">
        <v>816</v>
      </c>
      <c r="M35" s="288"/>
      <c r="N35" s="288"/>
      <c r="O35" s="288" t="s">
        <v>64</v>
      </c>
      <c r="P35" s="288"/>
      <c r="Q35" s="288"/>
      <c r="R35" s="288"/>
      <c r="S35" s="288"/>
      <c r="T35" s="288" t="s">
        <v>1231</v>
      </c>
      <c r="U35" s="288"/>
      <c r="V35" s="288"/>
      <c r="W35" s="288"/>
      <c r="X35" s="288"/>
      <c r="Y35" s="288" t="s">
        <v>936</v>
      </c>
      <c r="Z35" s="288"/>
      <c r="AA35" s="786"/>
      <c r="AB35" s="288"/>
      <c r="AC35" s="288"/>
      <c r="AD35" s="288"/>
      <c r="AE35" s="288"/>
      <c r="AF35" s="288"/>
      <c r="AG35" s="308"/>
      <c r="AH35" s="308" t="s">
        <v>2949</v>
      </c>
      <c r="AI35" s="308"/>
      <c r="AJ35" s="308"/>
      <c r="AK35" s="308"/>
      <c r="AL35" s="308" t="s">
        <v>3197</v>
      </c>
      <c r="AM35" s="308"/>
      <c r="AN35" s="308"/>
      <c r="AO35" s="308"/>
      <c r="AP35" s="1393" t="s">
        <v>3198</v>
      </c>
      <c r="AQ35" s="308"/>
      <c r="AR35" s="308"/>
      <c r="AS35" s="308"/>
      <c r="AT35" s="308"/>
      <c r="AU35" s="308"/>
      <c r="AV35" s="308"/>
      <c r="AW35" s="308"/>
      <c r="AX35" s="308"/>
    </row>
    <row r="36" spans="1:50" x14ac:dyDescent="0.3">
      <c r="A36" s="208"/>
      <c r="B36" s="929" t="s">
        <v>1063</v>
      </c>
      <c r="C36" s="288"/>
      <c r="D36" s="288" t="s">
        <v>1101</v>
      </c>
      <c r="E36" s="288"/>
      <c r="F36" s="288"/>
      <c r="G36" s="288"/>
      <c r="H36" s="288"/>
      <c r="I36" s="288"/>
      <c r="J36" s="288"/>
      <c r="K36" s="288" t="s">
        <v>1162</v>
      </c>
      <c r="L36" s="929" t="s">
        <v>1186</v>
      </c>
      <c r="M36" s="288"/>
      <c r="N36" s="288"/>
      <c r="O36" s="288" t="s">
        <v>65</v>
      </c>
      <c r="P36" s="288"/>
      <c r="Q36" s="288"/>
      <c r="R36" s="288"/>
      <c r="S36" s="288"/>
      <c r="T36" s="288" t="s">
        <v>504</v>
      </c>
      <c r="U36" s="288"/>
      <c r="V36" s="288"/>
      <c r="W36" s="288"/>
      <c r="X36" s="288"/>
      <c r="Y36" s="288" t="s">
        <v>1262</v>
      </c>
      <c r="Z36" s="288"/>
      <c r="AA36" s="786"/>
      <c r="AB36" s="288"/>
      <c r="AC36" s="288"/>
      <c r="AD36" s="288"/>
      <c r="AE36" s="288"/>
      <c r="AF36" s="288"/>
      <c r="AG36" s="308"/>
      <c r="AH36" s="308" t="s">
        <v>2950</v>
      </c>
      <c r="AI36" s="308"/>
      <c r="AJ36" s="308"/>
      <c r="AK36" s="308"/>
      <c r="AL36" s="308" t="s">
        <v>3199</v>
      </c>
      <c r="AM36" s="308"/>
      <c r="AN36" s="308"/>
      <c r="AO36" s="308"/>
      <c r="AP36" s="1393" t="s">
        <v>3200</v>
      </c>
      <c r="AQ36" s="308"/>
      <c r="AR36" s="308"/>
      <c r="AS36" s="308"/>
      <c r="AT36" s="308"/>
      <c r="AU36" s="308"/>
      <c r="AV36" s="308"/>
      <c r="AW36" s="308"/>
      <c r="AX36" s="308"/>
    </row>
    <row r="37" spans="1:50" x14ac:dyDescent="0.3">
      <c r="A37" s="208"/>
      <c r="B37" s="929" t="s">
        <v>1064</v>
      </c>
      <c r="C37" s="288"/>
      <c r="D37" s="288" t="s">
        <v>981</v>
      </c>
      <c r="E37" s="288"/>
      <c r="F37" s="288"/>
      <c r="G37" s="288"/>
      <c r="H37" s="288"/>
      <c r="I37" s="288"/>
      <c r="J37" s="288"/>
      <c r="K37" s="288" t="s">
        <v>1163</v>
      </c>
      <c r="L37" s="929" t="s">
        <v>1189</v>
      </c>
      <c r="M37" s="288"/>
      <c r="N37" s="288"/>
      <c r="O37" s="823" t="s">
        <v>1472</v>
      </c>
      <c r="P37" s="288"/>
      <c r="Q37" s="288"/>
      <c r="R37" s="288"/>
      <c r="S37" s="288"/>
      <c r="T37" s="288" t="s">
        <v>1232</v>
      </c>
      <c r="U37" s="288"/>
      <c r="V37" s="288"/>
      <c r="W37" s="288"/>
      <c r="X37" s="288"/>
      <c r="Y37" s="288" t="s">
        <v>933</v>
      </c>
      <c r="Z37" s="288"/>
      <c r="AA37" s="786"/>
      <c r="AB37" s="288"/>
      <c r="AC37" s="288"/>
      <c r="AD37" s="288"/>
      <c r="AE37" s="288"/>
      <c r="AF37" s="288"/>
      <c r="AG37" s="308"/>
      <c r="AH37" s="308" t="s">
        <v>2951</v>
      </c>
      <c r="AI37" s="308"/>
      <c r="AJ37" s="308"/>
      <c r="AK37" s="308"/>
      <c r="AL37" s="308" t="s">
        <v>3201</v>
      </c>
      <c r="AM37" s="308"/>
      <c r="AN37" s="308"/>
      <c r="AO37" s="308"/>
      <c r="AP37" s="1393" t="s">
        <v>3202</v>
      </c>
      <c r="AQ37" s="308"/>
      <c r="AR37" s="308"/>
      <c r="AS37" s="308"/>
      <c r="AT37" s="308"/>
      <c r="AU37" s="308"/>
      <c r="AV37" s="308"/>
      <c r="AW37" s="308"/>
      <c r="AX37" s="308"/>
    </row>
    <row r="38" spans="1:50" x14ac:dyDescent="0.3">
      <c r="A38" s="208"/>
      <c r="B38" s="929" t="s">
        <v>846</v>
      </c>
      <c r="C38" s="288"/>
      <c r="D38" s="288" t="s">
        <v>1102</v>
      </c>
      <c r="E38" s="288"/>
      <c r="F38" s="288"/>
      <c r="G38" s="288"/>
      <c r="H38" s="288"/>
      <c r="I38" s="288"/>
      <c r="J38" s="288"/>
      <c r="K38" s="288" t="s">
        <v>1164</v>
      </c>
      <c r="L38" s="929" t="s">
        <v>107</v>
      </c>
      <c r="M38" s="288"/>
      <c r="N38" s="288"/>
      <c r="O38" s="823" t="s">
        <v>1473</v>
      </c>
      <c r="P38" s="288"/>
      <c r="Q38" s="288"/>
      <c r="R38" s="288"/>
      <c r="S38" s="288"/>
      <c r="T38" s="288"/>
      <c r="U38" s="288"/>
      <c r="V38" s="288"/>
      <c r="W38" s="288"/>
      <c r="X38" s="288"/>
      <c r="Y38" s="288" t="s">
        <v>1263</v>
      </c>
      <c r="Z38" s="288"/>
      <c r="AA38" s="786"/>
      <c r="AB38" s="288"/>
      <c r="AC38" s="288"/>
      <c r="AD38" s="288"/>
      <c r="AE38" s="288"/>
      <c r="AF38" s="288"/>
      <c r="AG38" s="308"/>
      <c r="AH38" s="308" t="s">
        <v>2952</v>
      </c>
      <c r="AI38" s="308"/>
      <c r="AJ38" s="308"/>
      <c r="AK38" s="308"/>
      <c r="AL38" s="308" t="s">
        <v>3203</v>
      </c>
      <c r="AM38" s="308"/>
      <c r="AN38" s="308"/>
      <c r="AO38" s="308"/>
      <c r="AP38" s="1393" t="s">
        <v>3204</v>
      </c>
      <c r="AQ38" s="308"/>
      <c r="AR38" s="308"/>
      <c r="AS38" s="308"/>
      <c r="AT38" s="308"/>
      <c r="AU38" s="308"/>
      <c r="AV38" s="308"/>
      <c r="AW38" s="308"/>
      <c r="AX38" s="308"/>
    </row>
    <row r="39" spans="1:50" x14ac:dyDescent="0.3">
      <c r="A39" s="208"/>
      <c r="B39" s="930" t="s">
        <v>1481</v>
      </c>
      <c r="C39" s="288"/>
      <c r="D39" s="288" t="s">
        <v>1103</v>
      </c>
      <c r="E39" s="288"/>
      <c r="F39" s="288"/>
      <c r="G39" s="288"/>
      <c r="H39" s="288"/>
      <c r="I39" s="288"/>
      <c r="J39" s="288"/>
      <c r="K39" s="823" t="s">
        <v>1503</v>
      </c>
      <c r="L39" s="929" t="s">
        <v>1187</v>
      </c>
      <c r="M39" s="288"/>
      <c r="N39" s="288"/>
      <c r="O39" s="288" t="s">
        <v>923</v>
      </c>
      <c r="P39" s="288"/>
      <c r="Q39" s="288"/>
      <c r="R39" s="288"/>
      <c r="S39" s="288"/>
      <c r="T39" s="288"/>
      <c r="U39" s="288"/>
      <c r="V39" s="288"/>
      <c r="W39" s="288"/>
      <c r="X39" s="288"/>
      <c r="Y39" s="288" t="s">
        <v>1264</v>
      </c>
      <c r="Z39" s="288"/>
      <c r="AA39" s="786"/>
      <c r="AB39" s="288"/>
      <c r="AC39" s="288"/>
      <c r="AD39" s="288"/>
      <c r="AE39" s="288"/>
      <c r="AF39" s="288"/>
      <c r="AG39" s="308"/>
      <c r="AH39" s="308" t="s">
        <v>2953</v>
      </c>
      <c r="AI39" s="308"/>
      <c r="AJ39" s="308"/>
      <c r="AK39" s="308"/>
      <c r="AL39" s="308" t="s">
        <v>3205</v>
      </c>
      <c r="AM39" s="308"/>
      <c r="AN39" s="308"/>
      <c r="AO39" s="308"/>
      <c r="AP39" s="1393" t="s">
        <v>3206</v>
      </c>
      <c r="AQ39" s="308"/>
      <c r="AR39" s="308"/>
      <c r="AS39" s="308"/>
      <c r="AT39" s="308"/>
      <c r="AU39" s="308"/>
      <c r="AV39" s="308"/>
      <c r="AW39" s="308"/>
      <c r="AX39" s="308"/>
    </row>
    <row r="40" spans="1:50" x14ac:dyDescent="0.3">
      <c r="A40" s="208"/>
      <c r="B40" s="929" t="s">
        <v>1065</v>
      </c>
      <c r="C40" s="288"/>
      <c r="D40" s="288" t="s">
        <v>1104</v>
      </c>
      <c r="E40" s="288"/>
      <c r="F40" s="288"/>
      <c r="G40" s="288"/>
      <c r="H40" s="288"/>
      <c r="I40" s="288"/>
      <c r="J40" s="288"/>
      <c r="K40" s="308" t="s">
        <v>94</v>
      </c>
      <c r="L40" s="930" t="s">
        <v>1470</v>
      </c>
      <c r="M40" s="288"/>
      <c r="N40" s="288"/>
      <c r="O40" s="288" t="s">
        <v>924</v>
      </c>
      <c r="P40" s="288"/>
      <c r="Q40" s="288"/>
      <c r="R40" s="288"/>
      <c r="S40" s="288"/>
      <c r="T40" s="288"/>
      <c r="U40" s="288"/>
      <c r="V40" s="288"/>
      <c r="W40" s="288"/>
      <c r="X40" s="288"/>
      <c r="Y40" s="288" t="s">
        <v>1265</v>
      </c>
      <c r="Z40" s="288"/>
      <c r="AA40" s="786"/>
      <c r="AB40" s="288"/>
      <c r="AC40" s="288"/>
      <c r="AD40" s="288"/>
      <c r="AE40" s="288"/>
      <c r="AF40" s="288"/>
      <c r="AG40" s="308"/>
      <c r="AH40" s="308" t="s">
        <v>2954</v>
      </c>
      <c r="AI40" s="308"/>
      <c r="AJ40" s="308"/>
      <c r="AK40" s="308"/>
      <c r="AL40" s="308" t="s">
        <v>3207</v>
      </c>
      <c r="AM40" s="308"/>
      <c r="AN40" s="308"/>
      <c r="AO40" s="308"/>
      <c r="AP40" s="1393" t="s">
        <v>3208</v>
      </c>
      <c r="AQ40" s="308"/>
      <c r="AR40" s="308"/>
      <c r="AS40" s="308"/>
      <c r="AT40" s="308"/>
      <c r="AU40" s="308"/>
      <c r="AV40" s="308"/>
      <c r="AW40" s="308"/>
      <c r="AX40" s="308"/>
    </row>
    <row r="41" spans="1:50" x14ac:dyDescent="0.3">
      <c r="A41" s="208"/>
      <c r="B41" s="929" t="s">
        <v>847</v>
      </c>
      <c r="C41" s="288"/>
      <c r="D41" s="288" t="s">
        <v>1106</v>
      </c>
      <c r="E41" s="288"/>
      <c r="F41" s="288"/>
      <c r="G41" s="288"/>
      <c r="H41" s="288"/>
      <c r="I41" s="288"/>
      <c r="J41" s="288"/>
      <c r="K41" s="308" t="s">
        <v>350</v>
      </c>
      <c r="L41" s="929" t="s">
        <v>940</v>
      </c>
      <c r="M41" s="288"/>
      <c r="N41" s="288"/>
      <c r="O41" s="288" t="s">
        <v>925</v>
      </c>
      <c r="P41" s="288"/>
      <c r="Q41" s="288"/>
      <c r="R41" s="288"/>
      <c r="S41" s="288"/>
      <c r="T41" s="288"/>
      <c r="U41" s="288"/>
      <c r="V41" s="288"/>
      <c r="W41" s="288"/>
      <c r="X41" s="288"/>
      <c r="Y41" s="288" t="s">
        <v>1266</v>
      </c>
      <c r="Z41" s="288"/>
      <c r="AA41" s="786"/>
      <c r="AB41" s="288"/>
      <c r="AC41" s="288"/>
      <c r="AD41" s="288"/>
      <c r="AE41" s="288"/>
      <c r="AF41" s="288"/>
      <c r="AG41" s="308"/>
      <c r="AH41" s="308" t="s">
        <v>2955</v>
      </c>
      <c r="AI41" s="308"/>
      <c r="AJ41" s="308"/>
      <c r="AK41" s="308"/>
      <c r="AL41" s="308" t="s">
        <v>3209</v>
      </c>
      <c r="AM41" s="308"/>
      <c r="AN41" s="308"/>
      <c r="AO41" s="308"/>
      <c r="AP41" s="1393" t="s">
        <v>3210</v>
      </c>
      <c r="AQ41" s="308"/>
      <c r="AR41" s="308"/>
      <c r="AS41" s="308"/>
      <c r="AT41" s="308"/>
      <c r="AU41" s="308"/>
      <c r="AV41" s="308"/>
      <c r="AW41" s="308"/>
      <c r="AX41" s="308"/>
    </row>
    <row r="42" spans="1:50" x14ac:dyDescent="0.3">
      <c r="A42" s="208"/>
      <c r="B42" s="930" t="s">
        <v>1514</v>
      </c>
      <c r="C42" s="288"/>
      <c r="D42" s="308" t="s">
        <v>869</v>
      </c>
      <c r="E42" s="288"/>
      <c r="F42" s="288"/>
      <c r="G42" s="288"/>
      <c r="H42" s="288"/>
      <c r="I42" s="288"/>
      <c r="J42" s="288"/>
      <c r="K42" s="288" t="s">
        <v>1165</v>
      </c>
      <c r="L42" s="929" t="s">
        <v>837</v>
      </c>
      <c r="M42" s="288"/>
      <c r="N42" s="288"/>
      <c r="O42" s="288" t="s">
        <v>926</v>
      </c>
      <c r="P42" s="288"/>
      <c r="Q42" s="288"/>
      <c r="R42" s="288"/>
      <c r="S42" s="288"/>
      <c r="T42" s="288"/>
      <c r="U42" s="288"/>
      <c r="V42" s="288"/>
      <c r="W42" s="288"/>
      <c r="X42" s="288"/>
      <c r="Y42" s="288" t="s">
        <v>1267</v>
      </c>
      <c r="Z42" s="288"/>
      <c r="AA42" s="786"/>
      <c r="AB42" s="288"/>
      <c r="AC42" s="288"/>
      <c r="AD42" s="288"/>
      <c r="AE42" s="288"/>
      <c r="AF42" s="288"/>
      <c r="AG42" s="308"/>
      <c r="AH42" s="308" t="s">
        <v>2956</v>
      </c>
      <c r="AI42" s="308"/>
      <c r="AJ42" s="308"/>
      <c r="AK42" s="308"/>
      <c r="AL42" s="308" t="s">
        <v>3211</v>
      </c>
      <c r="AM42" s="308"/>
      <c r="AN42" s="308"/>
      <c r="AO42" s="308"/>
      <c r="AP42" s="1393" t="s">
        <v>3212</v>
      </c>
      <c r="AQ42" s="308"/>
      <c r="AR42" s="308"/>
      <c r="AS42" s="308"/>
      <c r="AT42" s="308"/>
      <c r="AU42" s="308"/>
      <c r="AV42" s="308"/>
      <c r="AW42" s="308"/>
      <c r="AX42" s="308"/>
    </row>
    <row r="43" spans="1:50" x14ac:dyDescent="0.3">
      <c r="A43" s="208"/>
      <c r="B43" s="930" t="s">
        <v>1484</v>
      </c>
      <c r="C43" s="288"/>
      <c r="D43" s="288" t="s">
        <v>1493</v>
      </c>
      <c r="E43" s="288"/>
      <c r="F43" s="288"/>
      <c r="G43" s="288"/>
      <c r="H43" s="288"/>
      <c r="I43" s="288"/>
      <c r="J43" s="288"/>
      <c r="K43" s="288" t="s">
        <v>1140</v>
      </c>
      <c r="L43" s="929" t="s">
        <v>1188</v>
      </c>
      <c r="M43" s="288"/>
      <c r="N43" s="288"/>
      <c r="O43" s="288" t="s">
        <v>927</v>
      </c>
      <c r="P43" s="288"/>
      <c r="Q43" s="288"/>
      <c r="R43" s="288"/>
      <c r="S43" s="288"/>
      <c r="T43" s="288"/>
      <c r="U43" s="288"/>
      <c r="V43" s="288"/>
      <c r="W43" s="288"/>
      <c r="X43" s="288"/>
      <c r="Y43" s="288" t="s">
        <v>193</v>
      </c>
      <c r="Z43" s="288"/>
      <c r="AA43" s="786"/>
      <c r="AB43" s="288"/>
      <c r="AC43" s="288"/>
      <c r="AD43" s="288"/>
      <c r="AE43" s="288"/>
      <c r="AF43" s="288"/>
      <c r="AG43" s="308"/>
      <c r="AH43" s="308" t="s">
        <v>2957</v>
      </c>
      <c r="AI43" s="308"/>
      <c r="AJ43" s="308"/>
      <c r="AK43" s="308"/>
      <c r="AL43" s="308" t="s">
        <v>3213</v>
      </c>
      <c r="AM43" s="308"/>
      <c r="AN43" s="308"/>
      <c r="AO43" s="308"/>
      <c r="AP43" s="1393" t="s">
        <v>3214</v>
      </c>
      <c r="AQ43" s="308"/>
      <c r="AR43" s="308"/>
      <c r="AS43" s="308"/>
      <c r="AT43" s="308"/>
      <c r="AU43" s="308"/>
      <c r="AV43" s="308"/>
      <c r="AW43" s="308"/>
      <c r="AX43" s="308"/>
    </row>
    <row r="44" spans="1:50" x14ac:dyDescent="0.3">
      <c r="A44" s="208"/>
      <c r="B44" s="930" t="s">
        <v>1480</v>
      </c>
      <c r="C44" s="288"/>
      <c r="D44" s="288" t="s">
        <v>1107</v>
      </c>
      <c r="E44" s="288"/>
      <c r="F44" s="288"/>
      <c r="G44" s="288"/>
      <c r="H44" s="288"/>
      <c r="I44" s="288"/>
      <c r="J44" s="288"/>
      <c r="K44" s="288" t="s">
        <v>1166</v>
      </c>
      <c r="L44" s="929" t="s">
        <v>93</v>
      </c>
      <c r="M44" s="288"/>
      <c r="N44" s="288"/>
      <c r="O44" s="288" t="s">
        <v>928</v>
      </c>
      <c r="P44" s="288"/>
      <c r="Q44" s="288"/>
      <c r="R44" s="288"/>
      <c r="S44" s="288"/>
      <c r="T44" s="288"/>
      <c r="U44" s="288"/>
      <c r="V44" s="288"/>
      <c r="W44" s="288"/>
      <c r="X44" s="288"/>
      <c r="Y44" s="288" t="s">
        <v>1268</v>
      </c>
      <c r="Z44" s="288"/>
      <c r="AA44" s="786"/>
      <c r="AB44" s="288"/>
      <c r="AC44" s="288"/>
      <c r="AD44" s="288"/>
      <c r="AE44" s="288"/>
      <c r="AF44" s="288"/>
      <c r="AG44" s="308"/>
      <c r="AH44" s="308" t="s">
        <v>2958</v>
      </c>
      <c r="AI44" s="308"/>
      <c r="AJ44" s="308"/>
      <c r="AK44" s="308"/>
      <c r="AL44" s="308" t="s">
        <v>3215</v>
      </c>
      <c r="AM44" s="308"/>
      <c r="AN44" s="308"/>
      <c r="AO44" s="308"/>
      <c r="AP44" s="1393" t="s">
        <v>3216</v>
      </c>
      <c r="AQ44" s="308"/>
      <c r="AR44" s="308"/>
      <c r="AS44" s="308"/>
      <c r="AT44" s="308"/>
      <c r="AU44" s="308"/>
      <c r="AV44" s="308"/>
      <c r="AW44" s="308"/>
      <c r="AX44" s="308"/>
    </row>
    <row r="45" spans="1:50" x14ac:dyDescent="0.3">
      <c r="A45" s="208"/>
      <c r="B45" s="930" t="s">
        <v>1513</v>
      </c>
      <c r="C45" s="288"/>
      <c r="D45" s="288" t="s">
        <v>1108</v>
      </c>
      <c r="E45" s="288"/>
      <c r="F45" s="288"/>
      <c r="G45" s="288"/>
      <c r="H45" s="288"/>
      <c r="I45" s="288"/>
      <c r="J45" s="288"/>
      <c r="K45" s="288" t="s">
        <v>1167</v>
      </c>
      <c r="L45" s="929" t="s">
        <v>817</v>
      </c>
      <c r="M45" s="288"/>
      <c r="N45" s="288"/>
      <c r="O45" s="288" t="s">
        <v>1201</v>
      </c>
      <c r="P45" s="288"/>
      <c r="Q45" s="288"/>
      <c r="R45" s="288"/>
      <c r="S45" s="288"/>
      <c r="T45" s="288"/>
      <c r="U45" s="288"/>
      <c r="V45" s="288"/>
      <c r="W45" s="288"/>
      <c r="X45" s="288"/>
      <c r="Y45" s="288" t="s">
        <v>1269</v>
      </c>
      <c r="Z45" s="288"/>
      <c r="AA45" s="786"/>
      <c r="AB45" s="288"/>
      <c r="AC45" s="288"/>
      <c r="AD45" s="288"/>
      <c r="AE45" s="288"/>
      <c r="AF45" s="288"/>
      <c r="AG45" s="308"/>
      <c r="AH45" s="308" t="s">
        <v>2959</v>
      </c>
      <c r="AI45" s="308"/>
      <c r="AJ45" s="308"/>
      <c r="AK45" s="308"/>
      <c r="AL45" s="308" t="s">
        <v>3217</v>
      </c>
      <c r="AM45" s="308"/>
      <c r="AN45" s="308"/>
      <c r="AO45" s="308"/>
      <c r="AP45" s="1393" t="s">
        <v>3218</v>
      </c>
      <c r="AQ45" s="308"/>
      <c r="AR45" s="308"/>
      <c r="AS45" s="308"/>
      <c r="AT45" s="308"/>
      <c r="AU45" s="308"/>
      <c r="AV45" s="308"/>
      <c r="AW45" s="308"/>
      <c r="AX45" s="308"/>
    </row>
    <row r="46" spans="1:50" x14ac:dyDescent="0.3">
      <c r="A46" s="208"/>
      <c r="B46" s="929" t="s">
        <v>848</v>
      </c>
      <c r="C46" s="288"/>
      <c r="D46" s="288" t="s">
        <v>1109</v>
      </c>
      <c r="E46" s="288"/>
      <c r="F46" s="288"/>
      <c r="G46" s="288"/>
      <c r="H46" s="288"/>
      <c r="I46" s="288"/>
      <c r="J46" s="288"/>
      <c r="K46" s="288" t="s">
        <v>1168</v>
      </c>
      <c r="L46" s="929" t="s">
        <v>831</v>
      </c>
      <c r="M46" s="288"/>
      <c r="N46" s="288"/>
      <c r="O46" s="823" t="s">
        <v>1496</v>
      </c>
      <c r="P46" s="288"/>
      <c r="Q46" s="288"/>
      <c r="R46" s="288"/>
      <c r="S46" s="288"/>
      <c r="T46" s="288"/>
      <c r="U46" s="288"/>
      <c r="V46" s="288"/>
      <c r="W46" s="288"/>
      <c r="X46" s="288"/>
      <c r="Y46" s="288" t="s">
        <v>194</v>
      </c>
      <c r="Z46" s="288"/>
      <c r="AA46" s="786"/>
      <c r="AB46" s="288"/>
      <c r="AC46" s="288"/>
      <c r="AD46" s="288"/>
      <c r="AE46" s="288"/>
      <c r="AF46" s="288"/>
      <c r="AG46" s="308"/>
      <c r="AH46" s="308" t="s">
        <v>2960</v>
      </c>
      <c r="AI46" s="308"/>
      <c r="AJ46" s="308"/>
      <c r="AK46" s="308"/>
      <c r="AL46" s="308" t="s">
        <v>3219</v>
      </c>
      <c r="AM46" s="308"/>
      <c r="AN46" s="308"/>
      <c r="AO46" s="308"/>
      <c r="AP46" s="1393" t="s">
        <v>3220</v>
      </c>
      <c r="AQ46" s="308"/>
      <c r="AR46" s="308"/>
      <c r="AS46" s="308"/>
      <c r="AT46" s="308"/>
      <c r="AU46" s="308"/>
      <c r="AV46" s="308"/>
      <c r="AW46" s="308"/>
      <c r="AX46" s="308"/>
    </row>
    <row r="47" spans="1:50" x14ac:dyDescent="0.3">
      <c r="A47" s="208"/>
      <c r="B47" s="929" t="s">
        <v>1066</v>
      </c>
      <c r="C47" s="288"/>
      <c r="D47" s="288" t="s">
        <v>1110</v>
      </c>
      <c r="E47" s="288"/>
      <c r="F47" s="288"/>
      <c r="G47" s="288"/>
      <c r="H47" s="288"/>
      <c r="I47" s="288"/>
      <c r="J47" s="288"/>
      <c r="K47" s="288" t="s">
        <v>1169</v>
      </c>
      <c r="L47" s="929" t="s">
        <v>94</v>
      </c>
      <c r="M47" s="288"/>
      <c r="N47" s="288"/>
      <c r="O47" s="288" t="s">
        <v>49</v>
      </c>
      <c r="P47" s="288"/>
      <c r="Q47" s="288"/>
      <c r="R47" s="288"/>
      <c r="S47" s="288"/>
      <c r="T47" s="288"/>
      <c r="U47" s="288"/>
      <c r="V47" s="288"/>
      <c r="W47" s="288"/>
      <c r="X47" s="288"/>
      <c r="Y47" s="288" t="s">
        <v>1270</v>
      </c>
      <c r="Z47" s="288"/>
      <c r="AA47" s="786"/>
      <c r="AB47" s="288"/>
      <c r="AC47" s="288"/>
      <c r="AD47" s="288"/>
      <c r="AE47" s="288"/>
      <c r="AF47" s="288"/>
      <c r="AG47" s="308"/>
      <c r="AH47" s="308" t="s">
        <v>2961</v>
      </c>
      <c r="AI47" s="308"/>
      <c r="AJ47" s="308"/>
      <c r="AK47" s="308"/>
      <c r="AL47" s="308" t="s">
        <v>3221</v>
      </c>
      <c r="AM47" s="308"/>
      <c r="AN47" s="308"/>
      <c r="AO47" s="308"/>
      <c r="AP47" s="1393" t="s">
        <v>3222</v>
      </c>
      <c r="AQ47" s="308"/>
      <c r="AR47" s="308"/>
      <c r="AS47" s="308"/>
      <c r="AT47" s="308"/>
      <c r="AU47" s="308"/>
      <c r="AV47" s="308"/>
      <c r="AW47" s="308"/>
      <c r="AX47" s="308"/>
    </row>
    <row r="48" spans="1:50" x14ac:dyDescent="0.3">
      <c r="A48" s="208"/>
      <c r="B48" s="929" t="s">
        <v>1067</v>
      </c>
      <c r="C48" s="288"/>
      <c r="D48" s="288" t="s">
        <v>355</v>
      </c>
      <c r="E48" s="288"/>
      <c r="F48" s="288"/>
      <c r="G48" s="288"/>
      <c r="H48" s="288"/>
      <c r="I48" s="288"/>
      <c r="J48" s="288"/>
      <c r="K48" s="288" t="s">
        <v>1170</v>
      </c>
      <c r="L48" s="929" t="s">
        <v>836</v>
      </c>
      <c r="M48" s="288"/>
      <c r="N48" s="288"/>
      <c r="O48" s="288" t="s">
        <v>50</v>
      </c>
      <c r="P48" s="288"/>
      <c r="Q48" s="288"/>
      <c r="R48" s="288"/>
      <c r="S48" s="288"/>
      <c r="T48" s="288"/>
      <c r="U48" s="288"/>
      <c r="V48" s="288"/>
      <c r="W48" s="288"/>
      <c r="X48" s="288"/>
      <c r="Y48" s="288" t="s">
        <v>1271</v>
      </c>
      <c r="Z48" s="288"/>
      <c r="AA48" s="786"/>
      <c r="AB48" s="288"/>
      <c r="AC48" s="288"/>
      <c r="AD48" s="288"/>
      <c r="AE48" s="288"/>
      <c r="AF48" s="288"/>
      <c r="AG48" s="308"/>
      <c r="AH48" s="308" t="s">
        <v>2962</v>
      </c>
      <c r="AI48" s="308"/>
      <c r="AJ48" s="308"/>
      <c r="AK48" s="308"/>
      <c r="AL48" s="308" t="s">
        <v>3223</v>
      </c>
      <c r="AM48" s="308"/>
      <c r="AN48" s="308"/>
      <c r="AO48" s="308"/>
      <c r="AP48" s="1393" t="s">
        <v>3224</v>
      </c>
      <c r="AQ48" s="308"/>
      <c r="AR48" s="308"/>
      <c r="AS48" s="308"/>
      <c r="AT48" s="308"/>
      <c r="AU48" s="308"/>
      <c r="AV48" s="308"/>
      <c r="AW48" s="308"/>
      <c r="AX48" s="308"/>
    </row>
    <row r="49" spans="1:50" x14ac:dyDescent="0.3">
      <c r="A49" s="208"/>
      <c r="B49" s="930" t="s">
        <v>1458</v>
      </c>
      <c r="C49" s="288"/>
      <c r="D49" s="288" t="s">
        <v>356</v>
      </c>
      <c r="E49" s="288"/>
      <c r="F49" s="288"/>
      <c r="G49" s="288"/>
      <c r="H49" s="288"/>
      <c r="I49" s="288"/>
      <c r="J49" s="288"/>
      <c r="K49" s="288" t="s">
        <v>1504</v>
      </c>
      <c r="L49" s="929" t="s">
        <v>350</v>
      </c>
      <c r="M49" s="288"/>
      <c r="N49" s="288"/>
      <c r="O49" s="288" t="s">
        <v>51</v>
      </c>
      <c r="P49" s="288"/>
      <c r="Q49" s="288"/>
      <c r="R49" s="288"/>
      <c r="S49" s="288"/>
      <c r="T49" s="288"/>
      <c r="U49" s="288"/>
      <c r="V49" s="288"/>
      <c r="W49" s="288"/>
      <c r="X49" s="288"/>
      <c r="Y49" s="288" t="s">
        <v>929</v>
      </c>
      <c r="Z49" s="288"/>
      <c r="AA49" s="786"/>
      <c r="AB49" s="288"/>
      <c r="AC49" s="288"/>
      <c r="AD49" s="288"/>
      <c r="AE49" s="288"/>
      <c r="AF49" s="288"/>
      <c r="AG49" s="308"/>
      <c r="AH49" s="308" t="s">
        <v>2963</v>
      </c>
      <c r="AI49" s="308"/>
      <c r="AJ49" s="308"/>
      <c r="AK49" s="308"/>
      <c r="AL49" s="308" t="s">
        <v>3225</v>
      </c>
      <c r="AM49" s="308"/>
      <c r="AN49" s="308"/>
      <c r="AO49" s="308"/>
      <c r="AP49" s="1393" t="s">
        <v>3226</v>
      </c>
      <c r="AQ49" s="308"/>
      <c r="AR49" s="308"/>
      <c r="AS49" s="308"/>
      <c r="AT49" s="308"/>
      <c r="AU49" s="308"/>
      <c r="AV49" s="308"/>
      <c r="AW49" s="308"/>
      <c r="AX49" s="308"/>
    </row>
    <row r="50" spans="1:50" x14ac:dyDescent="0.3">
      <c r="A50" s="208"/>
      <c r="B50" s="930" t="s">
        <v>1458</v>
      </c>
      <c r="C50" s="288"/>
      <c r="D50" s="288" t="s">
        <v>1111</v>
      </c>
      <c r="E50" s="288"/>
      <c r="F50" s="288"/>
      <c r="G50" s="288"/>
      <c r="H50" s="288"/>
      <c r="I50" s="288"/>
      <c r="J50" s="288"/>
      <c r="K50" s="288" t="s">
        <v>1505</v>
      </c>
      <c r="L50" s="929" t="s">
        <v>832</v>
      </c>
      <c r="M50" s="288"/>
      <c r="N50" s="288"/>
      <c r="O50" s="288" t="s">
        <v>52</v>
      </c>
      <c r="P50" s="288"/>
      <c r="Q50" s="288"/>
      <c r="R50" s="288"/>
      <c r="S50" s="288"/>
      <c r="T50" s="288"/>
      <c r="U50" s="288"/>
      <c r="V50" s="288"/>
      <c r="W50" s="288"/>
      <c r="X50" s="288"/>
      <c r="Y50" s="288" t="s">
        <v>1272</v>
      </c>
      <c r="Z50" s="288"/>
      <c r="AA50" s="786"/>
      <c r="AB50" s="288"/>
      <c r="AC50" s="288"/>
      <c r="AD50" s="288"/>
      <c r="AE50" s="288"/>
      <c r="AF50" s="288"/>
      <c r="AG50" s="308"/>
      <c r="AH50" s="308" t="s">
        <v>2964</v>
      </c>
      <c r="AI50" s="308"/>
      <c r="AJ50" s="308"/>
      <c r="AK50" s="308"/>
      <c r="AL50" s="308" t="s">
        <v>3227</v>
      </c>
      <c r="AM50" s="308"/>
      <c r="AN50" s="308"/>
      <c r="AO50" s="308"/>
      <c r="AP50" s="1393" t="s">
        <v>3228</v>
      </c>
      <c r="AQ50" s="308"/>
      <c r="AR50" s="308"/>
      <c r="AS50" s="308"/>
      <c r="AT50" s="308"/>
      <c r="AU50" s="308"/>
      <c r="AV50" s="308"/>
      <c r="AW50" s="308"/>
      <c r="AX50" s="308"/>
    </row>
    <row r="51" spans="1:50" x14ac:dyDescent="0.3">
      <c r="A51" s="208"/>
      <c r="B51" s="929" t="s">
        <v>1306</v>
      </c>
      <c r="C51" s="288"/>
      <c r="D51" s="288" t="s">
        <v>870</v>
      </c>
      <c r="E51" s="288"/>
      <c r="F51" s="288"/>
      <c r="G51" s="288"/>
      <c r="H51" s="288"/>
      <c r="I51" s="288"/>
      <c r="J51" s="288"/>
      <c r="K51" s="288" t="s">
        <v>1171</v>
      </c>
      <c r="L51" s="929" t="s">
        <v>835</v>
      </c>
      <c r="M51" s="288"/>
      <c r="N51" s="818"/>
      <c r="O51" s="308" t="s">
        <v>53</v>
      </c>
      <c r="P51" s="819"/>
      <c r="Q51" s="288"/>
      <c r="R51" s="288"/>
      <c r="S51" s="288"/>
      <c r="T51" s="288"/>
      <c r="U51" s="288"/>
      <c r="V51" s="288"/>
      <c r="W51" s="288"/>
      <c r="X51" s="288"/>
      <c r="Y51" s="288" t="s">
        <v>1273</v>
      </c>
      <c r="Z51" s="288"/>
      <c r="AA51" s="786"/>
      <c r="AB51" s="288"/>
      <c r="AC51" s="288"/>
      <c r="AD51" s="288"/>
      <c r="AE51" s="288"/>
      <c r="AF51" s="288"/>
      <c r="AG51" s="308"/>
      <c r="AH51" s="308" t="s">
        <v>2965</v>
      </c>
      <c r="AI51" s="308"/>
      <c r="AJ51" s="308"/>
      <c r="AK51" s="308"/>
      <c r="AL51" s="308" t="s">
        <v>3229</v>
      </c>
      <c r="AM51" s="308"/>
      <c r="AN51" s="308"/>
      <c r="AO51" s="308"/>
      <c r="AP51" s="1393" t="s">
        <v>3230</v>
      </c>
      <c r="AQ51" s="308"/>
      <c r="AR51" s="308"/>
      <c r="AS51" s="308"/>
      <c r="AT51" s="308"/>
      <c r="AU51" s="308"/>
      <c r="AV51" s="308"/>
      <c r="AW51" s="308"/>
      <c r="AX51" s="308"/>
    </row>
    <row r="52" spans="1:50" x14ac:dyDescent="0.3">
      <c r="A52" s="208"/>
      <c r="B52" s="929" t="s">
        <v>849</v>
      </c>
      <c r="C52" s="288"/>
      <c r="D52" s="308" t="s">
        <v>1112</v>
      </c>
      <c r="E52" s="288"/>
      <c r="F52" s="288"/>
      <c r="G52" s="288"/>
      <c r="H52" s="288"/>
      <c r="I52" s="288"/>
      <c r="J52" s="288"/>
      <c r="K52" s="288" t="s">
        <v>1143</v>
      </c>
      <c r="L52" s="929" t="s">
        <v>1190</v>
      </c>
      <c r="M52" s="288"/>
      <c r="N52" s="818"/>
      <c r="O52" s="308" t="s">
        <v>54</v>
      </c>
      <c r="P52" s="819"/>
      <c r="Q52" s="288"/>
      <c r="R52" s="288"/>
      <c r="S52" s="288"/>
      <c r="T52" s="288"/>
      <c r="U52" s="288"/>
      <c r="V52" s="288"/>
      <c r="W52" s="288"/>
      <c r="X52" s="288"/>
      <c r="Y52" s="288" t="s">
        <v>1274</v>
      </c>
      <c r="Z52" s="288"/>
      <c r="AA52" s="786"/>
      <c r="AB52" s="288"/>
      <c r="AC52" s="288"/>
      <c r="AD52" s="288"/>
      <c r="AE52" s="288"/>
      <c r="AF52" s="288"/>
      <c r="AG52" s="308"/>
      <c r="AH52" s="308" t="s">
        <v>2966</v>
      </c>
      <c r="AI52" s="308"/>
      <c r="AJ52" s="308"/>
      <c r="AK52" s="308"/>
      <c r="AL52" s="308" t="s">
        <v>3231</v>
      </c>
      <c r="AM52" s="308"/>
      <c r="AN52" s="308"/>
      <c r="AO52" s="308"/>
      <c r="AP52" s="1393" t="s">
        <v>3232</v>
      </c>
      <c r="AQ52" s="308"/>
      <c r="AR52" s="308"/>
      <c r="AS52" s="308"/>
      <c r="AT52" s="308"/>
      <c r="AU52" s="308"/>
      <c r="AV52" s="308"/>
      <c r="AW52" s="308"/>
      <c r="AX52" s="308"/>
    </row>
    <row r="53" spans="1:50" x14ac:dyDescent="0.3">
      <c r="A53" s="208"/>
      <c r="B53" s="929" t="s">
        <v>1068</v>
      </c>
      <c r="C53" s="288"/>
      <c r="D53" s="822" t="s">
        <v>1359</v>
      </c>
      <c r="E53" s="288"/>
      <c r="F53" s="288"/>
      <c r="G53" s="288"/>
      <c r="H53" s="288"/>
      <c r="I53" s="288"/>
      <c r="J53" s="288"/>
      <c r="K53" s="288" t="s">
        <v>1144</v>
      </c>
      <c r="L53" s="929" t="s">
        <v>818</v>
      </c>
      <c r="M53" s="288"/>
      <c r="N53" s="818"/>
      <c r="O53" s="308" t="s">
        <v>55</v>
      </c>
      <c r="P53" s="819"/>
      <c r="Q53" s="288"/>
      <c r="R53" s="288"/>
      <c r="S53" s="288"/>
      <c r="T53" s="288"/>
      <c r="U53" s="288"/>
      <c r="V53" s="288"/>
      <c r="W53" s="288"/>
      <c r="X53" s="288"/>
      <c r="Y53" s="288" t="s">
        <v>195</v>
      </c>
      <c r="Z53" s="288"/>
      <c r="AA53" s="786"/>
      <c r="AB53" s="288"/>
      <c r="AC53" s="288"/>
      <c r="AD53" s="288"/>
      <c r="AE53" s="288"/>
      <c r="AF53" s="288"/>
      <c r="AG53" s="308"/>
      <c r="AH53" s="308" t="s">
        <v>2967</v>
      </c>
      <c r="AI53" s="308"/>
      <c r="AJ53" s="308"/>
      <c r="AK53" s="308"/>
      <c r="AL53" s="308" t="s">
        <v>3233</v>
      </c>
      <c r="AM53" s="308"/>
      <c r="AN53" s="308"/>
      <c r="AO53" s="308"/>
      <c r="AP53" s="1393" t="s">
        <v>3234</v>
      </c>
      <c r="AQ53" s="308"/>
      <c r="AR53" s="308"/>
      <c r="AS53" s="308"/>
      <c r="AT53" s="308"/>
      <c r="AU53" s="308"/>
      <c r="AV53" s="308"/>
      <c r="AW53" s="308"/>
      <c r="AX53" s="308"/>
    </row>
    <row r="54" spans="1:50" x14ac:dyDescent="0.3">
      <c r="A54" s="208"/>
      <c r="B54" s="930" t="s">
        <v>1479</v>
      </c>
      <c r="C54" s="288"/>
      <c r="D54" s="823" t="s">
        <v>1492</v>
      </c>
      <c r="E54" s="288"/>
      <c r="F54" s="288"/>
      <c r="G54" s="288"/>
      <c r="H54" s="288"/>
      <c r="I54" s="288"/>
      <c r="J54" s="288"/>
      <c r="K54" s="288" t="s">
        <v>1172</v>
      </c>
      <c r="L54" s="929" t="s">
        <v>819</v>
      </c>
      <c r="M54" s="288"/>
      <c r="N54" s="818"/>
      <c r="O54" s="308" t="s">
        <v>56</v>
      </c>
      <c r="P54" s="819"/>
      <c r="Q54" s="288"/>
      <c r="R54" s="288"/>
      <c r="S54" s="288"/>
      <c r="T54" s="288"/>
      <c r="U54" s="288"/>
      <c r="V54" s="288"/>
      <c r="W54" s="288"/>
      <c r="X54" s="288"/>
      <c r="Y54" s="288" t="s">
        <v>1275</v>
      </c>
      <c r="Z54" s="288"/>
      <c r="AA54" s="786"/>
      <c r="AB54" s="288"/>
      <c r="AC54" s="288"/>
      <c r="AD54" s="288"/>
      <c r="AE54" s="288"/>
      <c r="AF54" s="288"/>
      <c r="AG54" s="308"/>
      <c r="AH54" s="308" t="s">
        <v>2968</v>
      </c>
      <c r="AI54" s="308"/>
      <c r="AJ54" s="308"/>
      <c r="AK54" s="308"/>
      <c r="AL54" s="308" t="s">
        <v>3235</v>
      </c>
      <c r="AM54" s="308"/>
      <c r="AN54" s="308"/>
      <c r="AO54" s="308"/>
      <c r="AP54" s="1393" t="s">
        <v>3236</v>
      </c>
      <c r="AQ54" s="308"/>
      <c r="AR54" s="308"/>
      <c r="AS54" s="308"/>
      <c r="AT54" s="308"/>
      <c r="AU54" s="308"/>
      <c r="AV54" s="308"/>
      <c r="AW54" s="308"/>
      <c r="AX54" s="308"/>
    </row>
    <row r="55" spans="1:50" x14ac:dyDescent="0.3">
      <c r="A55" s="208"/>
      <c r="B55" s="929" t="s">
        <v>850</v>
      </c>
      <c r="C55" s="288"/>
      <c r="D55" s="822" t="s">
        <v>1114</v>
      </c>
      <c r="E55" s="288"/>
      <c r="F55" s="288"/>
      <c r="G55" s="288"/>
      <c r="H55" s="288"/>
      <c r="I55" s="288"/>
      <c r="J55" s="288"/>
      <c r="K55" s="823" t="s">
        <v>1501</v>
      </c>
      <c r="L55" s="929" t="s">
        <v>820</v>
      </c>
      <c r="M55" s="288"/>
      <c r="N55" s="818"/>
      <c r="O55" s="308" t="s">
        <v>57</v>
      </c>
      <c r="P55" s="819"/>
      <c r="Q55" s="288"/>
      <c r="R55" s="288"/>
      <c r="S55" s="288"/>
      <c r="T55" s="288"/>
      <c r="U55" s="288"/>
      <c r="V55" s="288"/>
      <c r="W55" s="288"/>
      <c r="X55" s="288"/>
      <c r="Y55" s="288" t="s">
        <v>1276</v>
      </c>
      <c r="Z55" s="288"/>
      <c r="AA55" s="786"/>
      <c r="AB55" s="288"/>
      <c r="AC55" s="288"/>
      <c r="AD55" s="288"/>
      <c r="AE55" s="288"/>
      <c r="AF55" s="288"/>
      <c r="AG55" s="308"/>
      <c r="AH55" s="308" t="s">
        <v>2969</v>
      </c>
      <c r="AI55" s="308"/>
      <c r="AJ55" s="308"/>
      <c r="AK55" s="308"/>
      <c r="AL55" s="308" t="s">
        <v>3237</v>
      </c>
      <c r="AM55" s="308"/>
      <c r="AN55" s="308"/>
      <c r="AO55" s="308"/>
      <c r="AP55" s="1393" t="s">
        <v>3238</v>
      </c>
      <c r="AQ55" s="308"/>
      <c r="AR55" s="308"/>
      <c r="AS55" s="308"/>
      <c r="AT55" s="308"/>
      <c r="AU55" s="308"/>
      <c r="AV55" s="308"/>
      <c r="AW55" s="308"/>
      <c r="AX55" s="308"/>
    </row>
    <row r="56" spans="1:50" x14ac:dyDescent="0.3">
      <c r="A56" s="208"/>
      <c r="B56" s="929" t="s">
        <v>1069</v>
      </c>
      <c r="C56" s="288"/>
      <c r="D56" s="823" t="s">
        <v>1476</v>
      </c>
      <c r="E56" s="288"/>
      <c r="F56" s="288"/>
      <c r="G56" s="288"/>
      <c r="H56" s="288"/>
      <c r="I56" s="288"/>
      <c r="J56" s="288"/>
      <c r="K56" s="823" t="s">
        <v>1502</v>
      </c>
      <c r="L56" s="929" t="s">
        <v>1311</v>
      </c>
      <c r="M56" s="288"/>
      <c r="N56" s="288"/>
      <c r="O56" s="288" t="s">
        <v>58</v>
      </c>
      <c r="P56" s="288"/>
      <c r="Q56" s="288"/>
      <c r="R56" s="288"/>
      <c r="S56" s="288"/>
      <c r="T56" s="288"/>
      <c r="U56" s="288"/>
      <c r="V56" s="288"/>
      <c r="W56" s="288"/>
      <c r="X56" s="288"/>
      <c r="Y56" s="288" t="s">
        <v>1277</v>
      </c>
      <c r="Z56" s="288"/>
      <c r="AA56" s="786"/>
      <c r="AB56" s="288"/>
      <c r="AC56" s="288"/>
      <c r="AD56" s="288"/>
      <c r="AE56" s="288"/>
      <c r="AF56" s="288"/>
      <c r="AG56" s="308"/>
      <c r="AH56" s="308" t="s">
        <v>2970</v>
      </c>
      <c r="AI56" s="308"/>
      <c r="AJ56" s="308"/>
      <c r="AK56" s="308"/>
      <c r="AL56" s="308" t="s">
        <v>3239</v>
      </c>
      <c r="AM56" s="308"/>
      <c r="AN56" s="308"/>
      <c r="AO56" s="308"/>
      <c r="AP56" s="1393" t="s">
        <v>3240</v>
      </c>
      <c r="AQ56" s="308"/>
      <c r="AR56" s="308"/>
      <c r="AS56" s="308"/>
      <c r="AT56" s="308"/>
      <c r="AU56" s="308"/>
      <c r="AV56" s="308"/>
      <c r="AW56" s="308"/>
      <c r="AX56" s="308"/>
    </row>
    <row r="57" spans="1:50" x14ac:dyDescent="0.3">
      <c r="A57" s="208"/>
      <c r="B57" s="929" t="s">
        <v>851</v>
      </c>
      <c r="C57" s="288"/>
      <c r="D57" s="822" t="s">
        <v>1079</v>
      </c>
      <c r="E57" s="288"/>
      <c r="F57" s="288"/>
      <c r="G57" s="288"/>
      <c r="H57" s="288"/>
      <c r="I57" s="288"/>
      <c r="J57" s="288"/>
      <c r="K57" s="288" t="s">
        <v>1173</v>
      </c>
      <c r="L57" s="929" t="s">
        <v>1312</v>
      </c>
      <c r="M57" s="288"/>
      <c r="N57" s="288"/>
      <c r="O57" s="288" t="s">
        <v>364</v>
      </c>
      <c r="P57" s="288"/>
      <c r="Q57" s="288"/>
      <c r="R57" s="288"/>
      <c r="S57" s="288"/>
      <c r="T57" s="288"/>
      <c r="U57" s="288"/>
      <c r="V57" s="288"/>
      <c r="W57" s="288"/>
      <c r="X57" s="288"/>
      <c r="Y57" s="308"/>
      <c r="Z57" s="288"/>
      <c r="AA57" s="786"/>
      <c r="AB57" s="288"/>
      <c r="AC57" s="288"/>
      <c r="AD57" s="288"/>
      <c r="AE57" s="288"/>
      <c r="AF57" s="288"/>
      <c r="AG57" s="308"/>
      <c r="AH57" s="308"/>
      <c r="AI57" s="308"/>
      <c r="AJ57" s="308"/>
      <c r="AK57" s="308"/>
      <c r="AL57" s="308" t="s">
        <v>3241</v>
      </c>
      <c r="AM57" s="308"/>
      <c r="AN57" s="308"/>
      <c r="AO57" s="308"/>
      <c r="AP57" s="1393" t="s">
        <v>2742</v>
      </c>
      <c r="AQ57" s="308"/>
      <c r="AR57" s="308"/>
      <c r="AS57" s="308"/>
      <c r="AT57" s="308"/>
      <c r="AU57" s="308"/>
      <c r="AV57" s="308"/>
      <c r="AW57" s="308"/>
      <c r="AX57" s="308"/>
    </row>
    <row r="58" spans="1:50" x14ac:dyDescent="0.3">
      <c r="A58" s="208"/>
      <c r="B58" s="929" t="s">
        <v>852</v>
      </c>
      <c r="C58" s="288"/>
      <c r="D58" s="822" t="s">
        <v>348</v>
      </c>
      <c r="E58" s="288"/>
      <c r="F58" s="288"/>
      <c r="G58" s="288"/>
      <c r="H58" s="288"/>
      <c r="I58" s="288"/>
      <c r="J58" s="288"/>
      <c r="K58" s="288" t="s">
        <v>1174</v>
      </c>
      <c r="L58" s="929" t="s">
        <v>1005</v>
      </c>
      <c r="M58" s="288"/>
      <c r="N58" s="288"/>
      <c r="O58" s="288" t="s">
        <v>365</v>
      </c>
      <c r="P58" s="288"/>
      <c r="Q58" s="288"/>
      <c r="R58" s="288"/>
      <c r="S58" s="288"/>
      <c r="T58" s="288"/>
      <c r="U58" s="288"/>
      <c r="V58" s="288"/>
      <c r="W58" s="288"/>
      <c r="X58" s="288"/>
      <c r="Y58" s="288"/>
      <c r="Z58" s="288"/>
      <c r="AA58" s="786"/>
      <c r="AB58" s="288"/>
      <c r="AC58" s="288"/>
      <c r="AD58" s="288"/>
      <c r="AE58" s="288"/>
      <c r="AF58" s="288"/>
      <c r="AG58" s="308"/>
      <c r="AH58" s="308"/>
      <c r="AI58" s="308"/>
      <c r="AJ58" s="308"/>
      <c r="AK58" s="308"/>
      <c r="AL58" s="308" t="s">
        <v>3242</v>
      </c>
      <c r="AM58" s="308"/>
      <c r="AN58" s="308"/>
      <c r="AO58" s="308"/>
      <c r="AP58" s="1393" t="s">
        <v>3243</v>
      </c>
      <c r="AQ58" s="308"/>
      <c r="AR58" s="308"/>
      <c r="AS58" s="308"/>
      <c r="AT58" s="308"/>
      <c r="AU58" s="308"/>
      <c r="AV58" s="308"/>
      <c r="AW58" s="308"/>
      <c r="AX58" s="308"/>
    </row>
    <row r="59" spans="1:50" x14ac:dyDescent="0.3">
      <c r="A59" s="208"/>
      <c r="B59" s="930" t="s">
        <v>1483</v>
      </c>
      <c r="C59" s="288"/>
      <c r="D59" s="822" t="s">
        <v>357</v>
      </c>
      <c r="E59" s="288"/>
      <c r="F59" s="288"/>
      <c r="G59" s="288"/>
      <c r="H59" s="288"/>
      <c r="I59" s="288"/>
      <c r="J59" s="288"/>
      <c r="K59" s="288" t="s">
        <v>1175</v>
      </c>
      <c r="L59" s="929" t="s">
        <v>95</v>
      </c>
      <c r="M59" s="288"/>
      <c r="N59" s="288"/>
      <c r="O59" s="288" t="s">
        <v>366</v>
      </c>
      <c r="P59" s="288"/>
      <c r="Q59" s="288"/>
      <c r="R59" s="288"/>
      <c r="S59" s="288"/>
      <c r="T59" s="288"/>
      <c r="U59" s="288"/>
      <c r="V59" s="288"/>
      <c r="W59" s="288"/>
      <c r="X59" s="288"/>
      <c r="Y59" s="288"/>
      <c r="Z59" s="288"/>
      <c r="AA59" s="786"/>
      <c r="AB59" s="288"/>
      <c r="AC59" s="288"/>
      <c r="AD59" s="288"/>
      <c r="AE59" s="288"/>
      <c r="AF59" s="288"/>
      <c r="AG59" s="308"/>
      <c r="AH59" s="308"/>
      <c r="AI59" s="308"/>
      <c r="AJ59" s="308"/>
      <c r="AK59" s="308"/>
      <c r="AL59" s="308" t="s">
        <v>3244</v>
      </c>
      <c r="AM59" s="308"/>
      <c r="AN59" s="308"/>
      <c r="AO59" s="308"/>
      <c r="AP59" s="1393" t="s">
        <v>3245</v>
      </c>
      <c r="AQ59" s="308"/>
      <c r="AR59" s="308"/>
      <c r="AS59" s="308"/>
      <c r="AT59" s="308"/>
      <c r="AU59" s="308"/>
      <c r="AV59" s="308"/>
      <c r="AW59" s="308"/>
      <c r="AX59" s="308"/>
    </row>
    <row r="60" spans="1:50" x14ac:dyDescent="0.3">
      <c r="A60" s="208"/>
      <c r="B60" s="929" t="s">
        <v>1070</v>
      </c>
      <c r="C60" s="288"/>
      <c r="D60" s="822" t="s">
        <v>358</v>
      </c>
      <c r="E60" s="288"/>
      <c r="F60" s="288"/>
      <c r="G60" s="288"/>
      <c r="H60" s="288"/>
      <c r="I60" s="288"/>
      <c r="J60" s="818"/>
      <c r="K60" s="308" t="s">
        <v>1176</v>
      </c>
      <c r="L60" s="931" t="s">
        <v>96</v>
      </c>
      <c r="M60" s="288"/>
      <c r="N60" s="288"/>
      <c r="O60" s="288" t="s">
        <v>367</v>
      </c>
      <c r="P60" s="288"/>
      <c r="Q60" s="288"/>
      <c r="R60" s="288"/>
      <c r="S60" s="288"/>
      <c r="T60" s="288"/>
      <c r="U60" s="288"/>
      <c r="V60" s="288"/>
      <c r="W60" s="288"/>
      <c r="X60" s="288"/>
      <c r="Y60" s="288"/>
      <c r="Z60" s="288"/>
      <c r="AA60" s="786"/>
      <c r="AB60" s="288"/>
      <c r="AC60" s="288"/>
      <c r="AD60" s="288"/>
      <c r="AE60" s="288"/>
      <c r="AF60" s="288"/>
      <c r="AG60" s="308"/>
      <c r="AH60" s="308"/>
      <c r="AI60" s="308"/>
      <c r="AJ60" s="308"/>
      <c r="AK60" s="308"/>
      <c r="AL60" s="308" t="s">
        <v>3246</v>
      </c>
      <c r="AM60" s="308"/>
      <c r="AN60" s="308"/>
      <c r="AO60" s="308"/>
      <c r="AP60" s="1393" t="s">
        <v>3247</v>
      </c>
      <c r="AQ60" s="308"/>
      <c r="AR60" s="308"/>
      <c r="AS60" s="308"/>
      <c r="AT60" s="308"/>
      <c r="AU60" s="308"/>
      <c r="AV60" s="308"/>
      <c r="AW60" s="308"/>
      <c r="AX60" s="308"/>
    </row>
    <row r="61" spans="1:50" x14ac:dyDescent="0.3">
      <c r="A61" s="31"/>
      <c r="B61" s="929" t="s">
        <v>1305</v>
      </c>
      <c r="C61" s="819"/>
      <c r="D61" s="822" t="s">
        <v>871</v>
      </c>
      <c r="E61" s="288"/>
      <c r="F61" s="288"/>
      <c r="G61" s="288"/>
      <c r="H61" s="288"/>
      <c r="I61" s="288"/>
      <c r="J61" s="818"/>
      <c r="K61" s="308" t="s">
        <v>1177</v>
      </c>
      <c r="L61" s="932" t="s">
        <v>1506</v>
      </c>
      <c r="M61" s="288"/>
      <c r="N61" s="288"/>
      <c r="O61" s="288" t="s">
        <v>368</v>
      </c>
      <c r="P61" s="288"/>
      <c r="Q61" s="288"/>
      <c r="R61" s="288"/>
      <c r="S61" s="288"/>
      <c r="T61" s="288"/>
      <c r="U61" s="288"/>
      <c r="V61" s="288"/>
      <c r="W61" s="288"/>
      <c r="X61" s="288"/>
      <c r="Y61" s="288"/>
      <c r="Z61" s="288"/>
      <c r="AA61" s="786"/>
      <c r="AB61" s="288"/>
      <c r="AC61" s="288"/>
      <c r="AD61" s="288"/>
      <c r="AE61" s="288"/>
      <c r="AF61" s="288"/>
      <c r="AG61" s="308"/>
      <c r="AH61" s="308"/>
      <c r="AI61" s="308"/>
      <c r="AJ61" s="308"/>
      <c r="AK61" s="308"/>
      <c r="AL61" s="308" t="s">
        <v>3248</v>
      </c>
      <c r="AM61" s="308"/>
      <c r="AN61" s="308"/>
      <c r="AO61" s="308"/>
      <c r="AP61" s="1393" t="s">
        <v>3249</v>
      </c>
      <c r="AQ61" s="308"/>
      <c r="AR61" s="308"/>
      <c r="AS61" s="308"/>
      <c r="AT61" s="308"/>
      <c r="AU61" s="308"/>
      <c r="AV61" s="308"/>
      <c r="AW61" s="308"/>
      <c r="AX61" s="308"/>
    </row>
    <row r="62" spans="1:50" x14ac:dyDescent="0.3">
      <c r="A62" s="31"/>
      <c r="B62" s="929" t="s">
        <v>853</v>
      </c>
      <c r="C62" s="819"/>
      <c r="D62" s="823" t="s">
        <v>1471</v>
      </c>
      <c r="E62" s="288"/>
      <c r="F62" s="288"/>
      <c r="G62" s="288"/>
      <c r="H62" s="288"/>
      <c r="I62" s="288"/>
      <c r="J62" s="818"/>
      <c r="K62" s="823" t="s">
        <v>1500</v>
      </c>
      <c r="L62" s="931" t="s">
        <v>833</v>
      </c>
      <c r="M62" s="288"/>
      <c r="N62" s="288"/>
      <c r="O62" s="288" t="s">
        <v>369</v>
      </c>
      <c r="P62" s="288"/>
      <c r="Q62" s="288"/>
      <c r="R62" s="288"/>
      <c r="S62" s="288"/>
      <c r="T62" s="288"/>
      <c r="U62" s="288"/>
      <c r="V62" s="288"/>
      <c r="W62" s="288"/>
      <c r="X62" s="288"/>
      <c r="Y62" s="288"/>
      <c r="Z62" s="288"/>
      <c r="AA62" s="786"/>
      <c r="AB62" s="288"/>
      <c r="AC62" s="288"/>
      <c r="AD62" s="288"/>
      <c r="AE62" s="288"/>
      <c r="AF62" s="288"/>
      <c r="AG62" s="308"/>
      <c r="AH62" s="308"/>
      <c r="AI62" s="308"/>
      <c r="AJ62" s="308"/>
      <c r="AK62" s="308"/>
      <c r="AL62" s="308" t="s">
        <v>3250</v>
      </c>
      <c r="AM62" s="308"/>
      <c r="AN62" s="308"/>
      <c r="AO62" s="308"/>
      <c r="AP62" s="1393" t="s">
        <v>3251</v>
      </c>
      <c r="AQ62" s="308"/>
      <c r="AR62" s="308"/>
      <c r="AS62" s="308"/>
      <c r="AT62" s="308"/>
      <c r="AU62" s="308"/>
      <c r="AV62" s="308"/>
      <c r="AW62" s="308"/>
      <c r="AX62" s="308"/>
    </row>
    <row r="63" spans="1:50" x14ac:dyDescent="0.3">
      <c r="A63" s="31"/>
      <c r="B63" s="930" t="s">
        <v>1490</v>
      </c>
      <c r="C63" s="819"/>
      <c r="D63" s="288" t="s">
        <v>872</v>
      </c>
      <c r="E63" s="288"/>
      <c r="F63" s="288"/>
      <c r="G63" s="288"/>
      <c r="H63" s="288"/>
      <c r="I63" s="288"/>
      <c r="J63" s="818"/>
      <c r="K63" s="308" t="s">
        <v>1178</v>
      </c>
      <c r="L63" s="931" t="s">
        <v>821</v>
      </c>
      <c r="M63" s="288"/>
      <c r="N63" s="288"/>
      <c r="O63" s="288" t="s">
        <v>370</v>
      </c>
      <c r="P63" s="288"/>
      <c r="Q63" s="288"/>
      <c r="R63" s="288"/>
      <c r="S63" s="288"/>
      <c r="T63" s="288"/>
      <c r="U63" s="288"/>
      <c r="V63" s="288"/>
      <c r="W63" s="288"/>
      <c r="X63" s="288"/>
      <c r="Y63" s="288"/>
      <c r="Z63" s="288"/>
      <c r="AA63" s="786"/>
      <c r="AB63" s="288"/>
      <c r="AC63" s="288"/>
      <c r="AD63" s="288"/>
      <c r="AE63" s="288"/>
      <c r="AF63" s="288"/>
      <c r="AG63" s="308"/>
      <c r="AH63" s="308"/>
      <c r="AI63" s="308"/>
      <c r="AJ63" s="308"/>
      <c r="AK63" s="308"/>
      <c r="AL63" s="308" t="s">
        <v>3252</v>
      </c>
      <c r="AM63" s="308"/>
      <c r="AN63" s="308"/>
      <c r="AO63" s="308"/>
      <c r="AP63" s="1393" t="s">
        <v>3253</v>
      </c>
      <c r="AQ63" s="308"/>
      <c r="AR63" s="308"/>
      <c r="AS63" s="308"/>
      <c r="AT63" s="308"/>
      <c r="AU63" s="308"/>
      <c r="AV63" s="308"/>
      <c r="AW63" s="308"/>
      <c r="AX63" s="308"/>
    </row>
    <row r="64" spans="1:50" x14ac:dyDescent="0.3">
      <c r="A64" s="31"/>
      <c r="B64" s="929" t="s">
        <v>854</v>
      </c>
      <c r="C64" s="819"/>
      <c r="D64" s="288" t="s">
        <v>873</v>
      </c>
      <c r="E64" s="288"/>
      <c r="F64" s="288"/>
      <c r="G64" s="288"/>
      <c r="H64" s="288"/>
      <c r="I64" s="288"/>
      <c r="J64" s="818"/>
      <c r="K64" s="308" t="s">
        <v>1179</v>
      </c>
      <c r="L64" s="931" t="s">
        <v>1191</v>
      </c>
      <c r="M64" s="288"/>
      <c r="N64" s="288"/>
      <c r="O64" s="288" t="s">
        <v>371</v>
      </c>
      <c r="P64" s="288"/>
      <c r="Q64" s="288"/>
      <c r="R64" s="288"/>
      <c r="S64" s="288"/>
      <c r="T64" s="288"/>
      <c r="U64" s="288"/>
      <c r="V64" s="288"/>
      <c r="W64" s="288"/>
      <c r="X64" s="288"/>
      <c r="Y64" s="288"/>
      <c r="Z64" s="288"/>
      <c r="AA64" s="786"/>
      <c r="AB64" s="288"/>
      <c r="AC64" s="288"/>
      <c r="AD64" s="288"/>
      <c r="AE64" s="288"/>
      <c r="AF64" s="288"/>
      <c r="AG64" s="308"/>
      <c r="AH64" s="308"/>
      <c r="AI64" s="308"/>
      <c r="AJ64" s="308"/>
      <c r="AK64" s="308"/>
      <c r="AL64" s="308" t="s">
        <v>3254</v>
      </c>
      <c r="AM64" s="308"/>
      <c r="AN64" s="308"/>
      <c r="AO64" s="308"/>
      <c r="AP64" s="1393" t="s">
        <v>3255</v>
      </c>
      <c r="AQ64" s="308"/>
      <c r="AR64" s="308"/>
      <c r="AS64" s="308"/>
      <c r="AT64" s="308"/>
      <c r="AU64" s="308"/>
      <c r="AV64" s="308"/>
      <c r="AW64" s="308"/>
      <c r="AX64" s="308"/>
    </row>
    <row r="65" spans="1:50" x14ac:dyDescent="0.3">
      <c r="A65" s="31"/>
      <c r="B65" s="929" t="s">
        <v>855</v>
      </c>
      <c r="C65" s="819"/>
      <c r="D65" s="288" t="s">
        <v>359</v>
      </c>
      <c r="E65" s="288"/>
      <c r="F65" s="288"/>
      <c r="G65" s="288"/>
      <c r="H65" s="288"/>
      <c r="I65" s="288"/>
      <c r="J65" s="288"/>
      <c r="K65" s="288"/>
      <c r="L65" s="929" t="s">
        <v>822</v>
      </c>
      <c r="M65" s="288"/>
      <c r="N65" s="288"/>
      <c r="O65" s="288" t="s">
        <v>372</v>
      </c>
      <c r="P65" s="288"/>
      <c r="Q65" s="288"/>
      <c r="R65" s="288"/>
      <c r="S65" s="288"/>
      <c r="T65" s="288"/>
      <c r="U65" s="288"/>
      <c r="V65" s="288"/>
      <c r="W65" s="288"/>
      <c r="X65" s="288"/>
      <c r="Y65" s="288"/>
      <c r="Z65" s="288"/>
      <c r="AA65" s="786"/>
      <c r="AB65" s="288"/>
      <c r="AC65" s="288"/>
      <c r="AD65" s="288"/>
      <c r="AE65" s="288"/>
      <c r="AF65" s="288"/>
      <c r="AG65" s="308"/>
      <c r="AH65" s="308"/>
      <c r="AI65" s="308"/>
      <c r="AJ65" s="308"/>
      <c r="AK65" s="308"/>
      <c r="AL65" s="308" t="s">
        <v>3256</v>
      </c>
      <c r="AM65" s="308"/>
      <c r="AN65" s="308"/>
      <c r="AO65" s="308"/>
      <c r="AP65" s="1393" t="s">
        <v>3257</v>
      </c>
      <c r="AQ65" s="308"/>
      <c r="AR65" s="308"/>
      <c r="AS65" s="308"/>
      <c r="AT65" s="308"/>
      <c r="AU65" s="308"/>
      <c r="AV65" s="308"/>
      <c r="AW65" s="308"/>
      <c r="AX65" s="308"/>
    </row>
    <row r="66" spans="1:50" x14ac:dyDescent="0.3">
      <c r="A66" s="31"/>
      <c r="B66" s="930" t="s">
        <v>1478</v>
      </c>
      <c r="C66" s="819"/>
      <c r="D66" s="288" t="s">
        <v>349</v>
      </c>
      <c r="E66" s="288"/>
      <c r="F66" s="288"/>
      <c r="G66" s="288"/>
      <c r="H66" s="288"/>
      <c r="I66" s="288"/>
      <c r="J66" s="288"/>
      <c r="K66" s="288"/>
      <c r="L66" s="929" t="s">
        <v>938</v>
      </c>
      <c r="M66" s="288"/>
      <c r="N66" s="288"/>
      <c r="O66" s="288" t="s">
        <v>373</v>
      </c>
      <c r="P66" s="288"/>
      <c r="Q66" s="288"/>
      <c r="R66" s="288"/>
      <c r="S66" s="288"/>
      <c r="T66" s="288"/>
      <c r="U66" s="288"/>
      <c r="V66" s="288"/>
      <c r="W66" s="288"/>
      <c r="X66" s="288"/>
      <c r="Y66" s="288"/>
      <c r="Z66" s="288"/>
      <c r="AA66" s="786"/>
      <c r="AB66" s="288"/>
      <c r="AC66" s="288"/>
      <c r="AD66" s="288"/>
      <c r="AE66" s="288"/>
      <c r="AF66" s="288"/>
      <c r="AG66" s="308"/>
      <c r="AH66" s="308"/>
      <c r="AI66" s="308"/>
      <c r="AJ66" s="308"/>
      <c r="AK66" s="308"/>
      <c r="AL66" s="308" t="s">
        <v>3258</v>
      </c>
      <c r="AM66" s="308"/>
      <c r="AN66" s="308"/>
      <c r="AO66" s="308"/>
      <c r="AP66" s="1393" t="s">
        <v>3259</v>
      </c>
      <c r="AQ66" s="308"/>
      <c r="AR66" s="308"/>
      <c r="AS66" s="308"/>
      <c r="AT66" s="308"/>
      <c r="AU66" s="308"/>
      <c r="AV66" s="308"/>
      <c r="AW66" s="308"/>
      <c r="AX66" s="308"/>
    </row>
    <row r="67" spans="1:50" x14ac:dyDescent="0.3">
      <c r="A67" s="31"/>
      <c r="B67" s="929" t="s">
        <v>856</v>
      </c>
      <c r="C67" s="819"/>
      <c r="D67" s="288" t="s">
        <v>347</v>
      </c>
      <c r="E67" s="288"/>
      <c r="F67" s="288"/>
      <c r="G67" s="288"/>
      <c r="H67" s="288"/>
      <c r="I67" s="288"/>
      <c r="J67" s="288"/>
      <c r="K67" s="288"/>
      <c r="L67" s="929" t="s">
        <v>939</v>
      </c>
      <c r="M67" s="288"/>
      <c r="N67" s="288"/>
      <c r="O67" s="288" t="s">
        <v>374</v>
      </c>
      <c r="P67" s="288"/>
      <c r="Q67" s="288"/>
      <c r="R67" s="288"/>
      <c r="S67" s="288"/>
      <c r="T67" s="288"/>
      <c r="U67" s="288"/>
      <c r="V67" s="288"/>
      <c r="W67" s="288"/>
      <c r="X67" s="288"/>
      <c r="Y67" s="288"/>
      <c r="Z67" s="288"/>
      <c r="AA67" s="786"/>
      <c r="AB67" s="288"/>
      <c r="AC67" s="288"/>
      <c r="AD67" s="288"/>
      <c r="AE67" s="288"/>
      <c r="AF67" s="288"/>
      <c r="AG67" s="308"/>
      <c r="AH67" s="308"/>
      <c r="AI67" s="308"/>
      <c r="AJ67" s="308"/>
      <c r="AK67" s="308"/>
      <c r="AL67" s="308" t="s">
        <v>3260</v>
      </c>
      <c r="AM67" s="308"/>
      <c r="AN67" s="308"/>
      <c r="AO67" s="308"/>
      <c r="AP67" s="1393" t="s">
        <v>3261</v>
      </c>
      <c r="AQ67" s="308"/>
      <c r="AR67" s="308"/>
      <c r="AS67" s="308"/>
      <c r="AT67" s="308"/>
      <c r="AU67" s="308"/>
      <c r="AV67" s="308"/>
      <c r="AW67" s="308"/>
      <c r="AX67" s="308"/>
    </row>
    <row r="68" spans="1:50" x14ac:dyDescent="0.3">
      <c r="A68" s="31"/>
      <c r="B68" s="930" t="s">
        <v>1509</v>
      </c>
      <c r="C68" s="819"/>
      <c r="D68" s="288" t="s">
        <v>1308</v>
      </c>
      <c r="E68" s="288"/>
      <c r="F68" s="288"/>
      <c r="G68" s="288"/>
      <c r="H68" s="288"/>
      <c r="I68" s="288"/>
      <c r="J68" s="288"/>
      <c r="K68" s="288"/>
      <c r="L68" s="929" t="s">
        <v>823</v>
      </c>
      <c r="M68" s="288"/>
      <c r="N68" s="288"/>
      <c r="O68" s="288" t="s">
        <v>375</v>
      </c>
      <c r="P68" s="288"/>
      <c r="Q68" s="288"/>
      <c r="R68" s="288"/>
      <c r="S68" s="288"/>
      <c r="T68" s="288"/>
      <c r="U68" s="288"/>
      <c r="V68" s="288"/>
      <c r="W68" s="288"/>
      <c r="X68" s="288"/>
      <c r="Y68" s="288"/>
      <c r="Z68" s="288"/>
      <c r="AA68" s="786"/>
      <c r="AB68" s="288"/>
      <c r="AC68" s="288"/>
      <c r="AD68" s="288"/>
      <c r="AE68" s="288"/>
      <c r="AF68" s="288"/>
      <c r="AG68" s="308"/>
      <c r="AH68" s="308"/>
      <c r="AI68" s="308"/>
      <c r="AJ68" s="308"/>
      <c r="AK68" s="308"/>
      <c r="AL68" s="308" t="s">
        <v>3262</v>
      </c>
      <c r="AM68" s="308"/>
      <c r="AN68" s="308"/>
      <c r="AO68" s="308"/>
      <c r="AP68" s="1393" t="s">
        <v>3263</v>
      </c>
      <c r="AQ68" s="308"/>
      <c r="AR68" s="308"/>
      <c r="AS68" s="308"/>
      <c r="AT68" s="308"/>
      <c r="AU68" s="308"/>
      <c r="AV68" s="308"/>
      <c r="AW68" s="308"/>
      <c r="AX68" s="308"/>
    </row>
    <row r="69" spans="1:50" x14ac:dyDescent="0.3">
      <c r="A69" s="31"/>
      <c r="B69" s="930" t="s">
        <v>1460</v>
      </c>
      <c r="C69" s="819"/>
      <c r="D69" s="288" t="s">
        <v>1115</v>
      </c>
      <c r="E69" s="288"/>
      <c r="F69" s="288"/>
      <c r="G69" s="288"/>
      <c r="H69" s="288"/>
      <c r="I69" s="288"/>
      <c r="J69" s="288"/>
      <c r="K69" s="288"/>
      <c r="L69" s="929" t="s">
        <v>824</v>
      </c>
      <c r="M69" s="288"/>
      <c r="N69" s="288"/>
      <c r="O69" s="288"/>
      <c r="P69" s="288"/>
      <c r="Q69" s="288"/>
      <c r="R69" s="288"/>
      <c r="S69" s="288"/>
      <c r="T69" s="288"/>
      <c r="U69" s="288"/>
      <c r="V69" s="288"/>
      <c r="W69" s="288"/>
      <c r="X69" s="288"/>
      <c r="Y69" s="288"/>
      <c r="Z69" s="288"/>
      <c r="AA69" s="786"/>
      <c r="AB69" s="288"/>
      <c r="AC69" s="288"/>
      <c r="AD69" s="288"/>
      <c r="AE69" s="288"/>
      <c r="AF69" s="288"/>
      <c r="AG69" s="308"/>
      <c r="AH69" s="308"/>
      <c r="AI69" s="308"/>
      <c r="AJ69" s="308"/>
      <c r="AK69" s="308"/>
      <c r="AL69" s="308" t="s">
        <v>3264</v>
      </c>
      <c r="AM69" s="308"/>
      <c r="AN69" s="308"/>
      <c r="AO69" s="308"/>
      <c r="AP69" s="1393" t="s">
        <v>3265</v>
      </c>
      <c r="AQ69" s="308"/>
      <c r="AR69" s="308"/>
      <c r="AS69" s="308"/>
      <c r="AT69" s="308"/>
      <c r="AU69" s="308"/>
      <c r="AV69" s="308"/>
      <c r="AW69" s="308"/>
      <c r="AX69" s="308"/>
    </row>
    <row r="70" spans="1:50" x14ac:dyDescent="0.3">
      <c r="A70" s="31"/>
      <c r="B70" s="930" t="s">
        <v>1507</v>
      </c>
      <c r="C70" s="819"/>
      <c r="D70" s="288" t="s">
        <v>1116</v>
      </c>
      <c r="E70" s="288"/>
      <c r="F70" s="288"/>
      <c r="G70" s="288"/>
      <c r="H70" s="288"/>
      <c r="I70" s="288"/>
      <c r="J70" s="288"/>
      <c r="K70" s="288"/>
      <c r="L70" s="929" t="s">
        <v>825</v>
      </c>
      <c r="M70" s="288"/>
      <c r="N70" s="288"/>
      <c r="O70" s="288"/>
      <c r="P70" s="288"/>
      <c r="Q70" s="288"/>
      <c r="R70" s="288"/>
      <c r="S70" s="288"/>
      <c r="T70" s="288"/>
      <c r="U70" s="288"/>
      <c r="V70" s="288"/>
      <c r="W70" s="288"/>
      <c r="X70" s="288"/>
      <c r="Y70" s="288"/>
      <c r="Z70" s="288"/>
      <c r="AA70" s="786"/>
      <c r="AB70" s="288"/>
      <c r="AC70" s="288"/>
      <c r="AD70" s="288"/>
      <c r="AE70" s="288"/>
      <c r="AF70" s="288"/>
      <c r="AG70" s="308"/>
      <c r="AH70" s="308"/>
      <c r="AI70" s="308"/>
      <c r="AJ70" s="308"/>
      <c r="AK70" s="308"/>
      <c r="AL70" s="308" t="s">
        <v>3266</v>
      </c>
      <c r="AM70" s="308"/>
      <c r="AN70" s="308"/>
      <c r="AO70" s="308"/>
      <c r="AP70" s="1393" t="s">
        <v>3267</v>
      </c>
      <c r="AQ70" s="308"/>
      <c r="AR70" s="308"/>
      <c r="AS70" s="308"/>
      <c r="AT70" s="308"/>
      <c r="AU70" s="308"/>
      <c r="AV70" s="308"/>
      <c r="AW70" s="308"/>
      <c r="AX70" s="308"/>
    </row>
    <row r="71" spans="1:50" x14ac:dyDescent="0.3">
      <c r="A71" s="31"/>
      <c r="B71" s="929" t="s">
        <v>857</v>
      </c>
      <c r="C71" s="819"/>
      <c r="D71" s="288" t="s">
        <v>1117</v>
      </c>
      <c r="E71" s="288"/>
      <c r="F71" s="288"/>
      <c r="G71" s="288"/>
      <c r="H71" s="288"/>
      <c r="I71" s="288"/>
      <c r="J71" s="288"/>
      <c r="K71" s="288"/>
      <c r="L71" s="929" t="s">
        <v>826</v>
      </c>
      <c r="M71" s="288"/>
      <c r="N71" s="288"/>
      <c r="O71" s="288"/>
      <c r="P71" s="288"/>
      <c r="Q71" s="288"/>
      <c r="R71" s="288"/>
      <c r="S71" s="288"/>
      <c r="T71" s="288"/>
      <c r="U71" s="288"/>
      <c r="V71" s="288"/>
      <c r="W71" s="288"/>
      <c r="X71" s="288"/>
      <c r="Y71" s="288"/>
      <c r="Z71" s="288"/>
      <c r="AA71" s="786"/>
      <c r="AB71" s="288"/>
      <c r="AC71" s="288"/>
      <c r="AD71" s="288"/>
      <c r="AE71" s="288"/>
      <c r="AF71" s="288"/>
      <c r="AG71" s="308"/>
      <c r="AH71" s="308"/>
      <c r="AI71" s="308"/>
      <c r="AJ71" s="308"/>
      <c r="AK71" s="308"/>
      <c r="AL71" s="308" t="s">
        <v>3268</v>
      </c>
      <c r="AM71" s="308"/>
      <c r="AN71" s="308"/>
      <c r="AO71" s="308"/>
      <c r="AP71" s="1393" t="s">
        <v>3269</v>
      </c>
      <c r="AQ71" s="308"/>
      <c r="AR71" s="308"/>
      <c r="AS71" s="308"/>
      <c r="AT71" s="308"/>
      <c r="AU71" s="308"/>
      <c r="AV71" s="308"/>
      <c r="AW71" s="308"/>
      <c r="AX71" s="308"/>
    </row>
    <row r="72" spans="1:50" x14ac:dyDescent="0.3">
      <c r="A72" s="31"/>
      <c r="B72" s="929" t="s">
        <v>858</v>
      </c>
      <c r="C72" s="819"/>
      <c r="D72" s="288" t="s">
        <v>1118</v>
      </c>
      <c r="E72" s="288"/>
      <c r="F72" s="288"/>
      <c r="G72" s="288"/>
      <c r="H72" s="288"/>
      <c r="I72" s="288"/>
      <c r="J72" s="288"/>
      <c r="K72" s="818"/>
      <c r="L72" s="929" t="s">
        <v>1192</v>
      </c>
      <c r="M72" s="819"/>
      <c r="N72" s="288"/>
      <c r="O72" s="288"/>
      <c r="P72" s="288"/>
      <c r="Q72" s="288"/>
      <c r="R72" s="288"/>
      <c r="S72" s="288"/>
      <c r="T72" s="288"/>
      <c r="U72" s="288"/>
      <c r="V72" s="288"/>
      <c r="W72" s="288"/>
      <c r="X72" s="288"/>
      <c r="Y72" s="288"/>
      <c r="Z72" s="288"/>
      <c r="AA72" s="786"/>
      <c r="AB72" s="288"/>
      <c r="AC72" s="288"/>
      <c r="AD72" s="288"/>
      <c r="AE72" s="288"/>
      <c r="AF72" s="288"/>
      <c r="AG72" s="308"/>
      <c r="AH72" s="308"/>
      <c r="AI72" s="308"/>
      <c r="AJ72" s="308"/>
      <c r="AK72" s="308"/>
      <c r="AL72" s="308" t="s">
        <v>3270</v>
      </c>
      <c r="AM72" s="308"/>
      <c r="AN72" s="308"/>
      <c r="AO72" s="308"/>
      <c r="AP72" s="1393" t="s">
        <v>3271</v>
      </c>
      <c r="AQ72" s="308"/>
      <c r="AR72" s="308"/>
      <c r="AS72" s="308"/>
      <c r="AT72" s="308"/>
      <c r="AU72" s="308"/>
      <c r="AV72" s="308"/>
      <c r="AW72" s="308"/>
      <c r="AX72" s="308"/>
    </row>
    <row r="73" spans="1:50" x14ac:dyDescent="0.3">
      <c r="A73" s="31"/>
      <c r="B73" s="929" t="s">
        <v>859</v>
      </c>
      <c r="C73" s="819"/>
      <c r="D73" s="288" t="s">
        <v>1119</v>
      </c>
      <c r="E73" s="288"/>
      <c r="F73" s="288"/>
      <c r="G73" s="288"/>
      <c r="H73" s="288"/>
      <c r="I73" s="288"/>
      <c r="J73" s="288"/>
      <c r="K73" s="818"/>
      <c r="L73" s="929" t="s">
        <v>1193</v>
      </c>
      <c r="M73" s="819"/>
      <c r="N73" s="288"/>
      <c r="O73" s="288"/>
      <c r="P73" s="288"/>
      <c r="Q73" s="288"/>
      <c r="R73" s="288"/>
      <c r="S73" s="288"/>
      <c r="T73" s="288"/>
      <c r="U73" s="288"/>
      <c r="V73" s="288"/>
      <c r="W73" s="288"/>
      <c r="X73" s="288"/>
      <c r="Y73" s="288"/>
      <c r="Z73" s="288"/>
      <c r="AA73" s="786"/>
      <c r="AB73" s="288"/>
      <c r="AC73" s="288"/>
      <c r="AD73" s="288"/>
      <c r="AE73" s="288"/>
      <c r="AF73" s="288"/>
      <c r="AG73" s="308"/>
      <c r="AH73" s="308"/>
      <c r="AI73" s="308"/>
      <c r="AJ73" s="308"/>
      <c r="AK73" s="308"/>
      <c r="AL73" s="308" t="s">
        <v>3272</v>
      </c>
      <c r="AM73" s="308"/>
      <c r="AN73" s="308"/>
      <c r="AO73" s="308"/>
      <c r="AP73" s="1393" t="s">
        <v>3273</v>
      </c>
      <c r="AQ73" s="308"/>
      <c r="AR73" s="308"/>
      <c r="AS73" s="308"/>
      <c r="AT73" s="308"/>
      <c r="AU73" s="308"/>
      <c r="AV73" s="308"/>
      <c r="AW73" s="308"/>
      <c r="AX73" s="308"/>
    </row>
    <row r="74" spans="1:50" x14ac:dyDescent="0.3">
      <c r="A74" s="31"/>
      <c r="B74" s="929" t="s">
        <v>1071</v>
      </c>
      <c r="C74" s="819"/>
      <c r="D74" s="288" t="s">
        <v>1120</v>
      </c>
      <c r="E74" s="288"/>
      <c r="F74" s="288"/>
      <c r="G74" s="288"/>
      <c r="H74" s="288"/>
      <c r="I74" s="288"/>
      <c r="J74" s="288"/>
      <c r="K74" s="818"/>
      <c r="L74" s="929" t="s">
        <v>834</v>
      </c>
      <c r="M74" s="819"/>
      <c r="N74" s="288"/>
      <c r="O74" s="288"/>
      <c r="P74" s="288"/>
      <c r="Q74" s="288"/>
      <c r="R74" s="288"/>
      <c r="S74" s="288"/>
      <c r="T74" s="288"/>
      <c r="U74" s="288"/>
      <c r="V74" s="288"/>
      <c r="W74" s="288"/>
      <c r="X74" s="288"/>
      <c r="Y74" s="288"/>
      <c r="Z74" s="288"/>
      <c r="AA74" s="786"/>
      <c r="AB74" s="288"/>
      <c r="AC74" s="288"/>
      <c r="AD74" s="288"/>
      <c r="AE74" s="288"/>
      <c r="AF74" s="288"/>
      <c r="AG74" s="308"/>
      <c r="AH74" s="308"/>
      <c r="AI74" s="308"/>
      <c r="AJ74" s="308"/>
      <c r="AK74" s="308"/>
      <c r="AL74" s="308" t="s">
        <v>3274</v>
      </c>
      <c r="AM74" s="308"/>
      <c r="AN74" s="308"/>
      <c r="AO74" s="308"/>
      <c r="AP74" s="1393" t="s">
        <v>3275</v>
      </c>
      <c r="AQ74" s="308"/>
      <c r="AR74" s="308"/>
      <c r="AS74" s="308"/>
      <c r="AT74" s="308"/>
      <c r="AU74" s="308"/>
      <c r="AV74" s="308"/>
      <c r="AW74" s="308"/>
      <c r="AX74" s="308"/>
    </row>
    <row r="75" spans="1:50" x14ac:dyDescent="0.3">
      <c r="A75" s="31"/>
      <c r="B75" s="929" t="s">
        <v>860</v>
      </c>
      <c r="C75" s="819"/>
      <c r="D75" s="288" t="s">
        <v>1121</v>
      </c>
      <c r="E75" s="288"/>
      <c r="F75" s="288"/>
      <c r="G75" s="288"/>
      <c r="H75" s="288"/>
      <c r="I75" s="288"/>
      <c r="J75" s="288"/>
      <c r="K75" s="818"/>
      <c r="L75" s="929" t="s">
        <v>827</v>
      </c>
      <c r="M75" s="819"/>
      <c r="N75" s="288"/>
      <c r="O75" s="288"/>
      <c r="P75" s="288"/>
      <c r="Q75" s="288"/>
      <c r="R75" s="288"/>
      <c r="S75" s="288"/>
      <c r="T75" s="288"/>
      <c r="U75" s="288"/>
      <c r="V75" s="288"/>
      <c r="W75" s="288"/>
      <c r="X75" s="288"/>
      <c r="Y75" s="288"/>
      <c r="Z75" s="288"/>
      <c r="AA75" s="786"/>
      <c r="AB75" s="288"/>
      <c r="AC75" s="288"/>
      <c r="AD75" s="288"/>
      <c r="AE75" s="288"/>
      <c r="AF75" s="288"/>
      <c r="AG75" s="308"/>
      <c r="AH75" s="308"/>
      <c r="AI75" s="308"/>
      <c r="AJ75" s="308"/>
      <c r="AK75" s="308"/>
      <c r="AL75" s="308" t="s">
        <v>3276</v>
      </c>
      <c r="AM75" s="308"/>
      <c r="AN75" s="308"/>
      <c r="AO75" s="308"/>
      <c r="AP75" s="1393" t="s">
        <v>3277</v>
      </c>
      <c r="AQ75" s="308"/>
      <c r="AR75" s="308"/>
      <c r="AS75" s="308"/>
      <c r="AT75" s="308"/>
      <c r="AU75" s="308"/>
      <c r="AV75" s="308"/>
      <c r="AW75" s="308"/>
      <c r="AX75" s="308"/>
    </row>
    <row r="76" spans="1:50" x14ac:dyDescent="0.3">
      <c r="A76" s="31"/>
      <c r="B76" s="930" t="s">
        <v>1489</v>
      </c>
      <c r="C76" s="819"/>
      <c r="D76" s="288" t="s">
        <v>1122</v>
      </c>
      <c r="E76" s="288"/>
      <c r="F76" s="288"/>
      <c r="G76" s="288"/>
      <c r="H76" s="288"/>
      <c r="I76" s="288"/>
      <c r="J76" s="288"/>
      <c r="K76" s="288"/>
      <c r="L76" s="288"/>
      <c r="M76" s="288"/>
      <c r="N76" s="288"/>
      <c r="O76" s="288"/>
      <c r="P76" s="288"/>
      <c r="Q76" s="288"/>
      <c r="R76" s="288"/>
      <c r="S76" s="288"/>
      <c r="T76" s="288"/>
      <c r="U76" s="288"/>
      <c r="V76" s="288"/>
      <c r="W76" s="288"/>
      <c r="X76" s="288"/>
      <c r="Y76" s="288"/>
      <c r="Z76" s="288"/>
      <c r="AA76" s="786"/>
      <c r="AB76" s="288"/>
      <c r="AC76" s="288"/>
      <c r="AD76" s="288"/>
      <c r="AE76" s="288"/>
      <c r="AF76" s="288"/>
      <c r="AG76" s="308"/>
      <c r="AH76" s="308"/>
      <c r="AI76" s="308"/>
      <c r="AJ76" s="308"/>
      <c r="AK76" s="308"/>
      <c r="AL76" s="308" t="s">
        <v>3278</v>
      </c>
      <c r="AM76" s="308"/>
      <c r="AN76" s="308"/>
      <c r="AO76" s="308"/>
      <c r="AP76" s="1393" t="s">
        <v>3279</v>
      </c>
      <c r="AQ76" s="308"/>
      <c r="AR76" s="308"/>
      <c r="AS76" s="308"/>
      <c r="AT76" s="308"/>
      <c r="AU76" s="308"/>
      <c r="AV76" s="308"/>
      <c r="AW76" s="308"/>
      <c r="AX76" s="308"/>
    </row>
    <row r="77" spans="1:50" x14ac:dyDescent="0.3">
      <c r="A77" s="31"/>
      <c r="B77" s="929" t="s">
        <v>1072</v>
      </c>
      <c r="C77" s="819"/>
      <c r="D77" s="288" t="s">
        <v>169</v>
      </c>
      <c r="E77" s="288"/>
      <c r="F77" s="288"/>
      <c r="G77" s="288"/>
      <c r="H77" s="288"/>
      <c r="I77" s="288"/>
      <c r="J77" s="288"/>
      <c r="K77" s="288"/>
      <c r="L77" s="288"/>
      <c r="M77" s="288"/>
      <c r="N77" s="288"/>
      <c r="O77" s="288"/>
      <c r="P77" s="288"/>
      <c r="Q77" s="288"/>
      <c r="R77" s="288"/>
      <c r="S77" s="288"/>
      <c r="T77" s="288"/>
      <c r="U77" s="288"/>
      <c r="V77" s="288"/>
      <c r="W77" s="288"/>
      <c r="X77" s="288"/>
      <c r="Y77" s="288"/>
      <c r="Z77" s="288"/>
      <c r="AA77" s="786"/>
      <c r="AB77" s="288"/>
      <c r="AC77" s="288"/>
      <c r="AD77" s="288"/>
      <c r="AE77" s="288"/>
      <c r="AF77" s="288"/>
      <c r="AG77" s="308"/>
      <c r="AH77" s="308"/>
      <c r="AI77" s="308"/>
      <c r="AJ77" s="308"/>
      <c r="AK77" s="308"/>
      <c r="AL77" s="308" t="s">
        <v>3280</v>
      </c>
      <c r="AM77" s="308"/>
      <c r="AN77" s="308"/>
      <c r="AO77" s="308"/>
      <c r="AP77" s="1393" t="s">
        <v>3281</v>
      </c>
      <c r="AQ77" s="308"/>
      <c r="AR77" s="308"/>
      <c r="AS77" s="308"/>
      <c r="AT77" s="308"/>
      <c r="AU77" s="308"/>
      <c r="AV77" s="308"/>
      <c r="AW77" s="308"/>
      <c r="AX77" s="308"/>
    </row>
    <row r="78" spans="1:50" x14ac:dyDescent="0.3">
      <c r="A78" s="31"/>
      <c r="B78" s="929" t="s">
        <v>1073</v>
      </c>
      <c r="C78" s="819"/>
      <c r="D78" s="823" t="s">
        <v>1475</v>
      </c>
      <c r="E78" s="288"/>
      <c r="F78" s="288"/>
      <c r="G78" s="288"/>
      <c r="H78" s="288"/>
      <c r="I78" s="288"/>
      <c r="J78" s="288"/>
      <c r="K78" s="288"/>
      <c r="L78" s="288"/>
      <c r="M78" s="288"/>
      <c r="N78" s="288"/>
      <c r="O78" s="288"/>
      <c r="P78" s="288"/>
      <c r="Q78" s="288"/>
      <c r="R78" s="288"/>
      <c r="S78" s="288"/>
      <c r="T78" s="288"/>
      <c r="U78" s="288"/>
      <c r="V78" s="288"/>
      <c r="W78" s="288"/>
      <c r="X78" s="288"/>
      <c r="Y78" s="288"/>
      <c r="Z78" s="288"/>
      <c r="AA78" s="786"/>
      <c r="AB78" s="288"/>
      <c r="AC78" s="288"/>
      <c r="AD78" s="288"/>
      <c r="AE78" s="288"/>
      <c r="AF78" s="288"/>
      <c r="AG78" s="308"/>
      <c r="AH78" s="308"/>
      <c r="AI78" s="308"/>
      <c r="AJ78" s="308"/>
      <c r="AK78" s="308"/>
      <c r="AL78" s="308" t="s">
        <v>3282</v>
      </c>
      <c r="AM78" s="308"/>
      <c r="AN78" s="308"/>
      <c r="AO78" s="308"/>
      <c r="AP78" s="1393" t="s">
        <v>3283</v>
      </c>
      <c r="AQ78" s="308"/>
      <c r="AR78" s="308"/>
      <c r="AS78" s="308"/>
      <c r="AT78" s="308"/>
      <c r="AU78" s="308"/>
      <c r="AV78" s="308"/>
      <c r="AW78" s="308"/>
      <c r="AX78" s="308"/>
    </row>
    <row r="79" spans="1:50" x14ac:dyDescent="0.3">
      <c r="A79" s="31"/>
      <c r="B79" s="930" t="s">
        <v>1459</v>
      </c>
      <c r="C79" s="819"/>
      <c r="D79" s="288" t="s">
        <v>1123</v>
      </c>
      <c r="E79" s="288"/>
      <c r="F79" s="288"/>
      <c r="G79" s="288"/>
      <c r="H79" s="288"/>
      <c r="I79" s="288"/>
      <c r="J79" s="288"/>
      <c r="K79" s="288"/>
      <c r="L79" s="288"/>
      <c r="M79" s="288"/>
      <c r="N79" s="288"/>
      <c r="O79" s="288"/>
      <c r="P79" s="288"/>
      <c r="Q79" s="288"/>
      <c r="R79" s="288"/>
      <c r="S79" s="288"/>
      <c r="T79" s="288"/>
      <c r="U79" s="288"/>
      <c r="V79" s="288"/>
      <c r="W79" s="288"/>
      <c r="X79" s="288"/>
      <c r="Y79" s="288"/>
      <c r="Z79" s="288"/>
      <c r="AA79" s="786"/>
      <c r="AB79" s="288"/>
      <c r="AC79" s="288"/>
      <c r="AD79" s="288"/>
      <c r="AE79" s="288"/>
      <c r="AF79" s="288"/>
      <c r="AG79" s="308"/>
      <c r="AH79" s="308"/>
      <c r="AI79" s="308"/>
      <c r="AJ79" s="308"/>
      <c r="AK79" s="308"/>
      <c r="AL79" s="308" t="s">
        <v>3284</v>
      </c>
      <c r="AM79" s="308"/>
      <c r="AN79" s="308"/>
      <c r="AO79" s="308"/>
      <c r="AP79" s="1393" t="s">
        <v>3285</v>
      </c>
      <c r="AQ79" s="308"/>
      <c r="AR79" s="308"/>
      <c r="AS79" s="308"/>
      <c r="AT79" s="308"/>
      <c r="AU79" s="308"/>
      <c r="AV79" s="308"/>
      <c r="AW79" s="308"/>
      <c r="AX79" s="308"/>
    </row>
    <row r="80" spans="1:50" x14ac:dyDescent="0.3">
      <c r="A80" s="31"/>
      <c r="B80" s="930" t="s">
        <v>1459</v>
      </c>
      <c r="C80" s="819"/>
      <c r="D80" s="288" t="s">
        <v>1309</v>
      </c>
      <c r="E80" s="288"/>
      <c r="F80" s="288"/>
      <c r="G80" s="288"/>
      <c r="H80" s="288"/>
      <c r="I80" s="288"/>
      <c r="J80" s="288"/>
      <c r="K80" s="288"/>
      <c r="L80" s="288"/>
      <c r="M80" s="288"/>
      <c r="N80" s="288"/>
      <c r="O80" s="288"/>
      <c r="P80" s="288"/>
      <c r="Q80" s="288"/>
      <c r="R80" s="288"/>
      <c r="S80" s="288"/>
      <c r="T80" s="288"/>
      <c r="U80" s="288"/>
      <c r="V80" s="288"/>
      <c r="W80" s="288"/>
      <c r="X80" s="288"/>
      <c r="Y80" s="288"/>
      <c r="Z80" s="288"/>
      <c r="AA80" s="786"/>
      <c r="AB80" s="288"/>
      <c r="AC80" s="288"/>
      <c r="AD80" s="288"/>
      <c r="AE80" s="288"/>
      <c r="AF80" s="288"/>
      <c r="AG80" s="308"/>
      <c r="AH80" s="308"/>
      <c r="AI80" s="308"/>
      <c r="AJ80" s="308"/>
      <c r="AK80" s="308"/>
      <c r="AL80" s="308" t="s">
        <v>3286</v>
      </c>
      <c r="AM80" s="308"/>
      <c r="AN80" s="308"/>
      <c r="AO80" s="308"/>
      <c r="AP80" s="1393" t="s">
        <v>3287</v>
      </c>
      <c r="AQ80" s="308"/>
      <c r="AR80" s="308"/>
      <c r="AS80" s="308"/>
      <c r="AT80" s="308"/>
      <c r="AU80" s="308"/>
      <c r="AV80" s="308"/>
      <c r="AW80" s="308"/>
      <c r="AX80" s="308"/>
    </row>
    <row r="81" spans="2:50" x14ac:dyDescent="0.3">
      <c r="B81" s="929" t="s">
        <v>861</v>
      </c>
      <c r="C81" s="820"/>
      <c r="D81" s="308" t="s">
        <v>1124</v>
      </c>
      <c r="E81" s="819"/>
      <c r="F81" s="308"/>
      <c r="G81" s="308"/>
      <c r="H81" s="308"/>
      <c r="I81" s="308"/>
      <c r="J81" s="308"/>
      <c r="K81" s="308"/>
      <c r="L81" s="308"/>
      <c r="M81" s="308"/>
      <c r="N81" s="308"/>
      <c r="O81" s="308"/>
      <c r="P81" s="308"/>
      <c r="Q81" s="308"/>
      <c r="R81" s="308"/>
      <c r="S81" s="308"/>
      <c r="T81" s="308"/>
      <c r="U81" s="308"/>
      <c r="V81" s="308"/>
      <c r="W81" s="308"/>
      <c r="X81" s="308"/>
      <c r="Y81" s="308"/>
      <c r="Z81" s="308"/>
      <c r="AA81" s="786"/>
      <c r="AB81" s="308"/>
      <c r="AC81" s="308"/>
      <c r="AD81" s="308"/>
      <c r="AE81" s="308"/>
      <c r="AF81" s="308"/>
      <c r="AG81" s="308"/>
      <c r="AH81" s="308"/>
      <c r="AI81" s="308"/>
      <c r="AJ81" s="308"/>
      <c r="AK81" s="308"/>
      <c r="AL81" s="308" t="s">
        <v>3288</v>
      </c>
      <c r="AM81" s="308"/>
      <c r="AN81" s="308"/>
      <c r="AO81" s="308"/>
      <c r="AP81" s="1393" t="s">
        <v>3289</v>
      </c>
      <c r="AQ81" s="308"/>
      <c r="AR81" s="308"/>
      <c r="AS81" s="308"/>
      <c r="AT81" s="308"/>
      <c r="AU81" s="308"/>
      <c r="AV81" s="308"/>
      <c r="AW81" s="308"/>
      <c r="AX81" s="308"/>
    </row>
    <row r="82" spans="2:50" x14ac:dyDescent="0.3">
      <c r="B82" s="929" t="s">
        <v>1074</v>
      </c>
      <c r="C82" s="820"/>
      <c r="D82" s="308" t="s">
        <v>874</v>
      </c>
      <c r="E82" s="819"/>
      <c r="F82" s="308"/>
      <c r="G82" s="308"/>
      <c r="H82" s="308"/>
      <c r="I82" s="308"/>
      <c r="J82" s="308"/>
      <c r="K82" s="308"/>
      <c r="L82" s="308"/>
      <c r="M82" s="308"/>
      <c r="N82" s="308"/>
      <c r="O82" s="308"/>
      <c r="P82" s="308"/>
      <c r="Q82" s="308"/>
      <c r="R82" s="308"/>
      <c r="S82" s="308"/>
      <c r="T82" s="308"/>
      <c r="U82" s="308"/>
      <c r="V82" s="308"/>
      <c r="W82" s="308"/>
      <c r="X82" s="308"/>
      <c r="Y82" s="308"/>
      <c r="Z82" s="308"/>
      <c r="AA82" s="786"/>
      <c r="AB82" s="308"/>
      <c r="AC82" s="308"/>
      <c r="AD82" s="308"/>
      <c r="AE82" s="308"/>
      <c r="AF82" s="308"/>
      <c r="AG82" s="308"/>
      <c r="AH82" s="308"/>
      <c r="AI82" s="308"/>
      <c r="AJ82" s="308"/>
      <c r="AK82" s="308"/>
      <c r="AL82" s="308" t="s">
        <v>3290</v>
      </c>
      <c r="AM82" s="308"/>
      <c r="AN82" s="308"/>
      <c r="AO82" s="308"/>
      <c r="AP82" s="1393" t="s">
        <v>3291</v>
      </c>
      <c r="AQ82" s="308"/>
      <c r="AR82" s="308"/>
      <c r="AS82" s="308"/>
      <c r="AT82" s="308"/>
      <c r="AU82" s="308"/>
      <c r="AV82" s="308"/>
      <c r="AW82" s="308"/>
      <c r="AX82" s="308"/>
    </row>
    <row r="83" spans="2:50" x14ac:dyDescent="0.3">
      <c r="B83" s="929" t="s">
        <v>862</v>
      </c>
      <c r="C83" s="820"/>
      <c r="D83" s="308" t="s">
        <v>875</v>
      </c>
      <c r="E83" s="819"/>
      <c r="F83" s="308"/>
      <c r="G83" s="308"/>
      <c r="H83" s="308"/>
      <c r="I83" s="308"/>
      <c r="J83" s="308"/>
      <c r="K83" s="308"/>
      <c r="L83" s="308"/>
      <c r="M83" s="308"/>
      <c r="N83" s="308"/>
      <c r="O83" s="308"/>
      <c r="P83" s="308"/>
      <c r="Q83" s="308"/>
      <c r="R83" s="308"/>
      <c r="S83" s="308"/>
      <c r="T83" s="308"/>
      <c r="U83" s="308"/>
      <c r="V83" s="308"/>
      <c r="W83" s="308"/>
      <c r="X83" s="308"/>
      <c r="Y83" s="308"/>
      <c r="Z83" s="308"/>
      <c r="AA83" s="786"/>
      <c r="AB83" s="308"/>
      <c r="AC83" s="308"/>
      <c r="AD83" s="308"/>
      <c r="AE83" s="308"/>
      <c r="AF83" s="308"/>
      <c r="AG83" s="308"/>
      <c r="AH83" s="308"/>
      <c r="AI83" s="308"/>
      <c r="AJ83" s="308"/>
      <c r="AK83" s="308"/>
      <c r="AL83" s="308" t="s">
        <v>3292</v>
      </c>
      <c r="AM83" s="308"/>
      <c r="AN83" s="308"/>
      <c r="AO83" s="308"/>
      <c r="AP83" s="1393" t="s">
        <v>3293</v>
      </c>
      <c r="AQ83" s="308"/>
      <c r="AR83" s="308"/>
      <c r="AS83" s="308"/>
      <c r="AT83" s="308"/>
      <c r="AU83" s="308"/>
      <c r="AV83" s="308"/>
      <c r="AW83" s="308"/>
      <c r="AX83" s="308"/>
    </row>
    <row r="84" spans="2:50" x14ac:dyDescent="0.3">
      <c r="B84" s="929" t="s">
        <v>863</v>
      </c>
      <c r="C84" s="820"/>
      <c r="D84" s="308" t="s">
        <v>876</v>
      </c>
      <c r="E84" s="819"/>
      <c r="F84" s="308"/>
      <c r="G84" s="308"/>
      <c r="H84" s="308"/>
      <c r="I84" s="308"/>
      <c r="J84" s="308"/>
      <c r="K84" s="308"/>
      <c r="L84" s="308"/>
      <c r="M84" s="308"/>
      <c r="N84" s="308"/>
      <c r="O84" s="308"/>
      <c r="P84" s="308"/>
      <c r="Q84" s="308"/>
      <c r="R84" s="308"/>
      <c r="S84" s="308"/>
      <c r="T84" s="308"/>
      <c r="U84" s="308"/>
      <c r="V84" s="308"/>
      <c r="W84" s="308"/>
      <c r="X84" s="308"/>
      <c r="Y84" s="308"/>
      <c r="Z84" s="308"/>
      <c r="AA84" s="786"/>
      <c r="AB84" s="308"/>
      <c r="AC84" s="308"/>
      <c r="AD84" s="308"/>
      <c r="AE84" s="308"/>
      <c r="AF84" s="308"/>
      <c r="AG84" s="308"/>
      <c r="AH84" s="308"/>
      <c r="AI84" s="308"/>
      <c r="AJ84" s="308"/>
      <c r="AK84" s="308"/>
      <c r="AL84" s="308" t="s">
        <v>3294</v>
      </c>
      <c r="AM84" s="308"/>
      <c r="AN84" s="308"/>
      <c r="AO84" s="308"/>
      <c r="AP84" s="1393" t="s">
        <v>3295</v>
      </c>
      <c r="AQ84" s="308"/>
      <c r="AR84" s="308"/>
      <c r="AS84" s="308"/>
      <c r="AT84" s="308"/>
      <c r="AU84" s="308"/>
      <c r="AV84" s="308"/>
      <c r="AW84" s="308"/>
      <c r="AX84" s="308"/>
    </row>
    <row r="85" spans="2:50" x14ac:dyDescent="0.3">
      <c r="B85" s="929" t="s">
        <v>864</v>
      </c>
      <c r="C85" s="820"/>
      <c r="D85" s="308" t="s">
        <v>360</v>
      </c>
      <c r="E85" s="819"/>
      <c r="F85" s="308"/>
      <c r="G85" s="308"/>
      <c r="H85" s="308"/>
      <c r="I85" s="308"/>
      <c r="J85" s="308"/>
      <c r="K85" s="308"/>
      <c r="L85" s="308"/>
      <c r="M85" s="308"/>
      <c r="N85" s="308"/>
      <c r="O85" s="308"/>
      <c r="P85" s="308"/>
      <c r="Q85" s="308"/>
      <c r="R85" s="308"/>
      <c r="S85" s="308"/>
      <c r="T85" s="308"/>
      <c r="U85" s="308"/>
      <c r="V85" s="308"/>
      <c r="W85" s="308"/>
      <c r="X85" s="308"/>
      <c r="Y85" s="308"/>
      <c r="Z85" s="308"/>
      <c r="AA85" s="786"/>
      <c r="AB85" s="308"/>
      <c r="AC85" s="308"/>
      <c r="AD85" s="308"/>
      <c r="AE85" s="308"/>
      <c r="AF85" s="308"/>
      <c r="AG85" s="308"/>
      <c r="AH85" s="308"/>
      <c r="AI85" s="308"/>
      <c r="AJ85" s="308"/>
      <c r="AK85" s="308"/>
      <c r="AL85" s="308" t="s">
        <v>3296</v>
      </c>
      <c r="AM85" s="308"/>
      <c r="AN85" s="308"/>
      <c r="AO85" s="308"/>
      <c r="AP85" s="1393" t="s">
        <v>3297</v>
      </c>
      <c r="AQ85" s="308"/>
      <c r="AR85" s="308"/>
      <c r="AS85" s="308"/>
      <c r="AT85" s="308"/>
      <c r="AU85" s="308"/>
      <c r="AV85" s="308"/>
      <c r="AW85" s="308"/>
      <c r="AX85" s="308"/>
    </row>
    <row r="86" spans="2:50" x14ac:dyDescent="0.3">
      <c r="B86" s="930" t="s">
        <v>1462</v>
      </c>
      <c r="C86" s="819"/>
      <c r="D86" s="308"/>
      <c r="E86" s="308"/>
      <c r="F86" s="308"/>
      <c r="G86" s="308"/>
      <c r="H86" s="308"/>
      <c r="I86" s="308"/>
      <c r="J86" s="308"/>
      <c r="K86" s="308"/>
      <c r="L86" s="308"/>
      <c r="M86" s="308"/>
      <c r="N86" s="308"/>
      <c r="O86" s="308"/>
      <c r="P86" s="308"/>
      <c r="Q86" s="308"/>
      <c r="R86" s="308"/>
      <c r="S86" s="308"/>
      <c r="T86" s="308"/>
      <c r="U86" s="308"/>
      <c r="V86" s="308"/>
      <c r="W86" s="308"/>
      <c r="X86" s="308"/>
      <c r="Y86" s="308"/>
      <c r="Z86" s="308"/>
      <c r="AA86" s="786"/>
      <c r="AB86" s="308"/>
      <c r="AC86" s="308"/>
      <c r="AD86" s="308"/>
      <c r="AE86" s="308"/>
      <c r="AF86" s="308"/>
      <c r="AG86" s="308"/>
      <c r="AH86" s="308"/>
      <c r="AI86" s="308"/>
      <c r="AJ86" s="308"/>
      <c r="AK86" s="308"/>
      <c r="AL86" s="308" t="s">
        <v>3298</v>
      </c>
      <c r="AM86" s="308"/>
      <c r="AN86" s="308"/>
      <c r="AO86" s="308"/>
      <c r="AP86" s="1393" t="s">
        <v>3299</v>
      </c>
      <c r="AQ86" s="308"/>
      <c r="AR86" s="308"/>
      <c r="AS86" s="308"/>
      <c r="AT86" s="308"/>
      <c r="AU86" s="308"/>
      <c r="AV86" s="308"/>
      <c r="AW86" s="308"/>
      <c r="AX86" s="308"/>
    </row>
    <row r="87" spans="2:50" x14ac:dyDescent="0.3">
      <c r="B87" s="930" t="s">
        <v>1462</v>
      </c>
      <c r="C87" s="819"/>
      <c r="D87" s="308"/>
      <c r="E87" s="308"/>
      <c r="F87" s="308"/>
      <c r="G87" s="308"/>
      <c r="H87" s="308"/>
      <c r="I87" s="308"/>
      <c r="J87" s="308"/>
      <c r="K87" s="308"/>
      <c r="L87" s="308"/>
      <c r="M87" s="308"/>
      <c r="N87" s="308"/>
      <c r="O87" s="308"/>
      <c r="P87" s="308"/>
      <c r="Q87" s="308"/>
      <c r="R87" s="308"/>
      <c r="S87" s="308"/>
      <c r="T87" s="308"/>
      <c r="U87" s="308"/>
      <c r="V87" s="308"/>
      <c r="W87" s="308"/>
      <c r="X87" s="308"/>
      <c r="Y87" s="308"/>
      <c r="Z87" s="308"/>
      <c r="AA87" s="786"/>
      <c r="AB87" s="308"/>
      <c r="AC87" s="308"/>
      <c r="AD87" s="308"/>
      <c r="AE87" s="308"/>
      <c r="AF87" s="308"/>
      <c r="AG87" s="308"/>
      <c r="AH87" s="308"/>
      <c r="AI87" s="308"/>
      <c r="AJ87" s="308"/>
      <c r="AK87" s="308"/>
      <c r="AL87" s="308" t="s">
        <v>3300</v>
      </c>
      <c r="AM87" s="308"/>
      <c r="AN87" s="308"/>
      <c r="AO87" s="308"/>
      <c r="AP87" s="1393" t="s">
        <v>3301</v>
      </c>
      <c r="AQ87" s="308"/>
      <c r="AR87" s="308"/>
      <c r="AS87" s="308"/>
      <c r="AT87" s="308"/>
      <c r="AU87" s="308"/>
      <c r="AV87" s="308"/>
      <c r="AW87" s="308"/>
      <c r="AX87" s="308"/>
    </row>
    <row r="88" spans="2:50" x14ac:dyDescent="0.3">
      <c r="B88" s="930" t="s">
        <v>1515</v>
      </c>
      <c r="C88" s="819"/>
      <c r="D88" s="308"/>
      <c r="E88" s="308"/>
      <c r="F88" s="308"/>
      <c r="G88" s="308"/>
      <c r="H88" s="308"/>
      <c r="I88" s="308"/>
      <c r="J88" s="308"/>
      <c r="K88" s="308"/>
      <c r="L88" s="308"/>
      <c r="M88" s="308"/>
      <c r="N88" s="308"/>
      <c r="O88" s="308"/>
      <c r="P88" s="308"/>
      <c r="Q88" s="308"/>
      <c r="R88" s="308"/>
      <c r="S88" s="308"/>
      <c r="T88" s="308"/>
      <c r="U88" s="308"/>
      <c r="V88" s="308"/>
      <c r="W88" s="308"/>
      <c r="X88" s="308"/>
      <c r="Y88" s="308"/>
      <c r="Z88" s="308"/>
      <c r="AA88" s="786"/>
      <c r="AB88" s="308"/>
      <c r="AC88" s="308"/>
      <c r="AD88" s="308"/>
      <c r="AE88" s="308"/>
      <c r="AF88" s="308"/>
      <c r="AG88" s="308"/>
      <c r="AH88" s="308"/>
      <c r="AI88" s="308"/>
      <c r="AJ88" s="308"/>
      <c r="AK88" s="308"/>
      <c r="AL88" s="308" t="s">
        <v>3302</v>
      </c>
      <c r="AM88" s="308"/>
      <c r="AN88" s="308"/>
      <c r="AO88" s="308"/>
      <c r="AP88" s="1393" t="s">
        <v>3303</v>
      </c>
      <c r="AQ88" s="308"/>
      <c r="AR88" s="308"/>
      <c r="AS88" s="308"/>
      <c r="AT88" s="308"/>
      <c r="AU88" s="308"/>
      <c r="AV88" s="308"/>
      <c r="AW88" s="308"/>
      <c r="AX88" s="308"/>
    </row>
    <row r="89" spans="2:50" x14ac:dyDescent="0.3">
      <c r="B89" s="930" t="s">
        <v>1482</v>
      </c>
      <c r="C89" s="819"/>
      <c r="D89" s="308"/>
      <c r="E89" s="308"/>
      <c r="F89" s="308"/>
      <c r="G89" s="308"/>
      <c r="H89" s="308"/>
      <c r="I89" s="308"/>
      <c r="J89" s="308"/>
      <c r="K89" s="308"/>
      <c r="L89" s="308"/>
      <c r="M89" s="308"/>
      <c r="N89" s="308"/>
      <c r="O89" s="308"/>
      <c r="P89" s="308"/>
      <c r="Q89" s="308"/>
      <c r="R89" s="308"/>
      <c r="S89" s="308"/>
      <c r="T89" s="308"/>
      <c r="U89" s="308"/>
      <c r="V89" s="308"/>
      <c r="W89" s="308"/>
      <c r="X89" s="308"/>
      <c r="Y89" s="308"/>
      <c r="Z89" s="308"/>
      <c r="AA89" s="786"/>
      <c r="AB89" s="308"/>
      <c r="AC89" s="308"/>
      <c r="AD89" s="308"/>
      <c r="AE89" s="308"/>
      <c r="AF89" s="308"/>
      <c r="AG89" s="308"/>
      <c r="AH89" s="308"/>
      <c r="AI89" s="308"/>
      <c r="AJ89" s="308"/>
      <c r="AK89" s="308"/>
      <c r="AL89" s="308" t="s">
        <v>3304</v>
      </c>
      <c r="AM89" s="308"/>
      <c r="AN89" s="308"/>
      <c r="AO89" s="308"/>
      <c r="AP89" s="1393" t="s">
        <v>3305</v>
      </c>
      <c r="AQ89" s="308"/>
      <c r="AR89" s="308"/>
      <c r="AS89" s="308"/>
      <c r="AT89" s="308"/>
      <c r="AU89" s="308"/>
      <c r="AV89" s="308"/>
      <c r="AW89" s="308"/>
      <c r="AX89" s="308"/>
    </row>
    <row r="90" spans="2:50" x14ac:dyDescent="0.3">
      <c r="B90" s="929" t="s">
        <v>1075</v>
      </c>
      <c r="C90" s="819"/>
      <c r="D90" s="308"/>
      <c r="E90" s="308"/>
      <c r="F90" s="308"/>
      <c r="G90" s="308"/>
      <c r="H90" s="308"/>
      <c r="I90" s="308"/>
      <c r="J90" s="308"/>
      <c r="K90" s="308"/>
      <c r="L90" s="308"/>
      <c r="M90" s="308"/>
      <c r="N90" s="308"/>
      <c r="O90" s="308"/>
      <c r="P90" s="308"/>
      <c r="Q90" s="308"/>
      <c r="R90" s="308"/>
      <c r="S90" s="308"/>
      <c r="T90" s="308"/>
      <c r="U90" s="308"/>
      <c r="V90" s="308"/>
      <c r="W90" s="308"/>
      <c r="X90" s="308"/>
      <c r="Y90" s="308"/>
      <c r="Z90" s="308"/>
      <c r="AA90" s="786"/>
      <c r="AB90" s="308"/>
      <c r="AC90" s="308"/>
      <c r="AD90" s="308"/>
      <c r="AE90" s="308"/>
      <c r="AF90" s="308"/>
      <c r="AG90" s="308"/>
      <c r="AH90" s="308"/>
      <c r="AI90" s="308"/>
      <c r="AJ90" s="308"/>
      <c r="AK90" s="308"/>
      <c r="AL90" s="308" t="s">
        <v>3306</v>
      </c>
      <c r="AM90" s="308"/>
      <c r="AN90" s="308"/>
      <c r="AO90" s="308"/>
      <c r="AP90" s="1393" t="s">
        <v>3307</v>
      </c>
      <c r="AQ90" s="308"/>
      <c r="AR90" s="308"/>
      <c r="AS90" s="308"/>
      <c r="AT90" s="308"/>
      <c r="AU90" s="308"/>
      <c r="AV90" s="308"/>
      <c r="AW90" s="308"/>
      <c r="AX90" s="308"/>
    </row>
    <row r="91" spans="2:50" x14ac:dyDescent="0.3">
      <c r="B91" s="929" t="s">
        <v>865</v>
      </c>
      <c r="C91" s="819"/>
      <c r="D91" s="308"/>
      <c r="E91" s="308"/>
      <c r="F91" s="308"/>
      <c r="G91" s="308"/>
      <c r="H91" s="308"/>
      <c r="I91" s="308"/>
      <c r="J91" s="308"/>
      <c r="K91" s="308"/>
      <c r="L91" s="308"/>
      <c r="M91" s="308"/>
      <c r="N91" s="308"/>
      <c r="O91" s="308"/>
      <c r="P91" s="308"/>
      <c r="Q91" s="308"/>
      <c r="R91" s="308"/>
      <c r="S91" s="308"/>
      <c r="T91" s="308"/>
      <c r="U91" s="308"/>
      <c r="V91" s="308"/>
      <c r="W91" s="308"/>
      <c r="X91" s="308"/>
      <c r="Y91" s="308"/>
      <c r="Z91" s="308"/>
      <c r="AA91" s="786"/>
      <c r="AB91" s="308"/>
      <c r="AC91" s="308"/>
      <c r="AD91" s="308"/>
      <c r="AE91" s="308"/>
      <c r="AF91" s="308"/>
      <c r="AG91" s="308"/>
      <c r="AH91" s="308"/>
      <c r="AI91" s="308"/>
      <c r="AJ91" s="308"/>
      <c r="AK91" s="308"/>
      <c r="AL91" s="308" t="s">
        <v>3308</v>
      </c>
      <c r="AM91" s="308"/>
      <c r="AN91" s="308"/>
      <c r="AO91" s="308"/>
      <c r="AP91" s="1393" t="s">
        <v>3309</v>
      </c>
      <c r="AQ91" s="308"/>
      <c r="AR91" s="308"/>
      <c r="AS91" s="308"/>
      <c r="AT91" s="308"/>
      <c r="AU91" s="308"/>
      <c r="AV91" s="308"/>
      <c r="AW91" s="308"/>
      <c r="AX91" s="308"/>
    </row>
    <row r="92" spans="2:50" x14ac:dyDescent="0.3">
      <c r="B92" s="929" t="s">
        <v>1076</v>
      </c>
      <c r="C92" s="819"/>
      <c r="D92" s="308"/>
      <c r="E92" s="308"/>
      <c r="F92" s="308"/>
      <c r="G92" s="308"/>
      <c r="H92" s="308"/>
      <c r="I92" s="308"/>
      <c r="J92" s="308"/>
      <c r="K92" s="308"/>
      <c r="L92" s="308"/>
      <c r="M92" s="308"/>
      <c r="N92" s="308"/>
      <c r="O92" s="308"/>
      <c r="P92" s="308"/>
      <c r="Q92" s="308"/>
      <c r="R92" s="308"/>
      <c r="S92" s="308"/>
      <c r="T92" s="308"/>
      <c r="U92" s="308"/>
      <c r="V92" s="308"/>
      <c r="W92" s="308"/>
      <c r="X92" s="308"/>
      <c r="Y92" s="308"/>
      <c r="Z92" s="308"/>
      <c r="AA92" s="786"/>
      <c r="AB92" s="308"/>
      <c r="AC92" s="308"/>
      <c r="AD92" s="308"/>
      <c r="AE92" s="308"/>
      <c r="AF92" s="308"/>
      <c r="AG92" s="308"/>
      <c r="AH92" s="308"/>
      <c r="AI92" s="308"/>
      <c r="AJ92" s="308"/>
      <c r="AK92" s="308"/>
      <c r="AL92" s="308" t="s">
        <v>3310</v>
      </c>
      <c r="AM92" s="308"/>
      <c r="AN92" s="308"/>
      <c r="AO92" s="308"/>
      <c r="AP92" s="1393" t="s">
        <v>3311</v>
      </c>
      <c r="AQ92" s="308"/>
      <c r="AR92" s="308"/>
      <c r="AS92" s="308"/>
      <c r="AT92" s="308"/>
      <c r="AU92" s="308"/>
      <c r="AV92" s="308"/>
      <c r="AW92" s="308"/>
      <c r="AX92" s="308"/>
    </row>
    <row r="93" spans="2:50" x14ac:dyDescent="0.3">
      <c r="B93" s="930" t="s">
        <v>1485</v>
      </c>
      <c r="C93" s="819"/>
      <c r="D93" s="308"/>
      <c r="E93" s="308"/>
      <c r="F93" s="308"/>
      <c r="G93" s="308"/>
      <c r="H93" s="308"/>
      <c r="I93" s="308"/>
      <c r="J93" s="308"/>
      <c r="K93" s="308"/>
      <c r="L93" s="308"/>
      <c r="M93" s="308"/>
      <c r="N93" s="308"/>
      <c r="O93" s="308"/>
      <c r="P93" s="308"/>
      <c r="Q93" s="308"/>
      <c r="R93" s="308"/>
      <c r="S93" s="308"/>
      <c r="T93" s="308"/>
      <c r="U93" s="308"/>
      <c r="V93" s="308"/>
      <c r="W93" s="308"/>
      <c r="X93" s="308"/>
      <c r="Y93" s="308"/>
      <c r="Z93" s="308"/>
      <c r="AA93" s="786"/>
      <c r="AB93" s="308"/>
      <c r="AC93" s="308"/>
      <c r="AD93" s="308"/>
      <c r="AE93" s="308"/>
      <c r="AF93" s="308"/>
      <c r="AG93" s="308"/>
      <c r="AH93" s="308"/>
      <c r="AI93" s="308"/>
      <c r="AJ93" s="308"/>
      <c r="AK93" s="308"/>
      <c r="AL93" s="308" t="s">
        <v>3312</v>
      </c>
      <c r="AM93" s="308"/>
      <c r="AN93" s="308"/>
      <c r="AO93" s="308"/>
      <c r="AP93" s="1393" t="s">
        <v>3313</v>
      </c>
      <c r="AQ93" s="308"/>
      <c r="AR93" s="308"/>
      <c r="AS93" s="308"/>
      <c r="AT93" s="308"/>
      <c r="AU93" s="308"/>
      <c r="AV93" s="308"/>
      <c r="AW93" s="308"/>
      <c r="AX93" s="308"/>
    </row>
    <row r="94" spans="2:50" x14ac:dyDescent="0.3">
      <c r="B94" s="929" t="s">
        <v>866</v>
      </c>
      <c r="C94" s="819"/>
      <c r="D94" s="308"/>
      <c r="E94" s="308"/>
      <c r="F94" s="308"/>
      <c r="G94" s="308"/>
      <c r="H94" s="308"/>
      <c r="I94" s="308"/>
      <c r="J94" s="308"/>
      <c r="K94" s="308"/>
      <c r="L94" s="308"/>
      <c r="M94" s="308"/>
      <c r="N94" s="308"/>
      <c r="O94" s="308"/>
      <c r="P94" s="308"/>
      <c r="Q94" s="308"/>
      <c r="R94" s="308"/>
      <c r="S94" s="308"/>
      <c r="T94" s="308"/>
      <c r="U94" s="308"/>
      <c r="V94" s="308"/>
      <c r="W94" s="308"/>
      <c r="X94" s="308"/>
      <c r="Y94" s="308"/>
      <c r="Z94" s="308"/>
      <c r="AA94" s="786"/>
      <c r="AB94" s="308"/>
      <c r="AC94" s="308"/>
      <c r="AD94" s="308"/>
      <c r="AE94" s="308"/>
      <c r="AF94" s="308"/>
      <c r="AG94" s="308"/>
      <c r="AH94" s="308"/>
      <c r="AI94" s="308"/>
      <c r="AJ94" s="308"/>
      <c r="AK94" s="308"/>
      <c r="AL94" s="308" t="s">
        <v>3314</v>
      </c>
      <c r="AM94" s="308"/>
      <c r="AN94" s="308"/>
      <c r="AO94" s="308"/>
      <c r="AP94" s="1393" t="s">
        <v>3315</v>
      </c>
      <c r="AQ94" s="308"/>
      <c r="AR94" s="308"/>
      <c r="AS94" s="308"/>
      <c r="AT94" s="308"/>
      <c r="AU94" s="308"/>
      <c r="AV94" s="308"/>
      <c r="AW94" s="308"/>
      <c r="AX94" s="308"/>
    </row>
    <row r="95" spans="2:50" x14ac:dyDescent="0.3">
      <c r="B95" s="930" t="s">
        <v>1488</v>
      </c>
      <c r="C95" s="819"/>
      <c r="D95" s="308"/>
      <c r="E95" s="308"/>
      <c r="F95" s="308"/>
      <c r="G95" s="308"/>
      <c r="H95" s="308"/>
      <c r="I95" s="308"/>
      <c r="J95" s="308"/>
      <c r="K95" s="308"/>
      <c r="L95" s="308"/>
      <c r="M95" s="308"/>
      <c r="N95" s="308"/>
      <c r="O95" s="308"/>
      <c r="P95" s="308"/>
      <c r="Q95" s="308"/>
      <c r="R95" s="308"/>
      <c r="S95" s="308"/>
      <c r="T95" s="308"/>
      <c r="U95" s="308"/>
      <c r="V95" s="308"/>
      <c r="W95" s="308"/>
      <c r="X95" s="308"/>
      <c r="Y95" s="308"/>
      <c r="Z95" s="308"/>
      <c r="AA95" s="786"/>
      <c r="AB95" s="308"/>
      <c r="AC95" s="308"/>
      <c r="AD95" s="308"/>
      <c r="AE95" s="308"/>
      <c r="AF95" s="308"/>
      <c r="AG95" s="308"/>
      <c r="AH95" s="308"/>
      <c r="AI95" s="308"/>
      <c r="AJ95" s="308"/>
      <c r="AK95" s="308"/>
      <c r="AL95" s="308" t="s">
        <v>3316</v>
      </c>
      <c r="AM95" s="308"/>
      <c r="AN95" s="308"/>
      <c r="AO95" s="308"/>
      <c r="AP95" s="1393" t="s">
        <v>3317</v>
      </c>
      <c r="AQ95" s="308"/>
      <c r="AR95" s="308"/>
      <c r="AS95" s="308"/>
      <c r="AT95" s="308"/>
      <c r="AU95" s="308"/>
      <c r="AV95" s="308"/>
      <c r="AW95" s="308"/>
      <c r="AX95" s="308"/>
    </row>
    <row r="96" spans="2:50" x14ac:dyDescent="0.3">
      <c r="B96" s="930" t="s">
        <v>1486</v>
      </c>
      <c r="C96" s="819"/>
      <c r="D96" s="308"/>
      <c r="E96" s="308"/>
      <c r="F96" s="308"/>
      <c r="G96" s="308"/>
      <c r="H96" s="308"/>
      <c r="I96" s="308"/>
      <c r="J96" s="308"/>
      <c r="K96" s="308"/>
      <c r="L96" s="308"/>
      <c r="M96" s="308"/>
      <c r="N96" s="308"/>
      <c r="O96" s="308"/>
      <c r="P96" s="308"/>
      <c r="Q96" s="308"/>
      <c r="R96" s="308"/>
      <c r="S96" s="308"/>
      <c r="T96" s="308"/>
      <c r="U96" s="308"/>
      <c r="V96" s="308"/>
      <c r="W96" s="308"/>
      <c r="X96" s="308"/>
      <c r="Y96" s="308"/>
      <c r="Z96" s="308"/>
      <c r="AA96" s="786"/>
      <c r="AB96" s="308"/>
      <c r="AC96" s="308"/>
      <c r="AD96" s="308"/>
      <c r="AE96" s="308"/>
      <c r="AF96" s="308"/>
      <c r="AG96" s="308"/>
      <c r="AH96" s="308"/>
      <c r="AI96" s="308"/>
      <c r="AJ96" s="308"/>
      <c r="AK96" s="308"/>
      <c r="AL96" s="308" t="s">
        <v>3318</v>
      </c>
      <c r="AM96" s="308"/>
      <c r="AN96" s="308"/>
      <c r="AO96" s="308"/>
      <c r="AP96" s="1393" t="s">
        <v>3319</v>
      </c>
      <c r="AQ96" s="308"/>
      <c r="AR96" s="308"/>
      <c r="AS96" s="308"/>
      <c r="AT96" s="308"/>
      <c r="AU96" s="308"/>
      <c r="AV96" s="308"/>
      <c r="AW96" s="308"/>
      <c r="AX96" s="308"/>
    </row>
    <row r="97" spans="2:50" x14ac:dyDescent="0.3">
      <c r="B97" s="308"/>
      <c r="C97" s="819"/>
      <c r="D97" s="308"/>
      <c r="E97" s="308"/>
      <c r="F97" s="308"/>
      <c r="G97" s="308"/>
      <c r="H97" s="308"/>
      <c r="I97" s="308"/>
      <c r="J97" s="308"/>
      <c r="K97" s="308"/>
      <c r="L97" s="308"/>
      <c r="M97" s="308"/>
      <c r="N97" s="308"/>
      <c r="O97" s="308"/>
      <c r="P97" s="308"/>
      <c r="Q97" s="308"/>
      <c r="R97" s="308"/>
      <c r="S97" s="308"/>
      <c r="T97" s="308"/>
      <c r="U97" s="308"/>
      <c r="V97" s="308"/>
      <c r="W97" s="308"/>
      <c r="X97" s="308"/>
      <c r="Y97" s="308"/>
      <c r="Z97" s="308"/>
      <c r="AA97" s="786"/>
      <c r="AB97" s="308"/>
      <c r="AC97" s="308"/>
      <c r="AD97" s="308"/>
      <c r="AE97" s="308"/>
      <c r="AF97" s="308"/>
      <c r="AG97" s="308"/>
      <c r="AH97" s="308"/>
      <c r="AI97" s="308"/>
      <c r="AJ97" s="308"/>
      <c r="AK97" s="308"/>
      <c r="AL97" s="308" t="s">
        <v>3320</v>
      </c>
      <c r="AM97" s="308"/>
      <c r="AN97" s="308"/>
      <c r="AO97" s="308"/>
      <c r="AP97" s="1393" t="s">
        <v>3321</v>
      </c>
      <c r="AQ97" s="308"/>
      <c r="AR97" s="308"/>
      <c r="AS97" s="308"/>
      <c r="AT97" s="308"/>
      <c r="AU97" s="308"/>
      <c r="AV97" s="308"/>
      <c r="AW97" s="308"/>
      <c r="AX97" s="308"/>
    </row>
    <row r="98" spans="2:50" x14ac:dyDescent="0.3">
      <c r="B98" s="308"/>
      <c r="C98" s="308"/>
      <c r="D98" s="308"/>
      <c r="E98" s="308"/>
      <c r="F98" s="308"/>
      <c r="G98" s="308"/>
      <c r="H98" s="308"/>
      <c r="I98" s="308"/>
      <c r="J98" s="308"/>
      <c r="K98" s="308"/>
      <c r="L98" s="308"/>
      <c r="M98" s="308"/>
      <c r="N98" s="308"/>
      <c r="O98" s="308"/>
      <c r="P98" s="308"/>
      <c r="Q98" s="308"/>
      <c r="R98" s="308"/>
      <c r="S98" s="308"/>
      <c r="T98" s="308"/>
      <c r="U98" s="308"/>
      <c r="V98" s="308"/>
      <c r="W98" s="308"/>
      <c r="X98" s="308"/>
      <c r="Y98" s="308"/>
      <c r="Z98" s="308"/>
      <c r="AA98" s="786"/>
      <c r="AB98" s="308"/>
      <c r="AC98" s="308"/>
      <c r="AD98" s="308"/>
      <c r="AE98" s="308"/>
      <c r="AF98" s="308"/>
      <c r="AG98" s="308"/>
      <c r="AH98" s="308"/>
      <c r="AI98" s="308"/>
      <c r="AJ98" s="308"/>
      <c r="AK98" s="308"/>
      <c r="AL98" s="308" t="s">
        <v>3322</v>
      </c>
      <c r="AM98" s="308"/>
      <c r="AN98" s="308"/>
      <c r="AO98" s="308"/>
      <c r="AP98" s="1393" t="s">
        <v>3323</v>
      </c>
      <c r="AQ98" s="308"/>
      <c r="AR98" s="308"/>
      <c r="AS98" s="308"/>
      <c r="AT98" s="308"/>
      <c r="AU98" s="308"/>
      <c r="AV98" s="308"/>
      <c r="AW98" s="308"/>
      <c r="AX98" s="308"/>
    </row>
    <row r="99" spans="2:50" x14ac:dyDescent="0.3">
      <c r="B99" s="308"/>
      <c r="C99" s="308"/>
      <c r="D99" s="308"/>
      <c r="E99" s="308"/>
      <c r="F99" s="308"/>
      <c r="G99" s="308"/>
      <c r="H99" s="308"/>
      <c r="I99" s="308"/>
      <c r="J99" s="308"/>
      <c r="K99" s="308"/>
      <c r="L99" s="308"/>
      <c r="M99" s="308"/>
      <c r="N99" s="308"/>
      <c r="O99" s="308"/>
      <c r="P99" s="308"/>
      <c r="Q99" s="308"/>
      <c r="R99" s="308"/>
      <c r="S99" s="308"/>
      <c r="T99" s="308"/>
      <c r="U99" s="308"/>
      <c r="V99" s="308"/>
      <c r="W99" s="308"/>
      <c r="X99" s="308"/>
      <c r="Y99" s="308"/>
      <c r="Z99" s="308"/>
      <c r="AA99" s="786"/>
      <c r="AB99" s="308"/>
      <c r="AC99" s="308"/>
      <c r="AD99" s="308"/>
      <c r="AE99" s="308"/>
      <c r="AF99" s="308"/>
      <c r="AG99" s="308"/>
      <c r="AH99" s="308"/>
      <c r="AI99" s="308"/>
      <c r="AJ99" s="308"/>
      <c r="AK99" s="308"/>
      <c r="AL99" s="308" t="s">
        <v>3324</v>
      </c>
      <c r="AM99" s="308"/>
      <c r="AN99" s="308"/>
      <c r="AO99" s="308"/>
      <c r="AP99" s="1393" t="s">
        <v>3325</v>
      </c>
      <c r="AQ99" s="308"/>
      <c r="AR99" s="308"/>
      <c r="AS99" s="308"/>
      <c r="AT99" s="308"/>
      <c r="AU99" s="308"/>
      <c r="AV99" s="308"/>
      <c r="AW99" s="308"/>
      <c r="AX99" s="308"/>
    </row>
    <row r="100" spans="2:50" x14ac:dyDescent="0.3">
      <c r="B100" s="308"/>
      <c r="C100" s="308"/>
      <c r="D100" s="308"/>
      <c r="E100" s="308"/>
      <c r="F100" s="308"/>
      <c r="G100" s="308"/>
      <c r="H100" s="308"/>
      <c r="I100" s="308"/>
      <c r="J100" s="308"/>
      <c r="K100" s="308"/>
      <c r="L100" s="308"/>
      <c r="M100" s="308"/>
      <c r="N100" s="308"/>
      <c r="O100" s="308"/>
      <c r="P100" s="308"/>
      <c r="Q100" s="308"/>
      <c r="R100" s="308"/>
      <c r="S100" s="308"/>
      <c r="T100" s="308"/>
      <c r="U100" s="308"/>
      <c r="V100" s="308"/>
      <c r="W100" s="308"/>
      <c r="X100" s="308"/>
      <c r="Y100" s="308"/>
      <c r="Z100" s="308"/>
      <c r="AA100" s="786"/>
      <c r="AB100" s="308"/>
      <c r="AC100" s="308"/>
      <c r="AD100" s="308"/>
      <c r="AE100" s="308"/>
      <c r="AF100" s="308"/>
      <c r="AG100" s="308"/>
      <c r="AH100" s="308"/>
      <c r="AI100" s="308"/>
      <c r="AJ100" s="308"/>
      <c r="AL100" s="308" t="s">
        <v>3326</v>
      </c>
      <c r="AM100" s="308"/>
      <c r="AN100" s="308"/>
      <c r="AO100" s="308"/>
      <c r="AP100" s="1393" t="s">
        <v>3327</v>
      </c>
      <c r="AQ100" s="308"/>
      <c r="AR100" s="308"/>
      <c r="AS100" s="308"/>
      <c r="AT100" s="308"/>
      <c r="AU100" s="308"/>
      <c r="AV100" s="308"/>
      <c r="AW100" s="308"/>
      <c r="AX100" s="308"/>
    </row>
    <row r="101" spans="2:50" x14ac:dyDescent="0.3">
      <c r="AL101" s="308" t="s">
        <v>3328</v>
      </c>
      <c r="AP101" s="1393" t="s">
        <v>3329</v>
      </c>
    </row>
    <row r="102" spans="2:50" x14ac:dyDescent="0.3">
      <c r="AL102" s="308" t="s">
        <v>3330</v>
      </c>
      <c r="AP102" s="1393" t="s">
        <v>3331</v>
      </c>
    </row>
    <row r="103" spans="2:50" x14ac:dyDescent="0.3">
      <c r="AL103" s="308" t="s">
        <v>3332</v>
      </c>
      <c r="AP103" s="1393" t="s">
        <v>3333</v>
      </c>
    </row>
    <row r="104" spans="2:50" x14ac:dyDescent="0.3">
      <c r="AL104" s="308" t="s">
        <v>3334</v>
      </c>
      <c r="AP104" s="1393" t="s">
        <v>3335</v>
      </c>
    </row>
    <row r="105" spans="2:50" x14ac:dyDescent="0.3">
      <c r="AL105" s="308" t="s">
        <v>3336</v>
      </c>
      <c r="AP105" s="1393" t="s">
        <v>3337</v>
      </c>
    </row>
    <row r="106" spans="2:50" x14ac:dyDescent="0.3">
      <c r="AL106" s="308" t="s">
        <v>3338</v>
      </c>
      <c r="AP106" s="1393" t="s">
        <v>3339</v>
      </c>
    </row>
    <row r="107" spans="2:50" x14ac:dyDescent="0.3">
      <c r="AL107" s="308" t="s">
        <v>3340</v>
      </c>
      <c r="AP107" s="1393" t="s">
        <v>3341</v>
      </c>
    </row>
    <row r="108" spans="2:50" x14ac:dyDescent="0.3">
      <c r="AL108" s="308" t="s">
        <v>3342</v>
      </c>
      <c r="AP108" s="1393" t="s">
        <v>3343</v>
      </c>
    </row>
    <row r="109" spans="2:50" x14ac:dyDescent="0.3">
      <c r="AL109" s="308" t="s">
        <v>3344</v>
      </c>
      <c r="AP109" s="1393" t="s">
        <v>3345</v>
      </c>
    </row>
    <row r="110" spans="2:50" x14ac:dyDescent="0.3">
      <c r="AL110" s="308" t="s">
        <v>3346</v>
      </c>
      <c r="AP110" s="1393" t="s">
        <v>3347</v>
      </c>
    </row>
    <row r="111" spans="2:50" x14ac:dyDescent="0.3">
      <c r="AL111" s="308" t="s">
        <v>3348</v>
      </c>
      <c r="AP111" s="1393" t="s">
        <v>3349</v>
      </c>
    </row>
    <row r="112" spans="2:50" x14ac:dyDescent="0.3">
      <c r="AL112" s="308" t="s">
        <v>3350</v>
      </c>
      <c r="AP112" s="1393" t="s">
        <v>3351</v>
      </c>
    </row>
    <row r="113" spans="38:42" x14ac:dyDescent="0.3">
      <c r="AL113" s="308" t="s">
        <v>3352</v>
      </c>
      <c r="AP113" s="1393" t="s">
        <v>3353</v>
      </c>
    </row>
    <row r="114" spans="38:42" x14ac:dyDescent="0.3">
      <c r="AL114" s="308" t="s">
        <v>3354</v>
      </c>
      <c r="AP114" s="1393" t="s">
        <v>3355</v>
      </c>
    </row>
    <row r="115" spans="38:42" x14ac:dyDescent="0.3">
      <c r="AL115" s="308" t="s">
        <v>3356</v>
      </c>
      <c r="AP115" s="1393" t="s">
        <v>3357</v>
      </c>
    </row>
    <row r="116" spans="38:42" x14ac:dyDescent="0.3">
      <c r="AL116" s="308" t="s">
        <v>3358</v>
      </c>
      <c r="AP116" s="1395" t="s">
        <v>3359</v>
      </c>
    </row>
    <row r="117" spans="38:42" x14ac:dyDescent="0.3">
      <c r="AL117" s="308" t="s">
        <v>3360</v>
      </c>
      <c r="AP117" s="1395" t="s">
        <v>3361</v>
      </c>
    </row>
    <row r="118" spans="38:42" x14ac:dyDescent="0.3">
      <c r="AL118" s="308" t="s">
        <v>3362</v>
      </c>
    </row>
    <row r="119" spans="38:42" x14ac:dyDescent="0.3">
      <c r="AL119" s="308" t="s">
        <v>3363</v>
      </c>
    </row>
    <row r="120" spans="38:42" x14ac:dyDescent="0.3">
      <c r="AL120" s="308" t="s">
        <v>3364</v>
      </c>
    </row>
    <row r="121" spans="38:42" x14ac:dyDescent="0.3">
      <c r="AL121" s="308" t="s">
        <v>3365</v>
      </c>
    </row>
    <row r="122" spans="38:42" x14ac:dyDescent="0.3">
      <c r="AL122" s="308" t="s">
        <v>3366</v>
      </c>
    </row>
    <row r="123" spans="38:42" x14ac:dyDescent="0.3">
      <c r="AL123" s="308" t="s">
        <v>3367</v>
      </c>
    </row>
    <row r="124" spans="38:42" x14ac:dyDescent="0.3">
      <c r="AL124" s="308" t="s">
        <v>3368</v>
      </c>
    </row>
    <row r="125" spans="38:42" x14ac:dyDescent="0.3">
      <c r="AL125" s="308" t="s">
        <v>3369</v>
      </c>
    </row>
    <row r="126" spans="38:42" x14ac:dyDescent="0.3">
      <c r="AL126" s="308" t="s">
        <v>3370</v>
      </c>
    </row>
    <row r="127" spans="38:42" x14ac:dyDescent="0.3">
      <c r="AL127" s="308" t="s">
        <v>3371</v>
      </c>
    </row>
    <row r="128" spans="38:42" x14ac:dyDescent="0.3">
      <c r="AL128" s="308" t="s">
        <v>3372</v>
      </c>
    </row>
    <row r="129" spans="38:38" x14ac:dyDescent="0.3">
      <c r="AL129" s="308" t="s">
        <v>3373</v>
      </c>
    </row>
    <row r="130" spans="38:38" x14ac:dyDescent="0.3">
      <c r="AL130" s="308" t="s">
        <v>3374</v>
      </c>
    </row>
    <row r="131" spans="38:38" x14ac:dyDescent="0.3">
      <c r="AL131" s="308" t="s">
        <v>3375</v>
      </c>
    </row>
    <row r="132" spans="38:38" x14ac:dyDescent="0.3">
      <c r="AL132" s="308" t="s">
        <v>3376</v>
      </c>
    </row>
    <row r="133" spans="38:38" x14ac:dyDescent="0.3">
      <c r="AL133" s="308" t="s">
        <v>3377</v>
      </c>
    </row>
    <row r="134" spans="38:38" x14ac:dyDescent="0.3">
      <c r="AL134" s="308" t="s">
        <v>3378</v>
      </c>
    </row>
    <row r="135" spans="38:38" x14ac:dyDescent="0.3">
      <c r="AL135" s="308" t="s">
        <v>3379</v>
      </c>
    </row>
    <row r="136" spans="38:38" x14ac:dyDescent="0.3">
      <c r="AL136" s="308" t="s">
        <v>3380</v>
      </c>
    </row>
    <row r="137" spans="38:38" x14ac:dyDescent="0.3">
      <c r="AL137" s="308" t="s">
        <v>3381</v>
      </c>
    </row>
    <row r="138" spans="38:38" x14ac:dyDescent="0.3">
      <c r="AL138" s="308" t="s">
        <v>3382</v>
      </c>
    </row>
    <row r="139" spans="38:38" x14ac:dyDescent="0.3">
      <c r="AL139" s="308" t="s">
        <v>3383</v>
      </c>
    </row>
    <row r="140" spans="38:38" x14ac:dyDescent="0.3">
      <c r="AL140" s="308" t="s">
        <v>3384</v>
      </c>
    </row>
    <row r="141" spans="38:38" x14ac:dyDescent="0.3">
      <c r="AL141" s="308" t="s">
        <v>3385</v>
      </c>
    </row>
    <row r="142" spans="38:38" x14ac:dyDescent="0.3">
      <c r="AL142" s="308" t="s">
        <v>3386</v>
      </c>
    </row>
    <row r="143" spans="38:38" x14ac:dyDescent="0.3">
      <c r="AL143" s="308" t="s">
        <v>3387</v>
      </c>
    </row>
    <row r="144" spans="38:38" x14ac:dyDescent="0.3">
      <c r="AL144" s="308" t="s">
        <v>3388</v>
      </c>
    </row>
    <row r="145" spans="38:38" x14ac:dyDescent="0.3">
      <c r="AL145" s="308" t="s">
        <v>3389</v>
      </c>
    </row>
    <row r="146" spans="38:38" x14ac:dyDescent="0.3">
      <c r="AL146" s="308" t="s">
        <v>3390</v>
      </c>
    </row>
    <row r="147" spans="38:38" x14ac:dyDescent="0.3">
      <c r="AL147" s="308" t="s">
        <v>3391</v>
      </c>
    </row>
    <row r="148" spans="38:38" x14ac:dyDescent="0.3">
      <c r="AL148" s="308" t="s">
        <v>3392</v>
      </c>
    </row>
    <row r="149" spans="38:38" x14ac:dyDescent="0.3">
      <c r="AL149" s="308" t="s">
        <v>3393</v>
      </c>
    </row>
    <row r="150" spans="38:38" x14ac:dyDescent="0.3">
      <c r="AL150" s="308" t="s">
        <v>3394</v>
      </c>
    </row>
    <row r="151" spans="38:38" x14ac:dyDescent="0.3">
      <c r="AL151" s="308" t="s">
        <v>3395</v>
      </c>
    </row>
    <row r="152" spans="38:38" x14ac:dyDescent="0.3">
      <c r="AL152" s="308" t="s">
        <v>3396</v>
      </c>
    </row>
    <row r="153" spans="38:38" x14ac:dyDescent="0.3">
      <c r="AL153" s="308" t="s">
        <v>3397</v>
      </c>
    </row>
    <row r="154" spans="38:38" x14ac:dyDescent="0.3">
      <c r="AL154" s="308" t="s">
        <v>3398</v>
      </c>
    </row>
    <row r="155" spans="38:38" x14ac:dyDescent="0.3">
      <c r="AL155" s="308" t="s">
        <v>3399</v>
      </c>
    </row>
    <row r="156" spans="38:38" x14ac:dyDescent="0.3">
      <c r="AL156" s="308" t="s">
        <v>3400</v>
      </c>
    </row>
    <row r="157" spans="38:38" x14ac:dyDescent="0.3">
      <c r="AL157" s="308" t="s">
        <v>3401</v>
      </c>
    </row>
    <row r="158" spans="38:38" x14ac:dyDescent="0.3">
      <c r="AL158" s="308" t="s">
        <v>3402</v>
      </c>
    </row>
    <row r="159" spans="38:38" x14ac:dyDescent="0.3">
      <c r="AL159" s="308" t="s">
        <v>3403</v>
      </c>
    </row>
    <row r="160" spans="38:38" x14ac:dyDescent="0.3">
      <c r="AL160" s="308" t="s">
        <v>3404</v>
      </c>
    </row>
    <row r="161" spans="38:38" x14ac:dyDescent="0.3">
      <c r="AL161" s="308" t="s">
        <v>3405</v>
      </c>
    </row>
    <row r="162" spans="38:38" x14ac:dyDescent="0.3">
      <c r="AL162" s="308" t="s">
        <v>3406</v>
      </c>
    </row>
    <row r="163" spans="38:38" x14ac:dyDescent="0.3">
      <c r="AL163" s="308" t="s">
        <v>3407</v>
      </c>
    </row>
    <row r="164" spans="38:38" x14ac:dyDescent="0.3">
      <c r="AL164" s="308" t="s">
        <v>3408</v>
      </c>
    </row>
    <row r="165" spans="38:38" x14ac:dyDescent="0.3">
      <c r="AL165" s="308" t="s">
        <v>3409</v>
      </c>
    </row>
    <row r="166" spans="38:38" x14ac:dyDescent="0.3">
      <c r="AL166" s="308" t="s">
        <v>3410</v>
      </c>
    </row>
    <row r="167" spans="38:38" x14ac:dyDescent="0.3">
      <c r="AL167" s="308" t="s">
        <v>3411</v>
      </c>
    </row>
    <row r="168" spans="38:38" x14ac:dyDescent="0.3">
      <c r="AL168" s="308" t="s">
        <v>3412</v>
      </c>
    </row>
    <row r="169" spans="38:38" x14ac:dyDescent="0.3">
      <c r="AL169" s="308" t="s">
        <v>3413</v>
      </c>
    </row>
    <row r="170" spans="38:38" x14ac:dyDescent="0.3">
      <c r="AL170" s="308" t="s">
        <v>3414</v>
      </c>
    </row>
    <row r="171" spans="38:38" x14ac:dyDescent="0.3">
      <c r="AL171" s="308" t="s">
        <v>3415</v>
      </c>
    </row>
    <row r="172" spans="38:38" x14ac:dyDescent="0.3">
      <c r="AL172" s="308" t="s">
        <v>3416</v>
      </c>
    </row>
    <row r="173" spans="38:38" x14ac:dyDescent="0.3">
      <c r="AL173" s="308" t="s">
        <v>3417</v>
      </c>
    </row>
    <row r="174" spans="38:38" x14ac:dyDescent="0.3">
      <c r="AL174" s="308" t="s">
        <v>3418</v>
      </c>
    </row>
    <row r="175" spans="38:38" x14ac:dyDescent="0.3">
      <c r="AL175" s="308" t="s">
        <v>3419</v>
      </c>
    </row>
    <row r="176" spans="38:38" x14ac:dyDescent="0.3">
      <c r="AL176" s="308" t="s">
        <v>3420</v>
      </c>
    </row>
    <row r="177" spans="38:38" x14ac:dyDescent="0.3">
      <c r="AL177" s="308" t="s">
        <v>3421</v>
      </c>
    </row>
    <row r="178" spans="38:38" x14ac:dyDescent="0.3">
      <c r="AL178" s="308" t="s">
        <v>3422</v>
      </c>
    </row>
    <row r="179" spans="38:38" x14ac:dyDescent="0.3">
      <c r="AL179" s="308" t="s">
        <v>3423</v>
      </c>
    </row>
    <row r="180" spans="38:38" x14ac:dyDescent="0.3">
      <c r="AL180" s="308" t="s">
        <v>3424</v>
      </c>
    </row>
    <row r="181" spans="38:38" x14ac:dyDescent="0.3">
      <c r="AL181" s="308" t="s">
        <v>3425</v>
      </c>
    </row>
    <row r="182" spans="38:38" x14ac:dyDescent="0.3">
      <c r="AL182" s="308" t="s">
        <v>3426</v>
      </c>
    </row>
  </sheetData>
  <sortState ref="V8:V14">
    <sortCondition ref="V8:V14"/>
  </sortState>
  <phoneticPr fontId="13" type="noConversion"/>
  <dataValidations count="14">
    <dataValidation allowBlank="1" showInputMessage="1" showErrorMessage="1" prompt="Enter glucan from plant fraction, in units specified above.  " sqref="AH16"/>
    <dataValidation allowBlank="1" showInputMessage="1" showErrorMessage="1" prompt="Enter xylan from plant fraction, in units specified above.  " sqref="AH17"/>
    <dataValidation allowBlank="1" showInputMessage="1" showErrorMessage="1" prompt="Enter galactan from plant fraction, in units specified above. " sqref="AH18"/>
    <dataValidation allowBlank="1" showInputMessage="1" showErrorMessage="1" prompt="Enter arabinan from plant fraction, in units specified above.  " sqref="AH19"/>
    <dataValidation allowBlank="1" showInputMessage="1" showErrorMessage="1" prompt="Enter mannan from plant fraction, in units specified above. " sqref="AH20"/>
    <dataValidation allowBlank="1" showInputMessage="1" showErrorMessage="1" prompt="Enter lignin from plant fraction, in units specified above.  " sqref="AH21"/>
    <dataValidation allowBlank="1" showInputMessage="1" showErrorMessage="1" prompt="Enter neutral detergent fiber from plant fraction, in units specified above.  " sqref="AH22"/>
    <dataValidation allowBlank="1" showInputMessage="1" showErrorMessage="1" prompt="Enter acide detergent fiber from plant fraction, in units specified above.  " sqref="AH23"/>
    <dataValidation allowBlank="1" showInputMessage="1" showErrorMessage="1" prompt="Enter acid soluble lignin from plant fraction, in units specifed above.  " sqref="AH24"/>
    <dataValidation allowBlank="1" showInputMessage="1" showErrorMessage="1" prompt="Enter acid insoluble lignin from plant fraction, in units specified above.  " sqref="AH25"/>
    <dataValidation allowBlank="1" showInputMessage="1" showErrorMessage="1" prompt="Enter crude protein from plant fraction, in units specifed above. " sqref="AH26"/>
    <dataValidation allowBlank="1" showInputMessage="1" showErrorMessage="1" prompt="Enter non-fiber carbohydrates from plant fraction, in units specified above.  " sqref="AH27"/>
    <dataValidation allowBlank="1" showInputMessage="1" showErrorMessage="1" prompt="Enter ash from plant fraction, in units specified above.  " sqref="AH28"/>
    <dataValidation type="list" allowBlank="1" showInputMessage="1" showErrorMessage="1" sqref="AY8:AY9">
      <formula1>ZeroOne</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4"/>
  <sheetViews>
    <sheetView topLeftCell="A472" zoomScale="80" zoomScaleNormal="80" workbookViewId="0">
      <selection activeCell="C470" sqref="C470:C505"/>
    </sheetView>
  </sheetViews>
  <sheetFormatPr defaultColWidth="8.88671875" defaultRowHeight="13.8" x14ac:dyDescent="0.25"/>
  <cols>
    <col min="1" max="1" width="22.88671875" style="990" customWidth="1"/>
    <col min="2" max="2" width="26.44140625" style="984" customWidth="1"/>
    <col min="3" max="3" width="57.88671875" style="998" customWidth="1"/>
    <col min="4" max="4" width="100.44140625" style="998" customWidth="1"/>
    <col min="5" max="5" width="9.88671875" style="981" bestFit="1" customWidth="1"/>
    <col min="6" max="6" width="12.44140625" style="981" bestFit="1" customWidth="1"/>
    <col min="7" max="7" width="52" style="1016" bestFit="1" customWidth="1"/>
    <col min="8" max="8" width="9.33203125" style="990" bestFit="1" customWidth="1"/>
    <col min="9" max="9" width="21.33203125" style="990" bestFit="1" customWidth="1"/>
    <col min="10" max="10" width="28.6640625" style="990" customWidth="1"/>
    <col min="11" max="11" width="33.44140625" style="981" customWidth="1"/>
    <col min="12" max="12" width="74.6640625" style="981" customWidth="1"/>
    <col min="13" max="13" width="26.44140625" style="984" customWidth="1"/>
    <col min="14" max="14" width="50.33203125" style="998" customWidth="1"/>
    <col min="15" max="16384" width="8.88671875" style="984"/>
  </cols>
  <sheetData>
    <row r="1" spans="1:14" x14ac:dyDescent="0.25">
      <c r="A1" s="994" t="s">
        <v>560</v>
      </c>
      <c r="B1" s="994" t="s">
        <v>561</v>
      </c>
      <c r="C1" s="994" t="s">
        <v>562</v>
      </c>
      <c r="D1" s="1000" t="s">
        <v>199</v>
      </c>
      <c r="E1" s="992" t="s">
        <v>156</v>
      </c>
      <c r="F1" s="1001" t="s">
        <v>158</v>
      </c>
      <c r="G1" s="1002" t="s">
        <v>200</v>
      </c>
      <c r="H1" s="1003" t="s">
        <v>201</v>
      </c>
      <c r="I1" s="1000" t="s">
        <v>563</v>
      </c>
      <c r="J1" s="1004" t="s">
        <v>202</v>
      </c>
      <c r="K1" s="1004" t="s">
        <v>203</v>
      </c>
      <c r="L1" s="1004" t="s">
        <v>204</v>
      </c>
      <c r="M1" s="994" t="s">
        <v>2029</v>
      </c>
      <c r="N1" s="994" t="s">
        <v>2362</v>
      </c>
    </row>
    <row r="2" spans="1:14" ht="15" customHeight="1" x14ac:dyDescent="0.25">
      <c r="A2" s="997" t="s">
        <v>564</v>
      </c>
      <c r="B2" s="955" t="s">
        <v>1052</v>
      </c>
      <c r="C2" s="981" t="s">
        <v>1573</v>
      </c>
      <c r="D2" s="1005" t="s">
        <v>205</v>
      </c>
      <c r="E2" s="985" t="s">
        <v>565</v>
      </c>
      <c r="F2" s="985" t="s">
        <v>566</v>
      </c>
      <c r="G2" s="1005" t="s">
        <v>196</v>
      </c>
      <c r="H2" s="1005" t="s">
        <v>206</v>
      </c>
      <c r="I2" s="1005" t="s">
        <v>621</v>
      </c>
      <c r="J2" s="983" t="s">
        <v>571</v>
      </c>
      <c r="K2" s="983" t="s">
        <v>571</v>
      </c>
      <c r="L2" s="989">
        <v>63999</v>
      </c>
      <c r="M2" s="955" t="s">
        <v>1052</v>
      </c>
      <c r="N2" s="1017" t="s">
        <v>111</v>
      </c>
    </row>
    <row r="3" spans="1:14" ht="15" customHeight="1" x14ac:dyDescent="0.25">
      <c r="A3" s="997" t="s">
        <v>564</v>
      </c>
      <c r="B3" s="955" t="s">
        <v>1052</v>
      </c>
      <c r="C3" s="981" t="s">
        <v>1883</v>
      </c>
      <c r="D3" s="993" t="s">
        <v>567</v>
      </c>
      <c r="E3" s="993" t="s">
        <v>565</v>
      </c>
      <c r="F3" s="993" t="s">
        <v>566</v>
      </c>
      <c r="G3" s="993" t="s">
        <v>196</v>
      </c>
      <c r="H3" s="1006" t="s">
        <v>208</v>
      </c>
      <c r="I3" s="1005" t="s">
        <v>621</v>
      </c>
      <c r="J3" s="983" t="s">
        <v>571</v>
      </c>
      <c r="K3" s="983" t="s">
        <v>571</v>
      </c>
      <c r="L3" s="989">
        <v>63999</v>
      </c>
      <c r="M3" s="955" t="s">
        <v>1052</v>
      </c>
      <c r="N3" s="1017" t="s">
        <v>2032</v>
      </c>
    </row>
    <row r="4" spans="1:14" ht="15" customHeight="1" x14ac:dyDescent="0.25">
      <c r="A4" s="997" t="s">
        <v>564</v>
      </c>
      <c r="B4" s="955" t="s">
        <v>1052</v>
      </c>
      <c r="C4" s="981" t="s">
        <v>1575</v>
      </c>
      <c r="D4" s="1005" t="s">
        <v>207</v>
      </c>
      <c r="E4" s="993" t="s">
        <v>565</v>
      </c>
      <c r="F4" s="993" t="s">
        <v>566</v>
      </c>
      <c r="G4" s="993" t="s">
        <v>196</v>
      </c>
      <c r="H4" s="1006" t="s">
        <v>208</v>
      </c>
      <c r="I4" s="1005" t="s">
        <v>621</v>
      </c>
      <c r="J4" s="983" t="s">
        <v>571</v>
      </c>
      <c r="K4" s="983" t="s">
        <v>571</v>
      </c>
      <c r="L4" s="989">
        <v>63999</v>
      </c>
      <c r="M4" s="955" t="s">
        <v>1052</v>
      </c>
      <c r="N4" s="1017" t="s">
        <v>125</v>
      </c>
    </row>
    <row r="5" spans="1:14" ht="15" customHeight="1" x14ac:dyDescent="0.25">
      <c r="A5" s="997" t="s">
        <v>564</v>
      </c>
      <c r="B5" s="955" t="s">
        <v>1052</v>
      </c>
      <c r="C5" s="981" t="s">
        <v>568</v>
      </c>
      <c r="D5" s="993" t="s">
        <v>568</v>
      </c>
      <c r="E5" s="993" t="s">
        <v>565</v>
      </c>
      <c r="F5" s="993" t="s">
        <v>566</v>
      </c>
      <c r="G5" s="993" t="s">
        <v>196</v>
      </c>
      <c r="H5" s="1006" t="s">
        <v>208</v>
      </c>
      <c r="I5" s="1005" t="s">
        <v>621</v>
      </c>
      <c r="J5" s="983" t="s">
        <v>571</v>
      </c>
      <c r="K5" s="983" t="s">
        <v>571</v>
      </c>
      <c r="L5" s="989">
        <v>63999</v>
      </c>
      <c r="M5" s="955" t="s">
        <v>1052</v>
      </c>
      <c r="N5" s="1017" t="s">
        <v>533</v>
      </c>
    </row>
    <row r="6" spans="1:14" ht="15" customHeight="1" x14ac:dyDescent="0.25">
      <c r="A6" s="997" t="s">
        <v>564</v>
      </c>
      <c r="B6" s="955" t="s">
        <v>1052</v>
      </c>
      <c r="C6" s="981" t="s">
        <v>1562</v>
      </c>
      <c r="D6" s="993" t="s">
        <v>1562</v>
      </c>
      <c r="E6" s="993" t="s">
        <v>565</v>
      </c>
      <c r="F6" s="993" t="s">
        <v>566</v>
      </c>
      <c r="G6" s="993" t="s">
        <v>196</v>
      </c>
      <c r="H6" s="1006" t="s">
        <v>208</v>
      </c>
      <c r="I6" s="1005" t="s">
        <v>621</v>
      </c>
      <c r="J6" s="983" t="s">
        <v>571</v>
      </c>
      <c r="K6" s="983" t="s">
        <v>571</v>
      </c>
      <c r="L6" s="989">
        <v>63999</v>
      </c>
      <c r="M6" s="955" t="s">
        <v>1052</v>
      </c>
      <c r="N6" s="1017" t="s">
        <v>2368</v>
      </c>
    </row>
    <row r="7" spans="1:14" ht="15" customHeight="1" x14ac:dyDescent="0.25">
      <c r="A7" s="997" t="s">
        <v>564</v>
      </c>
      <c r="B7" s="955" t="s">
        <v>1052</v>
      </c>
      <c r="C7" s="981" t="s">
        <v>2020</v>
      </c>
      <c r="D7" s="981" t="s">
        <v>2020</v>
      </c>
      <c r="E7" s="993" t="s">
        <v>565</v>
      </c>
      <c r="F7" s="993" t="s">
        <v>566</v>
      </c>
      <c r="G7" s="993" t="s">
        <v>196</v>
      </c>
      <c r="H7" s="1006" t="s">
        <v>206</v>
      </c>
      <c r="I7" s="1005" t="s">
        <v>621</v>
      </c>
      <c r="J7" s="983"/>
      <c r="K7" s="983"/>
      <c r="L7" s="989">
        <v>63999</v>
      </c>
      <c r="M7" s="955" t="s">
        <v>1052</v>
      </c>
      <c r="N7" s="984" t="s">
        <v>2030</v>
      </c>
    </row>
    <row r="8" spans="1:14" ht="15" customHeight="1" x14ac:dyDescent="0.25">
      <c r="A8" s="997" t="s">
        <v>564</v>
      </c>
      <c r="B8" s="955" t="s">
        <v>1052</v>
      </c>
      <c r="C8" s="981" t="s">
        <v>1576</v>
      </c>
      <c r="D8" s="1005" t="s">
        <v>209</v>
      </c>
      <c r="E8" s="1007">
        <v>1</v>
      </c>
      <c r="F8" s="1007">
        <f ca="1">TODAY()</f>
        <v>42879</v>
      </c>
      <c r="G8" s="1005" t="s">
        <v>116</v>
      </c>
      <c r="H8" s="1006" t="s">
        <v>206</v>
      </c>
      <c r="I8" s="1005" t="s">
        <v>569</v>
      </c>
      <c r="J8" s="983" t="s">
        <v>571</v>
      </c>
      <c r="K8" s="983" t="s">
        <v>571</v>
      </c>
      <c r="L8" s="983" t="s">
        <v>571</v>
      </c>
      <c r="M8" s="955" t="s">
        <v>1052</v>
      </c>
      <c r="N8" s="1017" t="s">
        <v>2033</v>
      </c>
    </row>
    <row r="9" spans="1:14" ht="15" customHeight="1" x14ac:dyDescent="0.25">
      <c r="A9" s="997" t="s">
        <v>564</v>
      </c>
      <c r="B9" s="955" t="s">
        <v>1052</v>
      </c>
      <c r="C9" s="981" t="s">
        <v>1577</v>
      </c>
      <c r="D9" s="1005" t="s">
        <v>210</v>
      </c>
      <c r="E9" s="1007">
        <v>1</v>
      </c>
      <c r="F9" s="1007">
        <f ca="1">TODAY()</f>
        <v>42879</v>
      </c>
      <c r="G9" s="1005" t="s">
        <v>116</v>
      </c>
      <c r="H9" s="1006" t="s">
        <v>206</v>
      </c>
      <c r="I9" s="1005" t="s">
        <v>569</v>
      </c>
      <c r="J9" s="983" t="s">
        <v>571</v>
      </c>
      <c r="K9" s="983" t="s">
        <v>571</v>
      </c>
      <c r="L9" s="983" t="s">
        <v>571</v>
      </c>
      <c r="M9" s="955" t="s">
        <v>1052</v>
      </c>
      <c r="N9" s="1017" t="s">
        <v>2034</v>
      </c>
    </row>
    <row r="10" spans="1:14" ht="15" customHeight="1" x14ac:dyDescent="0.25">
      <c r="A10" s="997" t="s">
        <v>564</v>
      </c>
      <c r="B10" s="955" t="s">
        <v>1052</v>
      </c>
      <c r="C10" s="981" t="s">
        <v>2017</v>
      </c>
      <c r="D10" s="1005" t="s">
        <v>2021</v>
      </c>
      <c r="E10" s="1005">
        <v>0</v>
      </c>
      <c r="F10" s="1005">
        <v>100</v>
      </c>
      <c r="G10" s="1005" t="s">
        <v>2022</v>
      </c>
      <c r="H10" s="1006" t="s">
        <v>208</v>
      </c>
      <c r="I10" s="1005" t="s">
        <v>620</v>
      </c>
      <c r="J10" s="983"/>
      <c r="K10" s="983"/>
      <c r="L10" s="983"/>
      <c r="M10" s="955" t="s">
        <v>1052</v>
      </c>
      <c r="N10" s="981" t="s">
        <v>2030</v>
      </c>
    </row>
    <row r="11" spans="1:14" ht="15" customHeight="1" x14ac:dyDescent="0.25">
      <c r="A11" s="999" t="s">
        <v>571</v>
      </c>
      <c r="B11" s="999" t="s">
        <v>571</v>
      </c>
      <c r="C11" s="999" t="s">
        <v>571</v>
      </c>
      <c r="D11" s="999" t="s">
        <v>571</v>
      </c>
      <c r="E11" s="999" t="s">
        <v>571</v>
      </c>
      <c r="F11" s="999" t="s">
        <v>571</v>
      </c>
      <c r="G11" s="999" t="s">
        <v>571</v>
      </c>
      <c r="H11" s="999" t="s">
        <v>571</v>
      </c>
      <c r="I11" s="999" t="s">
        <v>571</v>
      </c>
      <c r="J11" s="991" t="s">
        <v>571</v>
      </c>
      <c r="K11" s="991" t="s">
        <v>571</v>
      </c>
      <c r="L11" s="991" t="s">
        <v>571</v>
      </c>
      <c r="M11" s="999" t="s">
        <v>571</v>
      </c>
      <c r="N11" s="999" t="s">
        <v>571</v>
      </c>
    </row>
    <row r="12" spans="1:14" ht="15" customHeight="1" x14ac:dyDescent="0.25">
      <c r="A12" s="997" t="s">
        <v>564</v>
      </c>
      <c r="B12" s="997" t="s">
        <v>1053</v>
      </c>
      <c r="C12" s="981" t="s">
        <v>1573</v>
      </c>
      <c r="D12" s="1005" t="s">
        <v>205</v>
      </c>
      <c r="E12" s="985" t="s">
        <v>565</v>
      </c>
      <c r="F12" s="985" t="s">
        <v>566</v>
      </c>
      <c r="G12" s="1005" t="s">
        <v>196</v>
      </c>
      <c r="H12" s="1005" t="s">
        <v>206</v>
      </c>
      <c r="I12" s="1005" t="s">
        <v>621</v>
      </c>
      <c r="J12" s="983" t="s">
        <v>571</v>
      </c>
      <c r="K12" s="983" t="s">
        <v>571</v>
      </c>
      <c r="L12" s="989">
        <v>63999</v>
      </c>
      <c r="M12" s="997" t="s">
        <v>1053</v>
      </c>
      <c r="N12" s="1018" t="s">
        <v>111</v>
      </c>
    </row>
    <row r="13" spans="1:14" ht="15" customHeight="1" x14ac:dyDescent="0.25">
      <c r="A13" s="997" t="s">
        <v>564</v>
      </c>
      <c r="B13" s="997" t="s">
        <v>1053</v>
      </c>
      <c r="C13" s="981" t="s">
        <v>35</v>
      </c>
      <c r="D13" s="1005" t="s">
        <v>209</v>
      </c>
      <c r="E13" s="1007">
        <v>1</v>
      </c>
      <c r="F13" s="1007">
        <f ca="1">TODAY()</f>
        <v>42879</v>
      </c>
      <c r="G13" s="1005" t="s">
        <v>116</v>
      </c>
      <c r="H13" s="1006" t="s">
        <v>208</v>
      </c>
      <c r="I13" s="1005" t="s">
        <v>569</v>
      </c>
      <c r="J13" s="983" t="s">
        <v>571</v>
      </c>
      <c r="K13" s="983" t="s">
        <v>571</v>
      </c>
      <c r="L13" s="983" t="s">
        <v>571</v>
      </c>
      <c r="M13" s="997" t="s">
        <v>1053</v>
      </c>
      <c r="N13" s="1018" t="s">
        <v>35</v>
      </c>
    </row>
    <row r="14" spans="1:14" ht="15" customHeight="1" x14ac:dyDescent="0.25">
      <c r="A14" s="997" t="s">
        <v>564</v>
      </c>
      <c r="B14" s="997" t="s">
        <v>1053</v>
      </c>
      <c r="C14" s="981" t="s">
        <v>48</v>
      </c>
      <c r="D14" s="1005" t="s">
        <v>622</v>
      </c>
      <c r="E14" s="993" t="s">
        <v>565</v>
      </c>
      <c r="F14" s="993" t="s">
        <v>566</v>
      </c>
      <c r="G14" s="993" t="s">
        <v>196</v>
      </c>
      <c r="H14" s="1006" t="s">
        <v>208</v>
      </c>
      <c r="I14" s="1005" t="s">
        <v>621</v>
      </c>
      <c r="J14" s="983" t="s">
        <v>571</v>
      </c>
      <c r="K14" s="983" t="s">
        <v>571</v>
      </c>
      <c r="L14" s="989">
        <v>63999</v>
      </c>
      <c r="M14" s="997" t="s">
        <v>1053</v>
      </c>
      <c r="N14" s="1018" t="s">
        <v>48</v>
      </c>
    </row>
    <row r="15" spans="1:14" ht="15" customHeight="1" x14ac:dyDescent="0.25">
      <c r="A15" s="997" t="s">
        <v>564</v>
      </c>
      <c r="B15" s="997" t="s">
        <v>1053</v>
      </c>
      <c r="C15" s="981" t="s">
        <v>1578</v>
      </c>
      <c r="D15" s="1005" t="s">
        <v>1563</v>
      </c>
      <c r="E15" s="985" t="s">
        <v>565</v>
      </c>
      <c r="F15" s="985" t="s">
        <v>566</v>
      </c>
      <c r="G15" s="1005" t="s">
        <v>196</v>
      </c>
      <c r="H15" s="1005" t="s">
        <v>206</v>
      </c>
      <c r="I15" s="1005" t="s">
        <v>621</v>
      </c>
      <c r="J15" s="983" t="s">
        <v>571</v>
      </c>
      <c r="K15" s="983" t="s">
        <v>571</v>
      </c>
      <c r="L15" s="989">
        <v>63999</v>
      </c>
      <c r="M15" s="997" t="s">
        <v>1053</v>
      </c>
      <c r="N15" s="1018" t="s">
        <v>1050</v>
      </c>
    </row>
    <row r="16" spans="1:14" ht="15" customHeight="1" x14ac:dyDescent="0.25">
      <c r="A16" s="997" t="s">
        <v>564</v>
      </c>
      <c r="B16" s="997" t="s">
        <v>1053</v>
      </c>
      <c r="C16" s="981" t="s">
        <v>792</v>
      </c>
      <c r="D16" s="1005" t="s">
        <v>793</v>
      </c>
      <c r="E16" s="993" t="s">
        <v>565</v>
      </c>
      <c r="F16" s="993" t="s">
        <v>566</v>
      </c>
      <c r="G16" s="993" t="s">
        <v>196</v>
      </c>
      <c r="H16" s="1006" t="s">
        <v>208</v>
      </c>
      <c r="I16" s="1005" t="s">
        <v>621</v>
      </c>
      <c r="J16" s="983" t="s">
        <v>571</v>
      </c>
      <c r="K16" s="983" t="s">
        <v>571</v>
      </c>
      <c r="L16" s="989">
        <v>63999</v>
      </c>
      <c r="M16" s="997" t="s">
        <v>1053</v>
      </c>
      <c r="N16" s="1018" t="s">
        <v>792</v>
      </c>
    </row>
    <row r="17" spans="1:14" ht="15" customHeight="1" x14ac:dyDescent="0.25">
      <c r="A17" s="997" t="s">
        <v>564</v>
      </c>
      <c r="B17" s="997" t="s">
        <v>1053</v>
      </c>
      <c r="C17" s="981" t="s">
        <v>379</v>
      </c>
      <c r="D17" s="1005" t="s">
        <v>570</v>
      </c>
      <c r="E17" s="993" t="s">
        <v>565</v>
      </c>
      <c r="F17" s="993" t="s">
        <v>566</v>
      </c>
      <c r="G17" s="993" t="s">
        <v>196</v>
      </c>
      <c r="H17" s="1006" t="s">
        <v>208</v>
      </c>
      <c r="I17" s="1005" t="s">
        <v>621</v>
      </c>
      <c r="J17" s="983" t="s">
        <v>571</v>
      </c>
      <c r="K17" s="983" t="s">
        <v>571</v>
      </c>
      <c r="L17" s="989">
        <v>63999</v>
      </c>
      <c r="M17" s="997" t="s">
        <v>1053</v>
      </c>
      <c r="N17" s="1018" t="s">
        <v>379</v>
      </c>
    </row>
    <row r="18" spans="1:14" ht="15" customHeight="1" x14ac:dyDescent="0.25">
      <c r="A18" s="997" t="s">
        <v>564</v>
      </c>
      <c r="B18" s="997" t="s">
        <v>1053</v>
      </c>
      <c r="C18" s="981" t="s">
        <v>108</v>
      </c>
      <c r="D18" s="1005" t="s">
        <v>108</v>
      </c>
      <c r="E18" s="993" t="s">
        <v>565</v>
      </c>
      <c r="F18" s="993" t="s">
        <v>566</v>
      </c>
      <c r="G18" s="993" t="s">
        <v>196</v>
      </c>
      <c r="H18" s="1006" t="s">
        <v>208</v>
      </c>
      <c r="I18" s="1005" t="s">
        <v>621</v>
      </c>
      <c r="J18" s="983" t="s">
        <v>571</v>
      </c>
      <c r="K18" s="983" t="s">
        <v>571</v>
      </c>
      <c r="L18" s="989">
        <v>63999</v>
      </c>
      <c r="M18" s="997" t="s">
        <v>1053</v>
      </c>
      <c r="N18" s="1018" t="s">
        <v>108</v>
      </c>
    </row>
    <row r="19" spans="1:14" ht="15" customHeight="1" x14ac:dyDescent="0.25">
      <c r="A19" s="997" t="s">
        <v>564</v>
      </c>
      <c r="B19" s="997" t="s">
        <v>1053</v>
      </c>
      <c r="C19" s="981" t="s">
        <v>74</v>
      </c>
      <c r="D19" s="1005" t="s">
        <v>74</v>
      </c>
      <c r="E19" s="993" t="s">
        <v>565</v>
      </c>
      <c r="F19" s="993" t="s">
        <v>566</v>
      </c>
      <c r="G19" s="993" t="s">
        <v>196</v>
      </c>
      <c r="H19" s="1006" t="s">
        <v>208</v>
      </c>
      <c r="I19" s="1005" t="s">
        <v>621</v>
      </c>
      <c r="J19" s="983" t="s">
        <v>571</v>
      </c>
      <c r="K19" s="983" t="s">
        <v>571</v>
      </c>
      <c r="L19" s="989">
        <v>63999</v>
      </c>
      <c r="M19" s="997" t="s">
        <v>1053</v>
      </c>
      <c r="N19" s="1018" t="s">
        <v>74</v>
      </c>
    </row>
    <row r="20" spans="1:14" ht="15" customHeight="1" x14ac:dyDescent="0.25">
      <c r="A20" s="997" t="s">
        <v>564</v>
      </c>
      <c r="B20" s="997" t="s">
        <v>1053</v>
      </c>
      <c r="C20" s="981" t="s">
        <v>2001</v>
      </c>
      <c r="D20" s="1005" t="s">
        <v>2001</v>
      </c>
      <c r="E20" s="993" t="s">
        <v>565</v>
      </c>
      <c r="F20" s="993" t="s">
        <v>566</v>
      </c>
      <c r="G20" s="993" t="s">
        <v>196</v>
      </c>
      <c r="H20" s="1006" t="s">
        <v>208</v>
      </c>
      <c r="I20" s="1005" t="s">
        <v>2023</v>
      </c>
      <c r="J20" s="983" t="s">
        <v>571</v>
      </c>
      <c r="K20" s="983" t="s">
        <v>571</v>
      </c>
      <c r="L20" s="989">
        <v>63999</v>
      </c>
      <c r="M20" s="997" t="s">
        <v>1053</v>
      </c>
      <c r="N20" s="984" t="s">
        <v>2030</v>
      </c>
    </row>
    <row r="21" spans="1:14" ht="15" customHeight="1" x14ac:dyDescent="0.25">
      <c r="A21" s="997" t="s">
        <v>564</v>
      </c>
      <c r="B21" s="997" t="s">
        <v>1053</v>
      </c>
      <c r="C21" s="981" t="s">
        <v>1579</v>
      </c>
      <c r="D21" s="1005" t="s">
        <v>623</v>
      </c>
      <c r="E21" s="985">
        <v>-75</v>
      </c>
      <c r="F21" s="1008">
        <v>75</v>
      </c>
      <c r="G21" s="1005" t="s">
        <v>187</v>
      </c>
      <c r="H21" s="1006" t="s">
        <v>208</v>
      </c>
      <c r="I21" s="1005" t="s">
        <v>112</v>
      </c>
      <c r="J21" s="989">
        <v>9</v>
      </c>
      <c r="K21" s="989">
        <v>6</v>
      </c>
      <c r="L21" s="983" t="s">
        <v>571</v>
      </c>
      <c r="M21" s="997" t="s">
        <v>1053</v>
      </c>
      <c r="N21" s="1018" t="s">
        <v>67</v>
      </c>
    </row>
    <row r="22" spans="1:14" ht="15" customHeight="1" x14ac:dyDescent="0.25">
      <c r="A22" s="997" t="s">
        <v>564</v>
      </c>
      <c r="B22" s="997" t="s">
        <v>1053</v>
      </c>
      <c r="C22" s="981" t="s">
        <v>1585</v>
      </c>
      <c r="D22" s="1005" t="s">
        <v>624</v>
      </c>
      <c r="E22" s="985">
        <v>-180</v>
      </c>
      <c r="F22" s="1008">
        <v>180</v>
      </c>
      <c r="G22" s="1005" t="s">
        <v>187</v>
      </c>
      <c r="H22" s="1006" t="s">
        <v>208</v>
      </c>
      <c r="I22" s="1005" t="s">
        <v>112</v>
      </c>
      <c r="J22" s="989">
        <v>9</v>
      </c>
      <c r="K22" s="989">
        <v>6</v>
      </c>
      <c r="L22" s="983" t="s">
        <v>571</v>
      </c>
      <c r="M22" s="997" t="s">
        <v>1053</v>
      </c>
      <c r="N22" s="1018" t="s">
        <v>68</v>
      </c>
    </row>
    <row r="23" spans="1:14" ht="15" customHeight="1" x14ac:dyDescent="0.25">
      <c r="A23" s="997" t="s">
        <v>564</v>
      </c>
      <c r="B23" s="997" t="s">
        <v>1053</v>
      </c>
      <c r="C23" s="981" t="s">
        <v>1580</v>
      </c>
      <c r="D23" s="1005" t="s">
        <v>707</v>
      </c>
      <c r="E23" s="985">
        <v>-50</v>
      </c>
      <c r="F23" s="1008">
        <v>5000</v>
      </c>
      <c r="G23" s="1005" t="s">
        <v>211</v>
      </c>
      <c r="H23" s="1006" t="s">
        <v>208</v>
      </c>
      <c r="I23" s="1005" t="s">
        <v>620</v>
      </c>
      <c r="J23" s="983" t="s">
        <v>571</v>
      </c>
      <c r="K23" s="983" t="s">
        <v>571</v>
      </c>
      <c r="L23" s="983" t="s">
        <v>571</v>
      </c>
      <c r="M23" s="997" t="s">
        <v>1053</v>
      </c>
      <c r="N23" s="1018" t="s">
        <v>2035</v>
      </c>
    </row>
    <row r="24" spans="1:14" ht="15" customHeight="1" x14ac:dyDescent="0.25">
      <c r="A24" s="997" t="s">
        <v>564</v>
      </c>
      <c r="B24" s="997" t="s">
        <v>1053</v>
      </c>
      <c r="C24" s="981" t="s">
        <v>1581</v>
      </c>
      <c r="D24" s="1005" t="s">
        <v>627</v>
      </c>
      <c r="E24" s="985">
        <v>10</v>
      </c>
      <c r="F24" s="1008">
        <v>5000</v>
      </c>
      <c r="G24" s="1005" t="s">
        <v>41</v>
      </c>
      <c r="H24" s="1006" t="s">
        <v>208</v>
      </c>
      <c r="I24" s="1005" t="s">
        <v>112</v>
      </c>
      <c r="J24" s="989">
        <v>9</v>
      </c>
      <c r="K24" s="989">
        <v>1</v>
      </c>
      <c r="L24" s="983" t="s">
        <v>571</v>
      </c>
      <c r="M24" s="997" t="s">
        <v>1053</v>
      </c>
      <c r="N24" s="1018" t="s">
        <v>2036</v>
      </c>
    </row>
    <row r="25" spans="1:14" ht="15" customHeight="1" x14ac:dyDescent="0.25">
      <c r="A25" s="997" t="s">
        <v>564</v>
      </c>
      <c r="B25" s="997" t="s">
        <v>1053</v>
      </c>
      <c r="C25" s="981" t="s">
        <v>1582</v>
      </c>
      <c r="D25" s="1005" t="s">
        <v>1012</v>
      </c>
      <c r="E25" s="985">
        <v>-10</v>
      </c>
      <c r="F25" s="1008">
        <v>30</v>
      </c>
      <c r="G25" s="1005" t="s">
        <v>1013</v>
      </c>
      <c r="H25" s="1006" t="s">
        <v>208</v>
      </c>
      <c r="I25" s="1005" t="s">
        <v>112</v>
      </c>
      <c r="J25" s="989">
        <v>9</v>
      </c>
      <c r="K25" s="989">
        <v>1</v>
      </c>
      <c r="L25" s="983" t="s">
        <v>571</v>
      </c>
      <c r="M25" s="997" t="s">
        <v>1053</v>
      </c>
      <c r="N25" s="1018" t="s">
        <v>2037</v>
      </c>
    </row>
    <row r="26" spans="1:14" ht="15" customHeight="1" x14ac:dyDescent="0.25">
      <c r="A26" s="997" t="s">
        <v>564</v>
      </c>
      <c r="B26" s="997" t="s">
        <v>1053</v>
      </c>
      <c r="C26" s="981" t="s">
        <v>1583</v>
      </c>
      <c r="D26" s="1005" t="s">
        <v>212</v>
      </c>
      <c r="E26" s="993" t="s">
        <v>565</v>
      </c>
      <c r="F26" s="993" t="s">
        <v>566</v>
      </c>
      <c r="G26" s="993" t="s">
        <v>196</v>
      </c>
      <c r="H26" s="1006" t="s">
        <v>208</v>
      </c>
      <c r="I26" s="1005" t="s">
        <v>621</v>
      </c>
      <c r="J26" s="983" t="s">
        <v>571</v>
      </c>
      <c r="K26" s="983" t="s">
        <v>571</v>
      </c>
      <c r="L26" s="989">
        <v>63999</v>
      </c>
      <c r="M26" s="997" t="s">
        <v>1053</v>
      </c>
      <c r="N26" s="1018" t="s">
        <v>2038</v>
      </c>
    </row>
    <row r="27" spans="1:14" ht="15" customHeight="1" x14ac:dyDescent="0.25">
      <c r="A27" s="997" t="s">
        <v>564</v>
      </c>
      <c r="B27" s="997" t="s">
        <v>1053</v>
      </c>
      <c r="C27" s="981" t="s">
        <v>1584</v>
      </c>
      <c r="D27" s="1005" t="s">
        <v>213</v>
      </c>
      <c r="E27" s="993" t="s">
        <v>565</v>
      </c>
      <c r="F27" s="993" t="s">
        <v>566</v>
      </c>
      <c r="G27" s="993" t="s">
        <v>196</v>
      </c>
      <c r="H27" s="1006" t="s">
        <v>208</v>
      </c>
      <c r="I27" s="1005" t="s">
        <v>621</v>
      </c>
      <c r="J27" s="983" t="s">
        <v>571</v>
      </c>
      <c r="K27" s="983" t="s">
        <v>571</v>
      </c>
      <c r="L27" s="989">
        <v>63999</v>
      </c>
      <c r="M27" s="997" t="s">
        <v>1053</v>
      </c>
      <c r="N27" s="1018" t="s">
        <v>2039</v>
      </c>
    </row>
    <row r="28" spans="1:14" ht="15" customHeight="1" x14ac:dyDescent="0.25">
      <c r="A28" s="999" t="s">
        <v>571</v>
      </c>
      <c r="B28" s="999" t="s">
        <v>571</v>
      </c>
      <c r="C28" s="999" t="s">
        <v>571</v>
      </c>
      <c r="D28" s="999" t="s">
        <v>571</v>
      </c>
      <c r="E28" s="999" t="s">
        <v>571</v>
      </c>
      <c r="F28" s="999" t="s">
        <v>571</v>
      </c>
      <c r="G28" s="999" t="s">
        <v>571</v>
      </c>
      <c r="H28" s="999" t="s">
        <v>571</v>
      </c>
      <c r="I28" s="999" t="s">
        <v>571</v>
      </c>
      <c r="J28" s="991" t="s">
        <v>571</v>
      </c>
      <c r="K28" s="991" t="s">
        <v>571</v>
      </c>
      <c r="L28" s="991" t="s">
        <v>571</v>
      </c>
      <c r="M28" s="999" t="s">
        <v>571</v>
      </c>
      <c r="N28" s="999" t="s">
        <v>571</v>
      </c>
    </row>
    <row r="29" spans="1:14" ht="15" customHeight="1" x14ac:dyDescent="0.25">
      <c r="A29" s="997" t="s">
        <v>564</v>
      </c>
      <c r="B29" s="997" t="s">
        <v>214</v>
      </c>
      <c r="C29" s="981" t="s">
        <v>1573</v>
      </c>
      <c r="D29" s="1005" t="s">
        <v>205</v>
      </c>
      <c r="E29" s="985" t="s">
        <v>565</v>
      </c>
      <c r="F29" s="985" t="s">
        <v>566</v>
      </c>
      <c r="G29" s="1005" t="s">
        <v>196</v>
      </c>
      <c r="H29" s="1005" t="s">
        <v>206</v>
      </c>
      <c r="I29" s="1005" t="s">
        <v>621</v>
      </c>
      <c r="J29" s="983" t="s">
        <v>571</v>
      </c>
      <c r="K29" s="983" t="s">
        <v>571</v>
      </c>
      <c r="L29" s="989">
        <v>63999</v>
      </c>
      <c r="M29" s="997" t="s">
        <v>214</v>
      </c>
      <c r="N29" s="993" t="s">
        <v>111</v>
      </c>
    </row>
    <row r="30" spans="1:14" ht="15" customHeight="1" x14ac:dyDescent="0.25">
      <c r="A30" s="997" t="s">
        <v>564</v>
      </c>
      <c r="B30" s="997" t="s">
        <v>214</v>
      </c>
      <c r="C30" s="981" t="s">
        <v>1589</v>
      </c>
      <c r="D30" s="1005" t="s">
        <v>215</v>
      </c>
      <c r="E30" s="993" t="s">
        <v>565</v>
      </c>
      <c r="F30" s="993" t="s">
        <v>566</v>
      </c>
      <c r="G30" s="993" t="s">
        <v>196</v>
      </c>
      <c r="H30" s="1006" t="s">
        <v>208</v>
      </c>
      <c r="I30" s="1005" t="s">
        <v>621</v>
      </c>
      <c r="J30" s="983" t="s">
        <v>571</v>
      </c>
      <c r="K30" s="983" t="s">
        <v>571</v>
      </c>
      <c r="L30" s="989">
        <v>63999</v>
      </c>
      <c r="M30" s="997" t="s">
        <v>214</v>
      </c>
      <c r="N30" s="993" t="s">
        <v>2040</v>
      </c>
    </row>
    <row r="31" spans="1:14" ht="15" customHeight="1" x14ac:dyDescent="0.25">
      <c r="A31" s="997" t="s">
        <v>564</v>
      </c>
      <c r="B31" s="997" t="s">
        <v>214</v>
      </c>
      <c r="C31" s="981" t="s">
        <v>1588</v>
      </c>
      <c r="D31" s="1005" t="s">
        <v>216</v>
      </c>
      <c r="E31" s="993" t="s">
        <v>565</v>
      </c>
      <c r="F31" s="993" t="s">
        <v>566</v>
      </c>
      <c r="G31" s="993" t="s">
        <v>196</v>
      </c>
      <c r="H31" s="1006" t="s">
        <v>208</v>
      </c>
      <c r="I31" s="1005" t="s">
        <v>621</v>
      </c>
      <c r="J31" s="983" t="s">
        <v>571</v>
      </c>
      <c r="K31" s="983" t="s">
        <v>571</v>
      </c>
      <c r="L31" s="989">
        <v>63999</v>
      </c>
      <c r="M31" s="997" t="s">
        <v>214</v>
      </c>
      <c r="N31" s="993" t="s">
        <v>2041</v>
      </c>
    </row>
    <row r="32" spans="1:14" ht="15" customHeight="1" x14ac:dyDescent="0.25">
      <c r="A32" s="997" t="s">
        <v>564</v>
      </c>
      <c r="B32" s="997" t="s">
        <v>214</v>
      </c>
      <c r="C32" s="981" t="s">
        <v>1587</v>
      </c>
      <c r="D32" s="1005" t="s">
        <v>217</v>
      </c>
      <c r="E32" s="993" t="s">
        <v>565</v>
      </c>
      <c r="F32" s="993" t="s">
        <v>566</v>
      </c>
      <c r="G32" s="993" t="s">
        <v>196</v>
      </c>
      <c r="H32" s="1006" t="s">
        <v>208</v>
      </c>
      <c r="I32" s="1005" t="s">
        <v>621</v>
      </c>
      <c r="J32" s="983" t="s">
        <v>571</v>
      </c>
      <c r="K32" s="983" t="s">
        <v>571</v>
      </c>
      <c r="L32" s="989">
        <v>63999</v>
      </c>
      <c r="M32" s="997" t="s">
        <v>214</v>
      </c>
      <c r="N32" s="993" t="s">
        <v>2042</v>
      </c>
    </row>
    <row r="33" spans="1:14" ht="15" customHeight="1" x14ac:dyDescent="0.25">
      <c r="A33" s="997" t="s">
        <v>564</v>
      </c>
      <c r="B33" s="997" t="s">
        <v>214</v>
      </c>
      <c r="C33" s="981" t="s">
        <v>144</v>
      </c>
      <c r="D33" s="1005" t="s">
        <v>144</v>
      </c>
      <c r="E33" s="993" t="s">
        <v>565</v>
      </c>
      <c r="F33" s="993" t="s">
        <v>566</v>
      </c>
      <c r="G33" s="993" t="s">
        <v>196</v>
      </c>
      <c r="H33" s="1006" t="s">
        <v>208</v>
      </c>
      <c r="I33" s="1005" t="s">
        <v>621</v>
      </c>
      <c r="J33" s="983" t="s">
        <v>571</v>
      </c>
      <c r="K33" s="983" t="s">
        <v>571</v>
      </c>
      <c r="L33" s="989">
        <v>63999</v>
      </c>
      <c r="M33" s="997" t="s">
        <v>214</v>
      </c>
      <c r="N33" s="993" t="s">
        <v>144</v>
      </c>
    </row>
    <row r="34" spans="1:14" ht="15" customHeight="1" x14ac:dyDescent="0.25">
      <c r="A34" s="997" t="s">
        <v>564</v>
      </c>
      <c r="B34" s="997" t="s">
        <v>214</v>
      </c>
      <c r="C34" s="981" t="s">
        <v>2372</v>
      </c>
      <c r="D34" s="1005" t="s">
        <v>218</v>
      </c>
      <c r="E34" s="993" t="s">
        <v>565</v>
      </c>
      <c r="F34" s="993" t="s">
        <v>566</v>
      </c>
      <c r="G34" s="993" t="s">
        <v>196</v>
      </c>
      <c r="H34" s="1006" t="s">
        <v>208</v>
      </c>
      <c r="I34" s="1005" t="s">
        <v>621</v>
      </c>
      <c r="J34" s="983" t="s">
        <v>571</v>
      </c>
      <c r="K34" s="983" t="s">
        <v>571</v>
      </c>
      <c r="L34" s="989">
        <v>63999</v>
      </c>
      <c r="M34" s="997" t="s">
        <v>214</v>
      </c>
      <c r="N34" s="993" t="s">
        <v>2043</v>
      </c>
    </row>
    <row r="35" spans="1:14" ht="15" customHeight="1" x14ac:dyDescent="0.25">
      <c r="A35" s="997" t="s">
        <v>564</v>
      </c>
      <c r="B35" s="997" t="s">
        <v>214</v>
      </c>
      <c r="C35" s="981" t="s">
        <v>1586</v>
      </c>
      <c r="D35" s="1005" t="s">
        <v>219</v>
      </c>
      <c r="E35" s="993" t="s">
        <v>565</v>
      </c>
      <c r="F35" s="993" t="s">
        <v>566</v>
      </c>
      <c r="G35" s="993" t="s">
        <v>196</v>
      </c>
      <c r="H35" s="1006" t="s">
        <v>208</v>
      </c>
      <c r="I35" s="1005" t="s">
        <v>621</v>
      </c>
      <c r="J35" s="983" t="s">
        <v>571</v>
      </c>
      <c r="K35" s="983" t="s">
        <v>571</v>
      </c>
      <c r="L35" s="989">
        <v>63999</v>
      </c>
      <c r="M35" s="997" t="s">
        <v>214</v>
      </c>
      <c r="N35" s="993" t="s">
        <v>2044</v>
      </c>
    </row>
    <row r="36" spans="1:14" ht="15" customHeight="1" x14ac:dyDescent="0.25">
      <c r="A36" s="997" t="s">
        <v>564</v>
      </c>
      <c r="B36" s="997" t="s">
        <v>214</v>
      </c>
      <c r="C36" s="981" t="s">
        <v>220</v>
      </c>
      <c r="D36" s="1005" t="s">
        <v>220</v>
      </c>
      <c r="E36" s="993" t="s">
        <v>565</v>
      </c>
      <c r="F36" s="993" t="s">
        <v>566</v>
      </c>
      <c r="G36" s="993" t="s">
        <v>196</v>
      </c>
      <c r="H36" s="1006" t="s">
        <v>208</v>
      </c>
      <c r="I36" s="1005" t="s">
        <v>621</v>
      </c>
      <c r="J36" s="983" t="s">
        <v>571</v>
      </c>
      <c r="K36" s="983" t="s">
        <v>571</v>
      </c>
      <c r="L36" s="989">
        <v>63999</v>
      </c>
      <c r="M36" s="997" t="s">
        <v>214</v>
      </c>
      <c r="N36" s="993" t="s">
        <v>2045</v>
      </c>
    </row>
    <row r="37" spans="1:14" ht="15" customHeight="1" x14ac:dyDescent="0.25">
      <c r="A37" s="997" t="s">
        <v>564</v>
      </c>
      <c r="B37" s="997" t="s">
        <v>214</v>
      </c>
      <c r="C37" s="981" t="s">
        <v>145</v>
      </c>
      <c r="D37" s="1005" t="s">
        <v>145</v>
      </c>
      <c r="E37" s="993" t="s">
        <v>565</v>
      </c>
      <c r="F37" s="993" t="s">
        <v>566</v>
      </c>
      <c r="G37" s="993" t="s">
        <v>196</v>
      </c>
      <c r="H37" s="1006" t="s">
        <v>208</v>
      </c>
      <c r="I37" s="1005" t="s">
        <v>621</v>
      </c>
      <c r="J37" s="983" t="s">
        <v>571</v>
      </c>
      <c r="K37" s="983" t="s">
        <v>571</v>
      </c>
      <c r="L37" s="989">
        <v>63999</v>
      </c>
      <c r="M37" s="997" t="s">
        <v>214</v>
      </c>
      <c r="N37" s="993" t="s">
        <v>145</v>
      </c>
    </row>
    <row r="38" spans="1:14" ht="15" customHeight="1" x14ac:dyDescent="0.25">
      <c r="A38" s="997" t="s">
        <v>564</v>
      </c>
      <c r="B38" s="997" t="s">
        <v>214</v>
      </c>
      <c r="C38" s="981" t="s">
        <v>1590</v>
      </c>
      <c r="D38" s="1005" t="s">
        <v>221</v>
      </c>
      <c r="E38" s="1007">
        <v>1</v>
      </c>
      <c r="F38" s="1007">
        <f ca="1">TODAY()</f>
        <v>42879</v>
      </c>
      <c r="G38" s="1005" t="s">
        <v>116</v>
      </c>
      <c r="H38" s="1006" t="s">
        <v>208</v>
      </c>
      <c r="I38" s="1005" t="s">
        <v>569</v>
      </c>
      <c r="J38" s="983" t="s">
        <v>571</v>
      </c>
      <c r="K38" s="983" t="s">
        <v>571</v>
      </c>
      <c r="L38" s="983" t="s">
        <v>571</v>
      </c>
      <c r="M38" s="997" t="s">
        <v>214</v>
      </c>
      <c r="N38" s="993" t="s">
        <v>2046</v>
      </c>
    </row>
    <row r="39" spans="1:14" ht="15" customHeight="1" x14ac:dyDescent="0.25">
      <c r="A39" s="997" t="s">
        <v>564</v>
      </c>
      <c r="B39" s="997" t="s">
        <v>214</v>
      </c>
      <c r="C39" s="981" t="s">
        <v>146</v>
      </c>
      <c r="D39" s="1005" t="s">
        <v>146</v>
      </c>
      <c r="E39" s="993" t="s">
        <v>565</v>
      </c>
      <c r="F39" s="993" t="s">
        <v>566</v>
      </c>
      <c r="G39" s="993" t="s">
        <v>196</v>
      </c>
      <c r="H39" s="1006" t="s">
        <v>208</v>
      </c>
      <c r="I39" s="1005" t="s">
        <v>621</v>
      </c>
      <c r="J39" s="983" t="s">
        <v>571</v>
      </c>
      <c r="K39" s="983" t="s">
        <v>571</v>
      </c>
      <c r="L39" s="989">
        <v>63999</v>
      </c>
      <c r="M39" s="997" t="s">
        <v>214</v>
      </c>
      <c r="N39" s="993" t="s">
        <v>146</v>
      </c>
    </row>
    <row r="40" spans="1:14" ht="15" customHeight="1" x14ac:dyDescent="0.25">
      <c r="A40" s="997" t="s">
        <v>564</v>
      </c>
      <c r="B40" s="997" t="s">
        <v>214</v>
      </c>
      <c r="C40" s="981" t="s">
        <v>222</v>
      </c>
      <c r="D40" s="1005" t="s">
        <v>222</v>
      </c>
      <c r="E40" s="993" t="s">
        <v>565</v>
      </c>
      <c r="F40" s="993" t="s">
        <v>566</v>
      </c>
      <c r="G40" s="993" t="s">
        <v>196</v>
      </c>
      <c r="H40" s="1006" t="s">
        <v>208</v>
      </c>
      <c r="I40" s="1005" t="s">
        <v>621</v>
      </c>
      <c r="J40" s="983" t="s">
        <v>571</v>
      </c>
      <c r="K40" s="983" t="s">
        <v>571</v>
      </c>
      <c r="L40" s="989">
        <v>63999</v>
      </c>
      <c r="M40" s="997" t="s">
        <v>214</v>
      </c>
      <c r="N40" s="993" t="s">
        <v>2047</v>
      </c>
    </row>
    <row r="41" spans="1:14" ht="15" customHeight="1" x14ac:dyDescent="0.25">
      <c r="A41" s="997" t="s">
        <v>564</v>
      </c>
      <c r="B41" s="997" t="s">
        <v>214</v>
      </c>
      <c r="C41" s="981" t="s">
        <v>147</v>
      </c>
      <c r="D41" s="1005" t="s">
        <v>223</v>
      </c>
      <c r="E41" s="993" t="s">
        <v>565</v>
      </c>
      <c r="F41" s="993" t="s">
        <v>566</v>
      </c>
      <c r="G41" s="993" t="s">
        <v>196</v>
      </c>
      <c r="H41" s="1006" t="s">
        <v>208</v>
      </c>
      <c r="I41" s="1005" t="s">
        <v>621</v>
      </c>
      <c r="J41" s="983" t="s">
        <v>571</v>
      </c>
      <c r="K41" s="983" t="s">
        <v>571</v>
      </c>
      <c r="L41" s="989">
        <v>63999</v>
      </c>
      <c r="M41" s="997" t="s">
        <v>214</v>
      </c>
      <c r="N41" s="993" t="s">
        <v>147</v>
      </c>
    </row>
    <row r="42" spans="1:14" ht="15" customHeight="1" x14ac:dyDescent="0.25">
      <c r="A42" s="997" t="s">
        <v>564</v>
      </c>
      <c r="B42" s="997" t="s">
        <v>214</v>
      </c>
      <c r="C42" s="981" t="s">
        <v>1591</v>
      </c>
      <c r="D42" s="1005" t="s">
        <v>224</v>
      </c>
      <c r="E42" s="993" t="s">
        <v>565</v>
      </c>
      <c r="F42" s="993" t="s">
        <v>566</v>
      </c>
      <c r="G42" s="993" t="s">
        <v>196</v>
      </c>
      <c r="H42" s="1006" t="s">
        <v>208</v>
      </c>
      <c r="I42" s="1005" t="s">
        <v>621</v>
      </c>
      <c r="J42" s="983" t="s">
        <v>571</v>
      </c>
      <c r="K42" s="983" t="s">
        <v>571</v>
      </c>
      <c r="L42" s="989">
        <v>63999</v>
      </c>
      <c r="M42" s="997" t="s">
        <v>214</v>
      </c>
      <c r="N42" s="993" t="s">
        <v>2048</v>
      </c>
    </row>
    <row r="43" spans="1:14" ht="15" customHeight="1" x14ac:dyDescent="0.25">
      <c r="A43" s="997" t="s">
        <v>564</v>
      </c>
      <c r="B43" s="997" t="s">
        <v>214</v>
      </c>
      <c r="C43" s="981" t="s">
        <v>1592</v>
      </c>
      <c r="D43" s="1005" t="s">
        <v>225</v>
      </c>
      <c r="E43" s="993" t="s">
        <v>565</v>
      </c>
      <c r="F43" s="993" t="s">
        <v>566</v>
      </c>
      <c r="G43" s="993" t="s">
        <v>196</v>
      </c>
      <c r="H43" s="1006" t="s">
        <v>208</v>
      </c>
      <c r="I43" s="1005" t="s">
        <v>621</v>
      </c>
      <c r="J43" s="983" t="s">
        <v>571</v>
      </c>
      <c r="K43" s="983" t="s">
        <v>571</v>
      </c>
      <c r="L43" s="989">
        <v>63999</v>
      </c>
      <c r="M43" s="997" t="s">
        <v>214</v>
      </c>
      <c r="N43" s="993" t="s">
        <v>2049</v>
      </c>
    </row>
    <row r="44" spans="1:14" ht="15" customHeight="1" x14ac:dyDescent="0.25">
      <c r="A44" s="999" t="s">
        <v>571</v>
      </c>
      <c r="B44" s="999" t="s">
        <v>571</v>
      </c>
      <c r="C44" s="999" t="s">
        <v>571</v>
      </c>
      <c r="D44" s="999" t="s">
        <v>571</v>
      </c>
      <c r="E44" s="999" t="s">
        <v>571</v>
      </c>
      <c r="F44" s="999" t="s">
        <v>571</v>
      </c>
      <c r="G44" s="999" t="s">
        <v>571</v>
      </c>
      <c r="H44" s="999" t="s">
        <v>571</v>
      </c>
      <c r="I44" s="999" t="s">
        <v>571</v>
      </c>
      <c r="J44" s="991" t="s">
        <v>571</v>
      </c>
      <c r="K44" s="991" t="s">
        <v>571</v>
      </c>
      <c r="L44" s="991" t="s">
        <v>571</v>
      </c>
      <c r="M44" s="999" t="s">
        <v>571</v>
      </c>
      <c r="N44" s="999" t="s">
        <v>571</v>
      </c>
    </row>
    <row r="45" spans="1:14" ht="15" customHeight="1" x14ac:dyDescent="0.25">
      <c r="A45" s="997" t="s">
        <v>564</v>
      </c>
      <c r="B45" s="997" t="s">
        <v>226</v>
      </c>
      <c r="C45" s="981" t="s">
        <v>1573</v>
      </c>
      <c r="D45" s="1005" t="s">
        <v>205</v>
      </c>
      <c r="E45" s="985" t="s">
        <v>565</v>
      </c>
      <c r="F45" s="985" t="s">
        <v>566</v>
      </c>
      <c r="G45" s="1005" t="s">
        <v>196</v>
      </c>
      <c r="H45" s="1005" t="s">
        <v>206</v>
      </c>
      <c r="I45" s="1005" t="s">
        <v>621</v>
      </c>
      <c r="J45" s="983" t="s">
        <v>571</v>
      </c>
      <c r="K45" s="983" t="s">
        <v>571</v>
      </c>
      <c r="L45" s="989">
        <v>63999</v>
      </c>
      <c r="M45" s="997" t="s">
        <v>226</v>
      </c>
      <c r="N45" s="993" t="s">
        <v>111</v>
      </c>
    </row>
    <row r="46" spans="1:14" ht="15" customHeight="1" x14ac:dyDescent="0.25">
      <c r="A46" s="997" t="s">
        <v>564</v>
      </c>
      <c r="B46" s="997" t="s">
        <v>226</v>
      </c>
      <c r="C46" s="981" t="s">
        <v>1594</v>
      </c>
      <c r="D46" s="1005" t="s">
        <v>906</v>
      </c>
      <c r="E46" s="985">
        <v>1940</v>
      </c>
      <c r="F46" s="1009">
        <v>3000</v>
      </c>
      <c r="G46" s="1005" t="s">
        <v>1974</v>
      </c>
      <c r="H46" s="1006" t="s">
        <v>208</v>
      </c>
      <c r="I46" s="1005" t="s">
        <v>620</v>
      </c>
      <c r="J46" s="983" t="s">
        <v>571</v>
      </c>
      <c r="K46" s="983" t="s">
        <v>571</v>
      </c>
      <c r="L46" s="983" t="s">
        <v>571</v>
      </c>
      <c r="M46" s="997" t="s">
        <v>226</v>
      </c>
      <c r="N46" s="993" t="s">
        <v>2053</v>
      </c>
    </row>
    <row r="47" spans="1:14" ht="15" customHeight="1" x14ac:dyDescent="0.25">
      <c r="A47" s="997" t="s">
        <v>564</v>
      </c>
      <c r="B47" s="997" t="s">
        <v>226</v>
      </c>
      <c r="C47" s="981" t="s">
        <v>1595</v>
      </c>
      <c r="D47" s="1005" t="s">
        <v>227</v>
      </c>
      <c r="E47" s="993" t="s">
        <v>565</v>
      </c>
      <c r="F47" s="993" t="s">
        <v>566</v>
      </c>
      <c r="G47" s="993" t="s">
        <v>196</v>
      </c>
      <c r="H47" s="1006" t="s">
        <v>208</v>
      </c>
      <c r="I47" s="1005" t="s">
        <v>621</v>
      </c>
      <c r="J47" s="983" t="s">
        <v>571</v>
      </c>
      <c r="K47" s="983" t="s">
        <v>571</v>
      </c>
      <c r="L47" s="989">
        <v>63999</v>
      </c>
      <c r="M47" s="997" t="s">
        <v>226</v>
      </c>
      <c r="N47" s="993" t="s">
        <v>148</v>
      </c>
    </row>
    <row r="48" spans="1:14" ht="15" customHeight="1" x14ac:dyDescent="0.25">
      <c r="A48" s="997" t="s">
        <v>564</v>
      </c>
      <c r="B48" s="997" t="s">
        <v>226</v>
      </c>
      <c r="C48" s="981" t="s">
        <v>898</v>
      </c>
      <c r="D48" s="1005" t="s">
        <v>903</v>
      </c>
      <c r="E48" s="993" t="s">
        <v>565</v>
      </c>
      <c r="F48" s="993" t="s">
        <v>566</v>
      </c>
      <c r="G48" s="993" t="s">
        <v>196</v>
      </c>
      <c r="H48" s="1006" t="s">
        <v>208</v>
      </c>
      <c r="I48" s="1005" t="s">
        <v>621</v>
      </c>
      <c r="J48" s="983" t="s">
        <v>571</v>
      </c>
      <c r="K48" s="983" t="s">
        <v>571</v>
      </c>
      <c r="L48" s="989">
        <v>63999</v>
      </c>
      <c r="M48" s="997" t="s">
        <v>226</v>
      </c>
      <c r="N48" s="993" t="s">
        <v>898</v>
      </c>
    </row>
    <row r="49" spans="1:14" ht="15" customHeight="1" x14ac:dyDescent="0.25">
      <c r="A49" s="997" t="s">
        <v>564</v>
      </c>
      <c r="B49" s="997" t="s">
        <v>226</v>
      </c>
      <c r="C49" s="981" t="s">
        <v>1593</v>
      </c>
      <c r="D49" s="1005" t="s">
        <v>904</v>
      </c>
      <c r="E49" s="993" t="s">
        <v>565</v>
      </c>
      <c r="F49" s="993" t="s">
        <v>566</v>
      </c>
      <c r="G49" s="993" t="s">
        <v>196</v>
      </c>
      <c r="H49" s="1006" t="s">
        <v>208</v>
      </c>
      <c r="I49" s="1005" t="s">
        <v>621</v>
      </c>
      <c r="J49" s="983" t="s">
        <v>571</v>
      </c>
      <c r="K49" s="983" t="s">
        <v>571</v>
      </c>
      <c r="L49" s="989">
        <v>63999</v>
      </c>
      <c r="M49" s="997" t="s">
        <v>226</v>
      </c>
      <c r="N49" s="993" t="s">
        <v>2050</v>
      </c>
    </row>
    <row r="50" spans="1:14" ht="15" customHeight="1" x14ac:dyDescent="0.25">
      <c r="A50" s="997" t="s">
        <v>564</v>
      </c>
      <c r="B50" s="997" t="s">
        <v>226</v>
      </c>
      <c r="C50" s="981" t="s">
        <v>905</v>
      </c>
      <c r="D50" s="1005" t="s">
        <v>905</v>
      </c>
      <c r="E50" s="993" t="s">
        <v>565</v>
      </c>
      <c r="F50" s="993" t="s">
        <v>566</v>
      </c>
      <c r="G50" s="993" t="s">
        <v>196</v>
      </c>
      <c r="H50" s="1006" t="s">
        <v>208</v>
      </c>
      <c r="I50" s="1005" t="s">
        <v>621</v>
      </c>
      <c r="J50" s="983" t="s">
        <v>571</v>
      </c>
      <c r="K50" s="983" t="s">
        <v>571</v>
      </c>
      <c r="L50" s="989">
        <v>63999</v>
      </c>
      <c r="M50" s="997" t="s">
        <v>226</v>
      </c>
      <c r="N50" s="993" t="s">
        <v>2051</v>
      </c>
    </row>
    <row r="51" spans="1:14" ht="15" customHeight="1" x14ac:dyDescent="0.25">
      <c r="A51" s="997" t="s">
        <v>564</v>
      </c>
      <c r="B51" s="997" t="s">
        <v>226</v>
      </c>
      <c r="C51" s="981" t="s">
        <v>1596</v>
      </c>
      <c r="D51" s="1005" t="s">
        <v>1038</v>
      </c>
      <c r="E51" s="993" t="s">
        <v>565</v>
      </c>
      <c r="F51" s="993" t="s">
        <v>566</v>
      </c>
      <c r="G51" s="993" t="s">
        <v>196</v>
      </c>
      <c r="H51" s="1006" t="s">
        <v>208</v>
      </c>
      <c r="I51" s="1005" t="s">
        <v>621</v>
      </c>
      <c r="J51" s="983" t="s">
        <v>571</v>
      </c>
      <c r="K51" s="983" t="s">
        <v>571</v>
      </c>
      <c r="L51" s="989">
        <v>63999</v>
      </c>
      <c r="M51" s="997" t="s">
        <v>226</v>
      </c>
      <c r="N51" s="993" t="s">
        <v>2052</v>
      </c>
    </row>
    <row r="52" spans="1:14" ht="15" customHeight="1" x14ac:dyDescent="0.25">
      <c r="A52" s="997" t="s">
        <v>564</v>
      </c>
      <c r="B52" s="997" t="s">
        <v>226</v>
      </c>
      <c r="C52" s="981" t="s">
        <v>899</v>
      </c>
      <c r="D52" s="1005" t="s">
        <v>909</v>
      </c>
      <c r="E52" s="993" t="s">
        <v>565</v>
      </c>
      <c r="F52" s="993" t="s">
        <v>566</v>
      </c>
      <c r="G52" s="993" t="s">
        <v>196</v>
      </c>
      <c r="H52" s="1006" t="s">
        <v>208</v>
      </c>
      <c r="I52" s="1005" t="s">
        <v>621</v>
      </c>
      <c r="J52" s="983" t="s">
        <v>571</v>
      </c>
      <c r="K52" s="983" t="s">
        <v>571</v>
      </c>
      <c r="L52" s="989">
        <v>63999</v>
      </c>
      <c r="M52" s="997" t="s">
        <v>226</v>
      </c>
      <c r="N52" s="993" t="s">
        <v>899</v>
      </c>
    </row>
    <row r="53" spans="1:14" ht="15" customHeight="1" x14ac:dyDescent="0.25">
      <c r="A53" s="997" t="s">
        <v>564</v>
      </c>
      <c r="B53" s="997" t="s">
        <v>226</v>
      </c>
      <c r="C53" s="981" t="s">
        <v>900</v>
      </c>
      <c r="D53" s="1005" t="s">
        <v>907</v>
      </c>
      <c r="E53" s="993" t="s">
        <v>565</v>
      </c>
      <c r="F53" s="993" t="s">
        <v>566</v>
      </c>
      <c r="G53" s="993" t="s">
        <v>196</v>
      </c>
      <c r="H53" s="1006" t="s">
        <v>208</v>
      </c>
      <c r="I53" s="1005" t="s">
        <v>621</v>
      </c>
      <c r="J53" s="983" t="s">
        <v>571</v>
      </c>
      <c r="K53" s="983" t="s">
        <v>571</v>
      </c>
      <c r="L53" s="989">
        <v>63999</v>
      </c>
      <c r="M53" s="997" t="s">
        <v>226</v>
      </c>
      <c r="N53" s="993" t="s">
        <v>900</v>
      </c>
    </row>
    <row r="54" spans="1:14" ht="15" customHeight="1" x14ac:dyDescent="0.25">
      <c r="A54" s="997" t="s">
        <v>564</v>
      </c>
      <c r="B54" s="997" t="s">
        <v>226</v>
      </c>
      <c r="C54" s="981" t="s">
        <v>1597</v>
      </c>
      <c r="D54" s="1005" t="s">
        <v>908</v>
      </c>
      <c r="E54" s="993" t="s">
        <v>565</v>
      </c>
      <c r="F54" s="993" t="s">
        <v>566</v>
      </c>
      <c r="G54" s="993" t="s">
        <v>196</v>
      </c>
      <c r="H54" s="1006" t="s">
        <v>208</v>
      </c>
      <c r="I54" s="1005" t="s">
        <v>621</v>
      </c>
      <c r="J54" s="983" t="s">
        <v>571</v>
      </c>
      <c r="K54" s="983" t="s">
        <v>571</v>
      </c>
      <c r="L54" s="989">
        <v>63999</v>
      </c>
      <c r="M54" s="997" t="s">
        <v>226</v>
      </c>
      <c r="N54" s="993" t="s">
        <v>2054</v>
      </c>
    </row>
    <row r="55" spans="1:14" ht="15" customHeight="1" x14ac:dyDescent="0.25">
      <c r="A55" s="999" t="s">
        <v>571</v>
      </c>
      <c r="B55" s="999" t="s">
        <v>571</v>
      </c>
      <c r="C55" s="999" t="s">
        <v>571</v>
      </c>
      <c r="D55" s="999" t="s">
        <v>571</v>
      </c>
      <c r="E55" s="999" t="s">
        <v>571</v>
      </c>
      <c r="F55" s="999" t="s">
        <v>571</v>
      </c>
      <c r="G55" s="999" t="s">
        <v>571</v>
      </c>
      <c r="H55" s="999" t="s">
        <v>571</v>
      </c>
      <c r="I55" s="999" t="s">
        <v>571</v>
      </c>
      <c r="J55" s="991" t="s">
        <v>571</v>
      </c>
      <c r="K55" s="991" t="s">
        <v>571</v>
      </c>
      <c r="L55" s="991" t="s">
        <v>571</v>
      </c>
      <c r="M55" s="999" t="s">
        <v>571</v>
      </c>
      <c r="N55" s="999" t="s">
        <v>571</v>
      </c>
    </row>
    <row r="56" spans="1:14" ht="15" customHeight="1" x14ac:dyDescent="0.25">
      <c r="A56" s="997" t="s">
        <v>564</v>
      </c>
      <c r="B56" s="997" t="s">
        <v>228</v>
      </c>
      <c r="C56" s="981" t="s">
        <v>1598</v>
      </c>
      <c r="D56" s="1005" t="s">
        <v>229</v>
      </c>
      <c r="E56" s="993" t="s">
        <v>565</v>
      </c>
      <c r="F56" s="993" t="s">
        <v>566</v>
      </c>
      <c r="G56" s="993" t="s">
        <v>196</v>
      </c>
      <c r="H56" s="1005" t="s">
        <v>206</v>
      </c>
      <c r="I56" s="1005" t="s">
        <v>621</v>
      </c>
      <c r="J56" s="983" t="s">
        <v>571</v>
      </c>
      <c r="K56" s="983" t="s">
        <v>571</v>
      </c>
      <c r="L56" s="989">
        <v>63999</v>
      </c>
      <c r="M56" s="997" t="s">
        <v>228</v>
      </c>
      <c r="N56" s="993" t="s">
        <v>152</v>
      </c>
    </row>
    <row r="57" spans="1:14" ht="15" customHeight="1" x14ac:dyDescent="0.25">
      <c r="A57" s="997" t="s">
        <v>564</v>
      </c>
      <c r="B57" s="997" t="s">
        <v>228</v>
      </c>
      <c r="C57" s="981" t="s">
        <v>1576</v>
      </c>
      <c r="D57" s="1005" t="s">
        <v>35</v>
      </c>
      <c r="E57" s="1007">
        <v>1</v>
      </c>
      <c r="F57" s="1007">
        <f ca="1">TODAY()</f>
        <v>42879</v>
      </c>
      <c r="G57" s="1005" t="s">
        <v>116</v>
      </c>
      <c r="H57" s="1005" t="s">
        <v>206</v>
      </c>
      <c r="I57" s="1005" t="s">
        <v>569</v>
      </c>
      <c r="J57" s="983" t="s">
        <v>571</v>
      </c>
      <c r="K57" s="983" t="s">
        <v>571</v>
      </c>
      <c r="L57" s="983" t="s">
        <v>571</v>
      </c>
      <c r="M57" s="997" t="s">
        <v>228</v>
      </c>
      <c r="N57" s="993" t="s">
        <v>2055</v>
      </c>
    </row>
    <row r="58" spans="1:14" ht="15" customHeight="1" x14ac:dyDescent="0.25">
      <c r="A58" s="997" t="s">
        <v>564</v>
      </c>
      <c r="B58" s="997" t="s">
        <v>228</v>
      </c>
      <c r="C58" s="981" t="s">
        <v>1599</v>
      </c>
      <c r="D58" s="1005" t="s">
        <v>230</v>
      </c>
      <c r="E58" s="993" t="s">
        <v>565</v>
      </c>
      <c r="F58" s="993" t="s">
        <v>566</v>
      </c>
      <c r="G58" s="993" t="s">
        <v>196</v>
      </c>
      <c r="H58" s="1006" t="s">
        <v>208</v>
      </c>
      <c r="I58" s="1005" t="s">
        <v>621</v>
      </c>
      <c r="J58" s="983" t="s">
        <v>571</v>
      </c>
      <c r="K58" s="983" t="s">
        <v>571</v>
      </c>
      <c r="L58" s="989">
        <v>63999</v>
      </c>
      <c r="M58" s="997" t="s">
        <v>228</v>
      </c>
      <c r="N58" s="993" t="s">
        <v>2056</v>
      </c>
    </row>
    <row r="59" spans="1:14" ht="15" customHeight="1" x14ac:dyDescent="0.25">
      <c r="A59" s="997" t="s">
        <v>564</v>
      </c>
      <c r="B59" s="997" t="s">
        <v>228</v>
      </c>
      <c r="C59" s="981" t="s">
        <v>1600</v>
      </c>
      <c r="D59" s="1005" t="s">
        <v>1000</v>
      </c>
      <c r="E59" s="993" t="s">
        <v>565</v>
      </c>
      <c r="F59" s="993" t="s">
        <v>566</v>
      </c>
      <c r="G59" s="993" t="s">
        <v>196</v>
      </c>
      <c r="H59" s="1005" t="s">
        <v>206</v>
      </c>
      <c r="I59" s="1005" t="s">
        <v>621</v>
      </c>
      <c r="J59" s="983" t="s">
        <v>571</v>
      </c>
      <c r="K59" s="983" t="s">
        <v>571</v>
      </c>
      <c r="L59" s="989">
        <v>63999</v>
      </c>
      <c r="M59" s="997" t="s">
        <v>228</v>
      </c>
      <c r="N59" s="993" t="s">
        <v>128</v>
      </c>
    </row>
    <row r="60" spans="1:14" ht="15" customHeight="1" x14ac:dyDescent="0.25">
      <c r="A60" s="997" t="s">
        <v>564</v>
      </c>
      <c r="B60" s="997" t="s">
        <v>228</v>
      </c>
      <c r="C60" s="981" t="s">
        <v>1601</v>
      </c>
      <c r="D60" s="1005" t="s">
        <v>69</v>
      </c>
      <c r="E60" s="993" t="s">
        <v>565</v>
      </c>
      <c r="F60" s="993" t="s">
        <v>566</v>
      </c>
      <c r="G60" s="993" t="s">
        <v>196</v>
      </c>
      <c r="H60" s="1005" t="s">
        <v>206</v>
      </c>
      <c r="I60" s="1005" t="s">
        <v>621</v>
      </c>
      <c r="J60" s="983" t="s">
        <v>571</v>
      </c>
      <c r="K60" s="983" t="s">
        <v>571</v>
      </c>
      <c r="L60" s="989">
        <v>63999</v>
      </c>
      <c r="M60" s="997" t="s">
        <v>228</v>
      </c>
      <c r="N60" s="993" t="s">
        <v>129</v>
      </c>
    </row>
    <row r="61" spans="1:14" ht="15" customHeight="1" x14ac:dyDescent="0.25">
      <c r="A61" s="997" t="s">
        <v>564</v>
      </c>
      <c r="B61" s="997" t="s">
        <v>228</v>
      </c>
      <c r="C61" s="981" t="s">
        <v>1602</v>
      </c>
      <c r="D61" s="1005" t="s">
        <v>1001</v>
      </c>
      <c r="E61" s="993" t="s">
        <v>565</v>
      </c>
      <c r="F61" s="993" t="s">
        <v>566</v>
      </c>
      <c r="G61" s="993" t="s">
        <v>196</v>
      </c>
      <c r="H61" s="1005" t="s">
        <v>206</v>
      </c>
      <c r="I61" s="1005" t="s">
        <v>621</v>
      </c>
      <c r="J61" s="983" t="s">
        <v>571</v>
      </c>
      <c r="K61" s="983" t="s">
        <v>571</v>
      </c>
      <c r="L61" s="989">
        <v>63999</v>
      </c>
      <c r="M61" s="997" t="s">
        <v>228</v>
      </c>
      <c r="N61" s="993" t="s">
        <v>2057</v>
      </c>
    </row>
    <row r="62" spans="1:14" ht="15" customHeight="1" x14ac:dyDescent="0.25">
      <c r="A62" s="997" t="s">
        <v>564</v>
      </c>
      <c r="B62" s="997" t="s">
        <v>228</v>
      </c>
      <c r="C62" s="981" t="s">
        <v>1603</v>
      </c>
      <c r="D62" s="1005" t="s">
        <v>708</v>
      </c>
      <c r="E62" s="993" t="s">
        <v>565</v>
      </c>
      <c r="F62" s="993" t="s">
        <v>566</v>
      </c>
      <c r="G62" s="993" t="s">
        <v>196</v>
      </c>
      <c r="H62" s="1005" t="s">
        <v>206</v>
      </c>
      <c r="I62" s="1005" t="s">
        <v>621</v>
      </c>
      <c r="J62" s="983" t="s">
        <v>571</v>
      </c>
      <c r="K62" s="983" t="s">
        <v>571</v>
      </c>
      <c r="L62" s="989">
        <v>63999</v>
      </c>
      <c r="M62" s="997" t="s">
        <v>228</v>
      </c>
      <c r="N62" s="993" t="s">
        <v>471</v>
      </c>
    </row>
    <row r="63" spans="1:14" ht="15" customHeight="1" x14ac:dyDescent="0.25">
      <c r="A63" s="997" t="s">
        <v>564</v>
      </c>
      <c r="B63" s="997" t="s">
        <v>228</v>
      </c>
      <c r="C63" s="981" t="s">
        <v>2373</v>
      </c>
      <c r="D63" s="1005" t="s">
        <v>1002</v>
      </c>
      <c r="E63" s="993" t="s">
        <v>565</v>
      </c>
      <c r="F63" s="993" t="s">
        <v>566</v>
      </c>
      <c r="G63" s="993" t="s">
        <v>196</v>
      </c>
      <c r="H63" s="1005" t="s">
        <v>206</v>
      </c>
      <c r="I63" s="1005" t="s">
        <v>621</v>
      </c>
      <c r="J63" s="983" t="s">
        <v>571</v>
      </c>
      <c r="K63" s="983" t="s">
        <v>571</v>
      </c>
      <c r="L63" s="989">
        <v>63999</v>
      </c>
      <c r="M63" s="997" t="s">
        <v>228</v>
      </c>
      <c r="N63" s="993" t="s">
        <v>342</v>
      </c>
    </row>
    <row r="64" spans="1:14" ht="15" customHeight="1" x14ac:dyDescent="0.25">
      <c r="A64" s="997" t="s">
        <v>564</v>
      </c>
      <c r="B64" s="997" t="s">
        <v>228</v>
      </c>
      <c r="C64" s="981" t="s">
        <v>1604</v>
      </c>
      <c r="D64" s="1005" t="s">
        <v>1003</v>
      </c>
      <c r="E64" s="993" t="s">
        <v>565</v>
      </c>
      <c r="F64" s="993" t="s">
        <v>566</v>
      </c>
      <c r="G64" s="993" t="s">
        <v>196</v>
      </c>
      <c r="H64" s="1005" t="s">
        <v>206</v>
      </c>
      <c r="I64" s="1005" t="s">
        <v>621</v>
      </c>
      <c r="J64" s="983" t="s">
        <v>571</v>
      </c>
      <c r="K64" s="983" t="s">
        <v>571</v>
      </c>
      <c r="L64" s="989">
        <v>63999</v>
      </c>
      <c r="M64" s="997" t="s">
        <v>228</v>
      </c>
      <c r="N64" s="993" t="s">
        <v>378</v>
      </c>
    </row>
    <row r="65" spans="1:14" ht="15" customHeight="1" x14ac:dyDescent="0.25">
      <c r="A65" s="997" t="s">
        <v>564</v>
      </c>
      <c r="B65" s="997" t="s">
        <v>228</v>
      </c>
      <c r="C65" s="981" t="s">
        <v>996</v>
      </c>
      <c r="D65" s="1005" t="s">
        <v>996</v>
      </c>
      <c r="E65" s="993" t="s">
        <v>565</v>
      </c>
      <c r="F65" s="993" t="s">
        <v>566</v>
      </c>
      <c r="G65" s="993" t="s">
        <v>196</v>
      </c>
      <c r="H65" s="1005" t="s">
        <v>206</v>
      </c>
      <c r="I65" s="1005" t="s">
        <v>621</v>
      </c>
      <c r="J65" s="983" t="s">
        <v>571</v>
      </c>
      <c r="K65" s="983" t="s">
        <v>571</v>
      </c>
      <c r="L65" s="989">
        <v>63999</v>
      </c>
      <c r="M65" s="997" t="s">
        <v>228</v>
      </c>
      <c r="N65" s="993" t="s">
        <v>70</v>
      </c>
    </row>
    <row r="66" spans="1:14" ht="15" customHeight="1" x14ac:dyDescent="0.25">
      <c r="A66" s="997" t="s">
        <v>564</v>
      </c>
      <c r="B66" s="997" t="s">
        <v>228</v>
      </c>
      <c r="C66" s="981" t="s">
        <v>36</v>
      </c>
      <c r="D66" s="1005" t="s">
        <v>997</v>
      </c>
      <c r="E66" s="985" t="s">
        <v>140</v>
      </c>
      <c r="F66" s="1005" t="s">
        <v>141</v>
      </c>
      <c r="G66" s="1005" t="s">
        <v>196</v>
      </c>
      <c r="H66" s="1005" t="s">
        <v>206</v>
      </c>
      <c r="I66" s="1005" t="s">
        <v>572</v>
      </c>
      <c r="J66" s="983" t="s">
        <v>571</v>
      </c>
      <c r="K66" s="983" t="s">
        <v>571</v>
      </c>
      <c r="L66" s="989">
        <v>63999</v>
      </c>
      <c r="M66" s="997" t="s">
        <v>228</v>
      </c>
      <c r="N66" s="993" t="s">
        <v>36</v>
      </c>
    </row>
    <row r="67" spans="1:14" ht="15" customHeight="1" x14ac:dyDescent="0.25">
      <c r="A67" s="997" t="s">
        <v>564</v>
      </c>
      <c r="B67" s="997" t="s">
        <v>228</v>
      </c>
      <c r="C67" s="981" t="s">
        <v>999</v>
      </c>
      <c r="D67" s="1005" t="s">
        <v>999</v>
      </c>
      <c r="E67" s="993" t="s">
        <v>565</v>
      </c>
      <c r="F67" s="993" t="s">
        <v>566</v>
      </c>
      <c r="G67" s="993" t="s">
        <v>196</v>
      </c>
      <c r="H67" s="1005" t="s">
        <v>206</v>
      </c>
      <c r="I67" s="1005" t="s">
        <v>621</v>
      </c>
      <c r="J67" s="983" t="s">
        <v>571</v>
      </c>
      <c r="K67" s="983" t="s">
        <v>571</v>
      </c>
      <c r="L67" s="989">
        <v>63999</v>
      </c>
      <c r="M67" s="997" t="s">
        <v>228</v>
      </c>
      <c r="N67" s="993" t="s">
        <v>139</v>
      </c>
    </row>
    <row r="68" spans="1:14" ht="15" customHeight="1" x14ac:dyDescent="0.25">
      <c r="A68" s="997" t="s">
        <v>564</v>
      </c>
      <c r="B68" s="997" t="s">
        <v>228</v>
      </c>
      <c r="C68" s="981" t="s">
        <v>1605</v>
      </c>
      <c r="D68" s="1005" t="s">
        <v>998</v>
      </c>
      <c r="E68" s="993" t="s">
        <v>565</v>
      </c>
      <c r="F68" s="993" t="s">
        <v>566</v>
      </c>
      <c r="G68" s="993" t="s">
        <v>196</v>
      </c>
      <c r="H68" s="1005" t="s">
        <v>206</v>
      </c>
      <c r="I68" s="1005" t="s">
        <v>621</v>
      </c>
      <c r="J68" s="983" t="s">
        <v>571</v>
      </c>
      <c r="K68" s="983" t="s">
        <v>571</v>
      </c>
      <c r="L68" s="989">
        <v>63999</v>
      </c>
      <c r="M68" s="997" t="s">
        <v>228</v>
      </c>
      <c r="N68" s="993" t="s">
        <v>155</v>
      </c>
    </row>
    <row r="69" spans="1:14" ht="15" customHeight="1" x14ac:dyDescent="0.25">
      <c r="A69" s="999" t="s">
        <v>571</v>
      </c>
      <c r="B69" s="999" t="s">
        <v>571</v>
      </c>
      <c r="C69" s="999" t="s">
        <v>571</v>
      </c>
      <c r="D69" s="999" t="s">
        <v>571</v>
      </c>
      <c r="E69" s="999" t="s">
        <v>571</v>
      </c>
      <c r="F69" s="999" t="s">
        <v>571</v>
      </c>
      <c r="G69" s="999" t="s">
        <v>571</v>
      </c>
      <c r="H69" s="999" t="s">
        <v>571</v>
      </c>
      <c r="I69" s="999" t="s">
        <v>571</v>
      </c>
      <c r="J69" s="991" t="s">
        <v>571</v>
      </c>
      <c r="K69" s="991" t="s">
        <v>571</v>
      </c>
      <c r="L69" s="991" t="s">
        <v>571</v>
      </c>
      <c r="M69" s="999" t="s">
        <v>571</v>
      </c>
      <c r="N69" s="999" t="s">
        <v>571</v>
      </c>
    </row>
    <row r="70" spans="1:14" ht="15" customHeight="1" x14ac:dyDescent="0.25">
      <c r="A70" s="997" t="s">
        <v>564</v>
      </c>
      <c r="B70" s="997" t="s">
        <v>546</v>
      </c>
      <c r="C70" s="981" t="s">
        <v>573</v>
      </c>
      <c r="D70" s="1005" t="s">
        <v>573</v>
      </c>
      <c r="E70" s="985" t="s">
        <v>565</v>
      </c>
      <c r="F70" s="985" t="s">
        <v>566</v>
      </c>
      <c r="G70" s="1005" t="s">
        <v>196</v>
      </c>
      <c r="H70" s="1005" t="s">
        <v>206</v>
      </c>
      <c r="I70" s="1005" t="s">
        <v>621</v>
      </c>
      <c r="J70" s="983" t="s">
        <v>571</v>
      </c>
      <c r="K70" s="983" t="s">
        <v>571</v>
      </c>
      <c r="L70" s="989">
        <v>63999</v>
      </c>
      <c r="M70" s="997" t="s">
        <v>546</v>
      </c>
      <c r="N70" s="993" t="s">
        <v>2058</v>
      </c>
    </row>
    <row r="71" spans="1:14" ht="15" customHeight="1" x14ac:dyDescent="0.25">
      <c r="A71" s="997" t="s">
        <v>564</v>
      </c>
      <c r="B71" s="997" t="s">
        <v>546</v>
      </c>
      <c r="C71" s="981" t="s">
        <v>1885</v>
      </c>
      <c r="D71" s="1005" t="s">
        <v>231</v>
      </c>
      <c r="E71" s="985" t="s">
        <v>565</v>
      </c>
      <c r="F71" s="985" t="s">
        <v>566</v>
      </c>
      <c r="G71" s="1005" t="s">
        <v>196</v>
      </c>
      <c r="H71" s="1006" t="s">
        <v>208</v>
      </c>
      <c r="I71" s="1005" t="s">
        <v>621</v>
      </c>
      <c r="J71" s="983" t="s">
        <v>571</v>
      </c>
      <c r="K71" s="983" t="s">
        <v>571</v>
      </c>
      <c r="L71" s="989">
        <v>63999</v>
      </c>
      <c r="M71" s="997" t="s">
        <v>546</v>
      </c>
      <c r="N71" s="993" t="s">
        <v>2059</v>
      </c>
    </row>
    <row r="72" spans="1:14" ht="15" customHeight="1" x14ac:dyDescent="0.25">
      <c r="A72" s="997" t="s">
        <v>564</v>
      </c>
      <c r="B72" s="997" t="s">
        <v>546</v>
      </c>
      <c r="C72" s="981" t="s">
        <v>574</v>
      </c>
      <c r="D72" s="1005" t="s">
        <v>574</v>
      </c>
      <c r="E72" s="985" t="s">
        <v>565</v>
      </c>
      <c r="F72" s="985" t="s">
        <v>566</v>
      </c>
      <c r="G72" s="1005" t="s">
        <v>196</v>
      </c>
      <c r="H72" s="1005" t="s">
        <v>206</v>
      </c>
      <c r="I72" s="1005" t="s">
        <v>621</v>
      </c>
      <c r="J72" s="983" t="s">
        <v>571</v>
      </c>
      <c r="K72" s="983" t="s">
        <v>571</v>
      </c>
      <c r="L72" s="989">
        <v>63999</v>
      </c>
      <c r="M72" s="997" t="s">
        <v>546</v>
      </c>
      <c r="N72" s="993" t="s">
        <v>153</v>
      </c>
    </row>
    <row r="73" spans="1:14" ht="15" customHeight="1" x14ac:dyDescent="0.25">
      <c r="A73" s="997" t="s">
        <v>564</v>
      </c>
      <c r="B73" s="997" t="s">
        <v>546</v>
      </c>
      <c r="C73" s="981" t="s">
        <v>1887</v>
      </c>
      <c r="D73" s="1005" t="s">
        <v>232</v>
      </c>
      <c r="E73" s="985" t="s">
        <v>565</v>
      </c>
      <c r="F73" s="985" t="s">
        <v>566</v>
      </c>
      <c r="G73" s="1005" t="s">
        <v>196</v>
      </c>
      <c r="H73" s="1006" t="s">
        <v>208</v>
      </c>
      <c r="I73" s="1005" t="s">
        <v>621</v>
      </c>
      <c r="J73" s="983" t="s">
        <v>571</v>
      </c>
      <c r="K73" s="983" t="s">
        <v>571</v>
      </c>
      <c r="L73" s="989">
        <v>63999</v>
      </c>
      <c r="M73" s="997" t="s">
        <v>546</v>
      </c>
      <c r="N73" s="993" t="s">
        <v>2060</v>
      </c>
    </row>
    <row r="74" spans="1:14" ht="15" customHeight="1" x14ac:dyDescent="0.25">
      <c r="A74" s="997" t="s">
        <v>564</v>
      </c>
      <c r="B74" s="997" t="s">
        <v>546</v>
      </c>
      <c r="C74" s="981" t="s">
        <v>575</v>
      </c>
      <c r="D74" s="1005" t="s">
        <v>575</v>
      </c>
      <c r="E74" s="985" t="s">
        <v>565</v>
      </c>
      <c r="F74" s="985" t="s">
        <v>566</v>
      </c>
      <c r="G74" s="1005" t="s">
        <v>196</v>
      </c>
      <c r="H74" s="1005" t="s">
        <v>206</v>
      </c>
      <c r="I74" s="1005" t="s">
        <v>621</v>
      </c>
      <c r="J74" s="983" t="s">
        <v>571</v>
      </c>
      <c r="K74" s="983" t="s">
        <v>571</v>
      </c>
      <c r="L74" s="989">
        <v>63999</v>
      </c>
      <c r="M74" s="997" t="s">
        <v>546</v>
      </c>
      <c r="N74" s="993" t="s">
        <v>2061</v>
      </c>
    </row>
    <row r="75" spans="1:14" ht="15" customHeight="1" x14ac:dyDescent="0.25">
      <c r="A75" s="997" t="s">
        <v>564</v>
      </c>
      <c r="B75" s="997" t="s">
        <v>546</v>
      </c>
      <c r="C75" s="981" t="s">
        <v>1888</v>
      </c>
      <c r="D75" s="1005" t="s">
        <v>233</v>
      </c>
      <c r="E75" s="985" t="s">
        <v>565</v>
      </c>
      <c r="F75" s="985" t="s">
        <v>566</v>
      </c>
      <c r="G75" s="1005" t="s">
        <v>196</v>
      </c>
      <c r="H75" s="1006" t="s">
        <v>208</v>
      </c>
      <c r="I75" s="1005" t="s">
        <v>621</v>
      </c>
      <c r="J75" s="983" t="s">
        <v>571</v>
      </c>
      <c r="K75" s="983" t="s">
        <v>571</v>
      </c>
      <c r="L75" s="989">
        <v>63999</v>
      </c>
      <c r="M75" s="997" t="s">
        <v>546</v>
      </c>
      <c r="N75" s="993" t="s">
        <v>2062</v>
      </c>
    </row>
    <row r="76" spans="1:14" ht="15" customHeight="1" x14ac:dyDescent="0.25">
      <c r="A76" s="997" t="s">
        <v>564</v>
      </c>
      <c r="B76" s="997" t="s">
        <v>546</v>
      </c>
      <c r="C76" s="981" t="s">
        <v>576</v>
      </c>
      <c r="D76" s="1005" t="s">
        <v>576</v>
      </c>
      <c r="E76" s="985" t="s">
        <v>565</v>
      </c>
      <c r="F76" s="985" t="s">
        <v>566</v>
      </c>
      <c r="G76" s="1005" t="s">
        <v>196</v>
      </c>
      <c r="H76" s="1005" t="s">
        <v>206</v>
      </c>
      <c r="I76" s="1005" t="s">
        <v>621</v>
      </c>
      <c r="J76" s="983" t="s">
        <v>571</v>
      </c>
      <c r="K76" s="983" t="s">
        <v>571</v>
      </c>
      <c r="L76" s="989">
        <v>63999</v>
      </c>
      <c r="M76" s="997" t="s">
        <v>546</v>
      </c>
      <c r="N76" s="993" t="s">
        <v>2063</v>
      </c>
    </row>
    <row r="77" spans="1:14" ht="15" customHeight="1" x14ac:dyDescent="0.25">
      <c r="A77" s="997" t="s">
        <v>564</v>
      </c>
      <c r="B77" s="997" t="s">
        <v>546</v>
      </c>
      <c r="C77" s="981" t="s">
        <v>1889</v>
      </c>
      <c r="D77" s="1005" t="s">
        <v>234</v>
      </c>
      <c r="E77" s="985" t="s">
        <v>565</v>
      </c>
      <c r="F77" s="985" t="s">
        <v>566</v>
      </c>
      <c r="G77" s="1005" t="s">
        <v>196</v>
      </c>
      <c r="H77" s="1006" t="s">
        <v>208</v>
      </c>
      <c r="I77" s="1005" t="s">
        <v>621</v>
      </c>
      <c r="J77" s="983" t="s">
        <v>571</v>
      </c>
      <c r="K77" s="983" t="s">
        <v>571</v>
      </c>
      <c r="L77" s="989">
        <v>63999</v>
      </c>
      <c r="M77" s="997" t="s">
        <v>546</v>
      </c>
      <c r="N77" s="993" t="s">
        <v>2064</v>
      </c>
    </row>
    <row r="78" spans="1:14" ht="15" customHeight="1" x14ac:dyDescent="0.25">
      <c r="A78" s="997" t="s">
        <v>564</v>
      </c>
      <c r="B78" s="997" t="s">
        <v>546</v>
      </c>
      <c r="C78" s="981" t="s">
        <v>577</v>
      </c>
      <c r="D78" s="1005" t="s">
        <v>577</v>
      </c>
      <c r="E78" s="985" t="s">
        <v>565</v>
      </c>
      <c r="F78" s="985" t="s">
        <v>566</v>
      </c>
      <c r="G78" s="1005" t="s">
        <v>196</v>
      </c>
      <c r="H78" s="1005" t="s">
        <v>206</v>
      </c>
      <c r="I78" s="1005" t="s">
        <v>621</v>
      </c>
      <c r="J78" s="983" t="s">
        <v>571</v>
      </c>
      <c r="K78" s="983" t="s">
        <v>571</v>
      </c>
      <c r="L78" s="989">
        <v>63999</v>
      </c>
      <c r="M78" s="997" t="s">
        <v>546</v>
      </c>
      <c r="N78" s="993" t="s">
        <v>2065</v>
      </c>
    </row>
    <row r="79" spans="1:14" ht="15" customHeight="1" x14ac:dyDescent="0.25">
      <c r="A79" s="997" t="s">
        <v>564</v>
      </c>
      <c r="B79" s="997" t="s">
        <v>546</v>
      </c>
      <c r="C79" s="981" t="s">
        <v>1890</v>
      </c>
      <c r="D79" s="1005" t="s">
        <v>235</v>
      </c>
      <c r="E79" s="985" t="s">
        <v>565</v>
      </c>
      <c r="F79" s="985" t="s">
        <v>566</v>
      </c>
      <c r="G79" s="1005" t="s">
        <v>196</v>
      </c>
      <c r="H79" s="1006" t="s">
        <v>208</v>
      </c>
      <c r="I79" s="1005" t="s">
        <v>621</v>
      </c>
      <c r="J79" s="983" t="s">
        <v>571</v>
      </c>
      <c r="K79" s="983" t="s">
        <v>571</v>
      </c>
      <c r="L79" s="989">
        <v>63999</v>
      </c>
      <c r="M79" s="997" t="s">
        <v>546</v>
      </c>
      <c r="N79" s="993" t="s">
        <v>2066</v>
      </c>
    </row>
    <row r="80" spans="1:14" ht="15" customHeight="1" x14ac:dyDescent="0.25">
      <c r="A80" s="997" t="s">
        <v>564</v>
      </c>
      <c r="B80" s="997" t="s">
        <v>546</v>
      </c>
      <c r="C80" s="981" t="s">
        <v>1637</v>
      </c>
      <c r="D80" s="1005" t="s">
        <v>578</v>
      </c>
      <c r="E80" s="993" t="s">
        <v>565</v>
      </c>
      <c r="F80" s="993" t="s">
        <v>566</v>
      </c>
      <c r="G80" s="993" t="s">
        <v>196</v>
      </c>
      <c r="H80" s="1005" t="s">
        <v>206</v>
      </c>
      <c r="I80" s="1005" t="s">
        <v>621</v>
      </c>
      <c r="J80" s="983" t="s">
        <v>571</v>
      </c>
      <c r="K80" s="983" t="s">
        <v>571</v>
      </c>
      <c r="L80" s="989">
        <v>63999</v>
      </c>
      <c r="M80" s="997" t="s">
        <v>546</v>
      </c>
      <c r="N80" s="993" t="s">
        <v>154</v>
      </c>
    </row>
    <row r="81" spans="1:14" ht="15" customHeight="1" x14ac:dyDescent="0.25">
      <c r="A81" s="997" t="s">
        <v>564</v>
      </c>
      <c r="B81" s="997" t="s">
        <v>546</v>
      </c>
      <c r="C81" s="981" t="s">
        <v>1598</v>
      </c>
      <c r="D81" s="1005" t="s">
        <v>229</v>
      </c>
      <c r="E81" s="993" t="s">
        <v>565</v>
      </c>
      <c r="F81" s="993" t="s">
        <v>566</v>
      </c>
      <c r="G81" s="993" t="s">
        <v>196</v>
      </c>
      <c r="H81" s="1006" t="s">
        <v>208</v>
      </c>
      <c r="I81" s="1005" t="s">
        <v>621</v>
      </c>
      <c r="J81" s="983" t="s">
        <v>571</v>
      </c>
      <c r="K81" s="983" t="s">
        <v>571</v>
      </c>
      <c r="L81" s="989">
        <v>63999</v>
      </c>
      <c r="M81" s="997" t="s">
        <v>546</v>
      </c>
      <c r="N81" s="993" t="s">
        <v>152</v>
      </c>
    </row>
    <row r="82" spans="1:14" ht="15" customHeight="1" x14ac:dyDescent="0.25">
      <c r="A82" s="997" t="s">
        <v>564</v>
      </c>
      <c r="B82" s="997" t="s">
        <v>546</v>
      </c>
      <c r="C82" s="981" t="s">
        <v>1578</v>
      </c>
      <c r="D82" s="1005" t="s">
        <v>1563</v>
      </c>
      <c r="E82" s="985" t="s">
        <v>565</v>
      </c>
      <c r="F82" s="985" t="s">
        <v>566</v>
      </c>
      <c r="G82" s="1005" t="s">
        <v>196</v>
      </c>
      <c r="H82" s="1005" t="s">
        <v>206</v>
      </c>
      <c r="I82" s="1005" t="s">
        <v>621</v>
      </c>
      <c r="J82" s="983" t="s">
        <v>571</v>
      </c>
      <c r="K82" s="983" t="s">
        <v>571</v>
      </c>
      <c r="L82" s="989">
        <v>63999</v>
      </c>
      <c r="M82" s="997" t="s">
        <v>546</v>
      </c>
      <c r="N82" s="993" t="s">
        <v>1050</v>
      </c>
    </row>
    <row r="83" spans="1:14" ht="15" customHeight="1" x14ac:dyDescent="0.25">
      <c r="A83" s="997" t="s">
        <v>564</v>
      </c>
      <c r="B83" s="997" t="s">
        <v>546</v>
      </c>
      <c r="C83" s="981" t="s">
        <v>1576</v>
      </c>
      <c r="D83" s="1005" t="s">
        <v>209</v>
      </c>
      <c r="E83" s="1007">
        <v>1</v>
      </c>
      <c r="F83" s="1007">
        <f t="shared" ref="F83:F84" ca="1" si="0">TODAY()</f>
        <v>42879</v>
      </c>
      <c r="G83" s="1005" t="s">
        <v>116</v>
      </c>
      <c r="H83" s="1006" t="s">
        <v>208</v>
      </c>
      <c r="I83" s="1005" t="s">
        <v>569</v>
      </c>
      <c r="J83" s="983" t="s">
        <v>571</v>
      </c>
      <c r="K83" s="983" t="s">
        <v>571</v>
      </c>
      <c r="L83" s="983" t="s">
        <v>571</v>
      </c>
      <c r="M83" s="997" t="s">
        <v>546</v>
      </c>
      <c r="N83" s="993" t="s">
        <v>2055</v>
      </c>
    </row>
    <row r="84" spans="1:14" ht="15" customHeight="1" x14ac:dyDescent="0.25">
      <c r="A84" s="997" t="s">
        <v>564</v>
      </c>
      <c r="B84" s="997" t="s">
        <v>546</v>
      </c>
      <c r="C84" s="981" t="s">
        <v>1577</v>
      </c>
      <c r="D84" s="1005" t="s">
        <v>210</v>
      </c>
      <c r="E84" s="1007">
        <v>1</v>
      </c>
      <c r="F84" s="1007">
        <f t="shared" ca="1" si="0"/>
        <v>42879</v>
      </c>
      <c r="G84" s="1005" t="s">
        <v>116</v>
      </c>
      <c r="H84" s="1006" t="s">
        <v>208</v>
      </c>
      <c r="I84" s="1005" t="s">
        <v>569</v>
      </c>
      <c r="J84" s="983" t="s">
        <v>571</v>
      </c>
      <c r="K84" s="983" t="s">
        <v>571</v>
      </c>
      <c r="L84" s="983" t="s">
        <v>571</v>
      </c>
      <c r="M84" s="997" t="s">
        <v>546</v>
      </c>
      <c r="N84" s="993" t="s">
        <v>2067</v>
      </c>
    </row>
    <row r="85" spans="1:14" ht="15" customHeight="1" x14ac:dyDescent="0.25">
      <c r="A85" s="997" t="s">
        <v>564</v>
      </c>
      <c r="B85" s="997" t="s">
        <v>546</v>
      </c>
      <c r="C85" s="981" t="s">
        <v>1606</v>
      </c>
      <c r="D85" s="1005" t="s">
        <v>236</v>
      </c>
      <c r="E85" s="993" t="s">
        <v>565</v>
      </c>
      <c r="F85" s="993" t="s">
        <v>566</v>
      </c>
      <c r="G85" s="993" t="s">
        <v>196</v>
      </c>
      <c r="H85" s="1006" t="s">
        <v>208</v>
      </c>
      <c r="I85" s="1005" t="s">
        <v>621</v>
      </c>
      <c r="J85" s="983" t="s">
        <v>571</v>
      </c>
      <c r="K85" s="983" t="s">
        <v>571</v>
      </c>
      <c r="L85" s="989">
        <v>63999</v>
      </c>
      <c r="M85" s="997" t="s">
        <v>546</v>
      </c>
      <c r="N85" s="993" t="s">
        <v>2068</v>
      </c>
    </row>
    <row r="86" spans="1:14" ht="15" customHeight="1" x14ac:dyDescent="0.25">
      <c r="A86" s="997" t="s">
        <v>564</v>
      </c>
      <c r="B86" s="997" t="s">
        <v>546</v>
      </c>
      <c r="C86" s="981" t="s">
        <v>1607</v>
      </c>
      <c r="D86" s="1005" t="s">
        <v>237</v>
      </c>
      <c r="E86" s="993" t="s">
        <v>565</v>
      </c>
      <c r="F86" s="993" t="s">
        <v>566</v>
      </c>
      <c r="G86" s="993" t="s">
        <v>196</v>
      </c>
      <c r="H86" s="1006" t="s">
        <v>208</v>
      </c>
      <c r="I86" s="1005" t="s">
        <v>621</v>
      </c>
      <c r="J86" s="983" t="s">
        <v>571</v>
      </c>
      <c r="K86" s="983" t="s">
        <v>571</v>
      </c>
      <c r="L86" s="989">
        <v>63999</v>
      </c>
      <c r="M86" s="997" t="s">
        <v>546</v>
      </c>
      <c r="N86" s="993" t="s">
        <v>2069</v>
      </c>
    </row>
    <row r="87" spans="1:14" ht="15" customHeight="1" x14ac:dyDescent="0.25">
      <c r="A87" s="997" t="s">
        <v>564</v>
      </c>
      <c r="B87" s="997" t="s">
        <v>546</v>
      </c>
      <c r="C87" s="981" t="s">
        <v>1608</v>
      </c>
      <c r="D87" s="1005" t="s">
        <v>579</v>
      </c>
      <c r="E87" s="993" t="s">
        <v>565</v>
      </c>
      <c r="F87" s="993" t="s">
        <v>566</v>
      </c>
      <c r="G87" s="993" t="s">
        <v>196</v>
      </c>
      <c r="H87" s="1006" t="s">
        <v>208</v>
      </c>
      <c r="I87" s="1005" t="s">
        <v>621</v>
      </c>
      <c r="J87" s="983" t="s">
        <v>571</v>
      </c>
      <c r="K87" s="983" t="s">
        <v>571</v>
      </c>
      <c r="L87" s="989">
        <v>63999</v>
      </c>
      <c r="M87" s="997" t="s">
        <v>546</v>
      </c>
      <c r="N87" s="993" t="s">
        <v>2070</v>
      </c>
    </row>
    <row r="88" spans="1:14" ht="15" customHeight="1" x14ac:dyDescent="0.25">
      <c r="A88" s="997" t="s">
        <v>564</v>
      </c>
      <c r="B88" s="997" t="s">
        <v>546</v>
      </c>
      <c r="C88" s="981" t="s">
        <v>1609</v>
      </c>
      <c r="D88" s="1005" t="s">
        <v>238</v>
      </c>
      <c r="E88" s="993" t="s">
        <v>565</v>
      </c>
      <c r="F88" s="993" t="s">
        <v>566</v>
      </c>
      <c r="G88" s="993" t="s">
        <v>196</v>
      </c>
      <c r="H88" s="1006" t="s">
        <v>208</v>
      </c>
      <c r="I88" s="1005" t="s">
        <v>621</v>
      </c>
      <c r="J88" s="983" t="s">
        <v>571</v>
      </c>
      <c r="K88" s="983" t="s">
        <v>571</v>
      </c>
      <c r="L88" s="989">
        <v>63999</v>
      </c>
      <c r="M88" s="997" t="s">
        <v>546</v>
      </c>
      <c r="N88" s="993" t="s">
        <v>126</v>
      </c>
    </row>
    <row r="89" spans="1:14" ht="15" customHeight="1" x14ac:dyDescent="0.25">
      <c r="A89" s="997" t="s">
        <v>564</v>
      </c>
      <c r="B89" s="997" t="s">
        <v>546</v>
      </c>
      <c r="C89" s="981" t="s">
        <v>67</v>
      </c>
      <c r="D89" s="1005" t="s">
        <v>623</v>
      </c>
      <c r="E89" s="985">
        <v>-75</v>
      </c>
      <c r="F89" s="1008">
        <v>75</v>
      </c>
      <c r="G89" s="1005" t="s">
        <v>187</v>
      </c>
      <c r="H89" s="1006" t="s">
        <v>208</v>
      </c>
      <c r="I89" s="1005" t="s">
        <v>112</v>
      </c>
      <c r="J89" s="989">
        <v>9</v>
      </c>
      <c r="K89" s="989">
        <v>6</v>
      </c>
      <c r="L89" s="983" t="s">
        <v>571</v>
      </c>
      <c r="M89" s="997" t="s">
        <v>546</v>
      </c>
      <c r="N89" s="993" t="s">
        <v>67</v>
      </c>
    </row>
    <row r="90" spans="1:14" ht="15" customHeight="1" x14ac:dyDescent="0.25">
      <c r="A90" s="997" t="s">
        <v>564</v>
      </c>
      <c r="B90" s="997" t="s">
        <v>546</v>
      </c>
      <c r="C90" s="981" t="s">
        <v>68</v>
      </c>
      <c r="D90" s="1005" t="s">
        <v>624</v>
      </c>
      <c r="E90" s="985">
        <v>-180</v>
      </c>
      <c r="F90" s="1008">
        <v>180</v>
      </c>
      <c r="G90" s="1005" t="s">
        <v>187</v>
      </c>
      <c r="H90" s="1006" t="s">
        <v>208</v>
      </c>
      <c r="I90" s="1005" t="s">
        <v>112</v>
      </c>
      <c r="J90" s="989">
        <v>9</v>
      </c>
      <c r="K90" s="989">
        <v>6</v>
      </c>
      <c r="L90" s="983" t="s">
        <v>571</v>
      </c>
      <c r="M90" s="997" t="s">
        <v>546</v>
      </c>
      <c r="N90" s="993" t="s">
        <v>68</v>
      </c>
    </row>
    <row r="91" spans="1:14" ht="15" customHeight="1" x14ac:dyDescent="0.25">
      <c r="A91" s="997" t="s">
        <v>564</v>
      </c>
      <c r="B91" s="997" t="s">
        <v>546</v>
      </c>
      <c r="C91" s="981" t="s">
        <v>1611</v>
      </c>
      <c r="D91" s="1005" t="s">
        <v>239</v>
      </c>
      <c r="E91" s="985">
        <v>0</v>
      </c>
      <c r="F91" s="1008">
        <v>10</v>
      </c>
      <c r="G91" s="1005" t="s">
        <v>134</v>
      </c>
      <c r="H91" s="1006" t="s">
        <v>208</v>
      </c>
      <c r="I91" s="1005" t="s">
        <v>620</v>
      </c>
      <c r="J91" s="983" t="s">
        <v>571</v>
      </c>
      <c r="K91" s="983" t="s">
        <v>571</v>
      </c>
      <c r="L91" s="983" t="s">
        <v>571</v>
      </c>
      <c r="M91" s="997" t="s">
        <v>546</v>
      </c>
      <c r="N91" s="993" t="s">
        <v>127</v>
      </c>
    </row>
    <row r="92" spans="1:14" ht="15" customHeight="1" x14ac:dyDescent="0.25">
      <c r="A92" s="997" t="s">
        <v>564</v>
      </c>
      <c r="B92" s="997" t="s">
        <v>546</v>
      </c>
      <c r="C92" s="981" t="s">
        <v>1610</v>
      </c>
      <c r="D92" s="1005" t="s">
        <v>240</v>
      </c>
      <c r="E92" s="985">
        <v>0</v>
      </c>
      <c r="F92" s="1008">
        <v>999999</v>
      </c>
      <c r="G92" s="1005" t="s">
        <v>2364</v>
      </c>
      <c r="H92" s="1006" t="s">
        <v>208</v>
      </c>
      <c r="I92" s="1005" t="s">
        <v>112</v>
      </c>
      <c r="J92" s="989">
        <v>9</v>
      </c>
      <c r="K92" s="989">
        <v>1</v>
      </c>
      <c r="L92" s="983" t="s">
        <v>571</v>
      </c>
      <c r="M92" s="997" t="s">
        <v>546</v>
      </c>
      <c r="N92" s="993" t="s">
        <v>2071</v>
      </c>
    </row>
    <row r="93" spans="1:14" ht="15" customHeight="1" x14ac:dyDescent="0.25">
      <c r="A93" s="999" t="s">
        <v>571</v>
      </c>
      <c r="B93" s="999" t="s">
        <v>571</v>
      </c>
      <c r="C93" s="999" t="s">
        <v>571</v>
      </c>
      <c r="D93" s="999" t="s">
        <v>571</v>
      </c>
      <c r="E93" s="999" t="s">
        <v>571</v>
      </c>
      <c r="F93" s="999" t="s">
        <v>571</v>
      </c>
      <c r="G93" s="999" t="s">
        <v>571</v>
      </c>
      <c r="H93" s="999" t="s">
        <v>571</v>
      </c>
      <c r="I93" s="999" t="s">
        <v>571</v>
      </c>
      <c r="J93" s="991" t="s">
        <v>571</v>
      </c>
      <c r="K93" s="991" t="s">
        <v>571</v>
      </c>
      <c r="L93" s="991" t="s">
        <v>571</v>
      </c>
      <c r="M93" s="999" t="s">
        <v>571</v>
      </c>
      <c r="N93" s="999" t="s">
        <v>571</v>
      </c>
    </row>
    <row r="94" spans="1:14" ht="15" customHeight="1" x14ac:dyDescent="0.25">
      <c r="A94" s="995" t="s">
        <v>580</v>
      </c>
      <c r="B94" s="995" t="s">
        <v>510</v>
      </c>
      <c r="C94" s="981" t="s">
        <v>1573</v>
      </c>
      <c r="D94" s="1005" t="s">
        <v>205</v>
      </c>
      <c r="E94" s="985" t="s">
        <v>565</v>
      </c>
      <c r="F94" s="985" t="s">
        <v>566</v>
      </c>
      <c r="G94" s="1005" t="s">
        <v>196</v>
      </c>
      <c r="H94" s="1005" t="s">
        <v>206</v>
      </c>
      <c r="I94" s="1005" t="s">
        <v>621</v>
      </c>
      <c r="J94" s="983" t="s">
        <v>571</v>
      </c>
      <c r="K94" s="983" t="s">
        <v>571</v>
      </c>
      <c r="L94" s="983" t="s">
        <v>571</v>
      </c>
      <c r="M94" s="995" t="s">
        <v>510</v>
      </c>
      <c r="N94" s="993" t="s">
        <v>111</v>
      </c>
    </row>
    <row r="95" spans="1:14" ht="15" customHeight="1" x14ac:dyDescent="0.25">
      <c r="A95" s="995" t="s">
        <v>580</v>
      </c>
      <c r="B95" s="995" t="s">
        <v>510</v>
      </c>
      <c r="C95" s="981" t="s">
        <v>1578</v>
      </c>
      <c r="D95" s="1005" t="s">
        <v>1563</v>
      </c>
      <c r="E95" s="985" t="s">
        <v>565</v>
      </c>
      <c r="F95" s="985" t="s">
        <v>566</v>
      </c>
      <c r="G95" s="1005" t="s">
        <v>196</v>
      </c>
      <c r="H95" s="1005" t="s">
        <v>206</v>
      </c>
      <c r="I95" s="1005" t="s">
        <v>621</v>
      </c>
      <c r="J95" s="983" t="s">
        <v>571</v>
      </c>
      <c r="K95" s="983" t="s">
        <v>571</v>
      </c>
      <c r="L95" s="989">
        <v>63999</v>
      </c>
      <c r="M95" s="995" t="s">
        <v>510</v>
      </c>
      <c r="N95" s="993" t="s">
        <v>1050</v>
      </c>
    </row>
    <row r="96" spans="1:14" ht="15" customHeight="1" x14ac:dyDescent="0.25">
      <c r="A96" s="995" t="s">
        <v>580</v>
      </c>
      <c r="B96" s="995" t="s">
        <v>510</v>
      </c>
      <c r="C96" s="981" t="s">
        <v>35</v>
      </c>
      <c r="D96" s="1005" t="s">
        <v>35</v>
      </c>
      <c r="E96" s="1007">
        <v>1</v>
      </c>
      <c r="F96" s="1007">
        <f ca="1">TODAY()</f>
        <v>42879</v>
      </c>
      <c r="G96" s="1005" t="s">
        <v>116</v>
      </c>
      <c r="H96" s="1005" t="s">
        <v>206</v>
      </c>
      <c r="I96" s="1005" t="s">
        <v>569</v>
      </c>
      <c r="J96" s="983" t="s">
        <v>571</v>
      </c>
      <c r="K96" s="983" t="s">
        <v>571</v>
      </c>
      <c r="L96" s="983" t="s">
        <v>571</v>
      </c>
      <c r="M96" s="995" t="s">
        <v>510</v>
      </c>
      <c r="N96" s="993" t="s">
        <v>35</v>
      </c>
    </row>
    <row r="97" spans="1:14" ht="15" customHeight="1" x14ac:dyDescent="0.25">
      <c r="A97" s="995" t="s">
        <v>580</v>
      </c>
      <c r="B97" s="995" t="s">
        <v>510</v>
      </c>
      <c r="C97" s="981" t="s">
        <v>1612</v>
      </c>
      <c r="D97" s="1005" t="s">
        <v>246</v>
      </c>
      <c r="E97" s="993" t="s">
        <v>565</v>
      </c>
      <c r="F97" s="993" t="s">
        <v>566</v>
      </c>
      <c r="G97" s="993" t="s">
        <v>196</v>
      </c>
      <c r="H97" s="1006" t="s">
        <v>208</v>
      </c>
      <c r="I97" s="1005" t="s">
        <v>621</v>
      </c>
      <c r="J97" s="983" t="s">
        <v>571</v>
      </c>
      <c r="K97" s="983" t="s">
        <v>571</v>
      </c>
      <c r="L97" s="983" t="s">
        <v>571</v>
      </c>
      <c r="M97" s="995" t="s">
        <v>510</v>
      </c>
      <c r="N97" s="993" t="s">
        <v>2072</v>
      </c>
    </row>
    <row r="98" spans="1:14" ht="15" customHeight="1" x14ac:dyDescent="0.25">
      <c r="A98" s="995" t="s">
        <v>580</v>
      </c>
      <c r="B98" s="995" t="s">
        <v>510</v>
      </c>
      <c r="C98" s="981" t="s">
        <v>1613</v>
      </c>
      <c r="D98" s="1005" t="s">
        <v>247</v>
      </c>
      <c r="E98" s="985">
        <v>-75</v>
      </c>
      <c r="F98" s="1008">
        <v>75</v>
      </c>
      <c r="G98" s="1005" t="s">
        <v>187</v>
      </c>
      <c r="H98" s="1005" t="s">
        <v>206</v>
      </c>
      <c r="I98" s="1005" t="s">
        <v>112</v>
      </c>
      <c r="J98" s="989">
        <v>9</v>
      </c>
      <c r="K98" s="989">
        <v>6</v>
      </c>
      <c r="L98" s="983" t="s">
        <v>571</v>
      </c>
      <c r="M98" s="995" t="s">
        <v>510</v>
      </c>
      <c r="N98" s="993" t="s">
        <v>2073</v>
      </c>
    </row>
    <row r="99" spans="1:14" ht="15" customHeight="1" x14ac:dyDescent="0.25">
      <c r="A99" s="995" t="s">
        <v>580</v>
      </c>
      <c r="B99" s="995" t="s">
        <v>510</v>
      </c>
      <c r="C99" s="981" t="s">
        <v>1614</v>
      </c>
      <c r="D99" s="1005" t="s">
        <v>248</v>
      </c>
      <c r="E99" s="985">
        <v>-180</v>
      </c>
      <c r="F99" s="1008">
        <v>180</v>
      </c>
      <c r="G99" s="1005" t="s">
        <v>187</v>
      </c>
      <c r="H99" s="1005" t="s">
        <v>206</v>
      </c>
      <c r="I99" s="1005" t="s">
        <v>112</v>
      </c>
      <c r="J99" s="989">
        <v>9</v>
      </c>
      <c r="K99" s="989">
        <v>6</v>
      </c>
      <c r="L99" s="983" t="s">
        <v>571</v>
      </c>
      <c r="M99" s="995" t="s">
        <v>510</v>
      </c>
      <c r="N99" s="993" t="s">
        <v>2074</v>
      </c>
    </row>
    <row r="100" spans="1:14" ht="15" customHeight="1" x14ac:dyDescent="0.25">
      <c r="A100" s="995" t="s">
        <v>580</v>
      </c>
      <c r="B100" s="995" t="s">
        <v>510</v>
      </c>
      <c r="C100" s="981" t="s">
        <v>1615</v>
      </c>
      <c r="D100" s="1005" t="s">
        <v>249</v>
      </c>
      <c r="E100" s="985">
        <v>-50</v>
      </c>
      <c r="F100" s="1008">
        <v>5000</v>
      </c>
      <c r="G100" s="1005" t="s">
        <v>211</v>
      </c>
      <c r="H100" s="1005" t="s">
        <v>206</v>
      </c>
      <c r="I100" s="1005" t="s">
        <v>620</v>
      </c>
      <c r="J100" s="983" t="s">
        <v>571</v>
      </c>
      <c r="K100" s="983" t="s">
        <v>571</v>
      </c>
      <c r="L100" s="983" t="s">
        <v>571</v>
      </c>
      <c r="M100" s="995" t="s">
        <v>510</v>
      </c>
      <c r="N100" s="993" t="s">
        <v>2075</v>
      </c>
    </row>
    <row r="101" spans="1:14" ht="15" customHeight="1" x14ac:dyDescent="0.25">
      <c r="A101" s="995" t="s">
        <v>580</v>
      </c>
      <c r="B101" s="995" t="s">
        <v>510</v>
      </c>
      <c r="C101" s="981" t="s">
        <v>1616</v>
      </c>
      <c r="D101" s="1005" t="s">
        <v>250</v>
      </c>
      <c r="E101" s="985">
        <v>1</v>
      </c>
      <c r="F101" s="1008">
        <v>10000</v>
      </c>
      <c r="G101" s="1005" t="s">
        <v>211</v>
      </c>
      <c r="H101" s="1005" t="s">
        <v>206</v>
      </c>
      <c r="I101" s="1005" t="s">
        <v>112</v>
      </c>
      <c r="J101" s="989">
        <v>10</v>
      </c>
      <c r="K101" s="989">
        <v>0</v>
      </c>
      <c r="L101" s="983" t="s">
        <v>571</v>
      </c>
      <c r="M101" s="995" t="s">
        <v>510</v>
      </c>
      <c r="N101" s="993" t="s">
        <v>2076</v>
      </c>
    </row>
    <row r="102" spans="1:14" ht="15" customHeight="1" x14ac:dyDescent="0.25">
      <c r="A102" s="995" t="s">
        <v>580</v>
      </c>
      <c r="B102" s="995" t="s">
        <v>510</v>
      </c>
      <c r="C102" s="981" t="s">
        <v>1617</v>
      </c>
      <c r="D102" s="1005" t="s">
        <v>625</v>
      </c>
      <c r="E102" s="993" t="s">
        <v>565</v>
      </c>
      <c r="F102" s="993" t="s">
        <v>566</v>
      </c>
      <c r="G102" s="1005" t="s">
        <v>251</v>
      </c>
      <c r="H102" s="1005" t="s">
        <v>206</v>
      </c>
      <c r="I102" s="1005" t="s">
        <v>621</v>
      </c>
      <c r="J102" s="983" t="s">
        <v>571</v>
      </c>
      <c r="K102" s="983" t="s">
        <v>571</v>
      </c>
      <c r="L102" s="989">
        <v>63999</v>
      </c>
      <c r="M102" s="995" t="s">
        <v>510</v>
      </c>
      <c r="N102" s="993" t="s">
        <v>2077</v>
      </c>
    </row>
    <row r="103" spans="1:14" ht="15" customHeight="1" x14ac:dyDescent="0.25">
      <c r="A103" s="995" t="s">
        <v>580</v>
      </c>
      <c r="B103" s="995" t="s">
        <v>510</v>
      </c>
      <c r="C103" s="981" t="s">
        <v>1618</v>
      </c>
      <c r="D103" s="1005" t="s">
        <v>252</v>
      </c>
      <c r="E103" s="993" t="s">
        <v>565</v>
      </c>
      <c r="F103" s="993" t="s">
        <v>566</v>
      </c>
      <c r="G103" s="1005" t="s">
        <v>196</v>
      </c>
      <c r="H103" s="1006" t="s">
        <v>208</v>
      </c>
      <c r="I103" s="1005" t="s">
        <v>621</v>
      </c>
      <c r="J103" s="983" t="s">
        <v>571</v>
      </c>
      <c r="K103" s="983" t="s">
        <v>571</v>
      </c>
      <c r="L103" s="989">
        <v>63999</v>
      </c>
      <c r="M103" s="995" t="s">
        <v>510</v>
      </c>
      <c r="N103" s="993" t="s">
        <v>2078</v>
      </c>
    </row>
    <row r="104" spans="1:14" ht="15" customHeight="1" x14ac:dyDescent="0.25">
      <c r="A104" s="999" t="s">
        <v>571</v>
      </c>
      <c r="B104" s="999" t="s">
        <v>571</v>
      </c>
      <c r="C104" s="999" t="s">
        <v>571</v>
      </c>
      <c r="D104" s="999" t="s">
        <v>571</v>
      </c>
      <c r="E104" s="999" t="s">
        <v>571</v>
      </c>
      <c r="F104" s="999" t="s">
        <v>571</v>
      </c>
      <c r="G104" s="999" t="s">
        <v>571</v>
      </c>
      <c r="H104" s="999" t="s">
        <v>571</v>
      </c>
      <c r="I104" s="999" t="s">
        <v>571</v>
      </c>
      <c r="J104" s="991" t="s">
        <v>571</v>
      </c>
      <c r="K104" s="991" t="s">
        <v>571</v>
      </c>
      <c r="L104" s="991" t="s">
        <v>571</v>
      </c>
      <c r="M104" s="999" t="s">
        <v>571</v>
      </c>
      <c r="N104" s="999" t="s">
        <v>571</v>
      </c>
    </row>
    <row r="105" spans="1:14" ht="15" customHeight="1" x14ac:dyDescent="0.25">
      <c r="A105" s="995" t="s">
        <v>580</v>
      </c>
      <c r="B105" s="995" t="s">
        <v>511</v>
      </c>
      <c r="C105" s="981" t="s">
        <v>1573</v>
      </c>
      <c r="D105" s="1005" t="s">
        <v>205</v>
      </c>
      <c r="E105" s="993" t="s">
        <v>565</v>
      </c>
      <c r="F105" s="993" t="s">
        <v>566</v>
      </c>
      <c r="G105" s="993" t="s">
        <v>196</v>
      </c>
      <c r="H105" s="1005" t="s">
        <v>206</v>
      </c>
      <c r="I105" s="1005" t="s">
        <v>621</v>
      </c>
      <c r="J105" s="983" t="s">
        <v>571</v>
      </c>
      <c r="K105" s="983" t="s">
        <v>571</v>
      </c>
      <c r="L105" s="989">
        <v>63999</v>
      </c>
      <c r="M105" s="995" t="s">
        <v>511</v>
      </c>
      <c r="N105" s="993" t="s">
        <v>111</v>
      </c>
    </row>
    <row r="106" spans="1:14" ht="15" customHeight="1" x14ac:dyDescent="0.25">
      <c r="A106" s="995" t="s">
        <v>580</v>
      </c>
      <c r="B106" s="995" t="s">
        <v>511</v>
      </c>
      <c r="C106" s="981" t="s">
        <v>1578</v>
      </c>
      <c r="D106" s="1005" t="s">
        <v>1563</v>
      </c>
      <c r="E106" s="985" t="s">
        <v>565</v>
      </c>
      <c r="F106" s="985" t="s">
        <v>566</v>
      </c>
      <c r="G106" s="1005" t="s">
        <v>196</v>
      </c>
      <c r="H106" s="1005" t="s">
        <v>206</v>
      </c>
      <c r="I106" s="1005" t="s">
        <v>621</v>
      </c>
      <c r="J106" s="983" t="s">
        <v>571</v>
      </c>
      <c r="K106" s="983" t="s">
        <v>571</v>
      </c>
      <c r="L106" s="989">
        <v>63999</v>
      </c>
      <c r="M106" s="995" t="s">
        <v>511</v>
      </c>
      <c r="N106" s="993" t="s">
        <v>1050</v>
      </c>
    </row>
    <row r="107" spans="1:14" ht="15" customHeight="1" x14ac:dyDescent="0.25">
      <c r="A107" s="995" t="s">
        <v>580</v>
      </c>
      <c r="B107" s="995" t="s">
        <v>511</v>
      </c>
      <c r="C107" s="981" t="s">
        <v>1619</v>
      </c>
      <c r="D107" s="1005" t="s">
        <v>35</v>
      </c>
      <c r="E107" s="1007">
        <v>1</v>
      </c>
      <c r="F107" s="1007">
        <f ca="1">TODAY()</f>
        <v>42879</v>
      </c>
      <c r="G107" s="1005" t="s">
        <v>116</v>
      </c>
      <c r="H107" s="1005" t="s">
        <v>206</v>
      </c>
      <c r="I107" s="1005" t="s">
        <v>569</v>
      </c>
      <c r="J107" s="983" t="s">
        <v>571</v>
      </c>
      <c r="K107" s="983" t="s">
        <v>571</v>
      </c>
      <c r="L107" s="983" t="s">
        <v>571</v>
      </c>
      <c r="M107" s="995" t="s">
        <v>511</v>
      </c>
      <c r="N107" s="993" t="s">
        <v>2079</v>
      </c>
    </row>
    <row r="108" spans="1:14" ht="15" customHeight="1" x14ac:dyDescent="0.25">
      <c r="A108" s="995" t="s">
        <v>580</v>
      </c>
      <c r="B108" s="995" t="s">
        <v>511</v>
      </c>
      <c r="C108" s="981" t="s">
        <v>1612</v>
      </c>
      <c r="D108" s="1005" t="s">
        <v>246</v>
      </c>
      <c r="E108" s="993" t="s">
        <v>565</v>
      </c>
      <c r="F108" s="993" t="s">
        <v>566</v>
      </c>
      <c r="G108" s="993" t="s">
        <v>196</v>
      </c>
      <c r="H108" s="1005" t="s">
        <v>206</v>
      </c>
      <c r="I108" s="1005" t="s">
        <v>621</v>
      </c>
      <c r="J108" s="983" t="s">
        <v>571</v>
      </c>
      <c r="K108" s="983" t="s">
        <v>571</v>
      </c>
      <c r="L108" s="989">
        <v>63999</v>
      </c>
      <c r="M108" s="995" t="s">
        <v>511</v>
      </c>
      <c r="N108" s="993" t="s">
        <v>2080</v>
      </c>
    </row>
    <row r="109" spans="1:14" ht="15" customHeight="1" x14ac:dyDescent="0.25">
      <c r="A109" s="995" t="s">
        <v>580</v>
      </c>
      <c r="B109" s="995" t="s">
        <v>511</v>
      </c>
      <c r="C109" s="981" t="s">
        <v>1620</v>
      </c>
      <c r="D109" s="1005" t="s">
        <v>972</v>
      </c>
      <c r="E109" s="985">
        <v>-20</v>
      </c>
      <c r="F109" s="1008">
        <v>40</v>
      </c>
      <c r="G109" s="1005" t="s">
        <v>1013</v>
      </c>
      <c r="H109" s="1006" t="s">
        <v>208</v>
      </c>
      <c r="I109" s="1005" t="s">
        <v>112</v>
      </c>
      <c r="J109" s="989">
        <v>9</v>
      </c>
      <c r="K109" s="989">
        <v>2</v>
      </c>
      <c r="L109" s="983" t="s">
        <v>571</v>
      </c>
      <c r="M109" s="995" t="s">
        <v>511</v>
      </c>
      <c r="N109" s="993" t="s">
        <v>2081</v>
      </c>
    </row>
    <row r="110" spans="1:14" ht="15" customHeight="1" x14ac:dyDescent="0.25">
      <c r="A110" s="995" t="s">
        <v>580</v>
      </c>
      <c r="B110" s="995" t="s">
        <v>511</v>
      </c>
      <c r="C110" s="981" t="s">
        <v>1621</v>
      </c>
      <c r="D110" s="1005" t="s">
        <v>973</v>
      </c>
      <c r="E110" s="985">
        <v>-20</v>
      </c>
      <c r="F110" s="1008">
        <v>40</v>
      </c>
      <c r="G110" s="1005" t="s">
        <v>1013</v>
      </c>
      <c r="H110" s="1006" t="s">
        <v>208</v>
      </c>
      <c r="I110" s="1005" t="s">
        <v>112</v>
      </c>
      <c r="J110" s="989">
        <v>9</v>
      </c>
      <c r="K110" s="989">
        <v>2</v>
      </c>
      <c r="L110" s="983" t="s">
        <v>571</v>
      </c>
      <c r="M110" s="995" t="s">
        <v>511</v>
      </c>
      <c r="N110" s="993" t="s">
        <v>2082</v>
      </c>
    </row>
    <row r="111" spans="1:14" ht="15" customHeight="1" x14ac:dyDescent="0.25">
      <c r="A111" s="995" t="s">
        <v>580</v>
      </c>
      <c r="B111" s="995" t="s">
        <v>511</v>
      </c>
      <c r="C111" s="981" t="s">
        <v>1622</v>
      </c>
      <c r="D111" s="1005" t="s">
        <v>253</v>
      </c>
      <c r="E111" s="985">
        <v>0</v>
      </c>
      <c r="F111" s="1008">
        <v>250</v>
      </c>
      <c r="G111" s="1005" t="s">
        <v>115</v>
      </c>
      <c r="H111" s="1006" t="s">
        <v>208</v>
      </c>
      <c r="I111" s="1005" t="s">
        <v>112</v>
      </c>
      <c r="J111" s="989">
        <v>9</v>
      </c>
      <c r="K111" s="989">
        <v>2</v>
      </c>
      <c r="L111" s="983" t="s">
        <v>571</v>
      </c>
      <c r="M111" s="995" t="s">
        <v>511</v>
      </c>
      <c r="N111" s="993" t="s">
        <v>2083</v>
      </c>
    </row>
    <row r="112" spans="1:14" ht="15" customHeight="1" x14ac:dyDescent="0.25">
      <c r="A112" s="995" t="s">
        <v>580</v>
      </c>
      <c r="B112" s="995" t="s">
        <v>511</v>
      </c>
      <c r="C112" s="981" t="s">
        <v>1623</v>
      </c>
      <c r="D112" s="1005" t="s">
        <v>626</v>
      </c>
      <c r="E112" s="985">
        <v>-999</v>
      </c>
      <c r="F112" s="985">
        <v>-999</v>
      </c>
      <c r="G112" s="1005" t="s">
        <v>254</v>
      </c>
      <c r="H112" s="1006" t="s">
        <v>208</v>
      </c>
      <c r="I112" s="1005" t="s">
        <v>620</v>
      </c>
      <c r="J112" s="983" t="s">
        <v>571</v>
      </c>
      <c r="K112" s="983" t="s">
        <v>571</v>
      </c>
      <c r="L112" s="983" t="s">
        <v>571</v>
      </c>
      <c r="M112" s="995" t="s">
        <v>511</v>
      </c>
      <c r="N112" s="993" t="s">
        <v>2084</v>
      </c>
    </row>
    <row r="113" spans="1:14" ht="15" customHeight="1" x14ac:dyDescent="0.25">
      <c r="A113" s="995" t="s">
        <v>580</v>
      </c>
      <c r="B113" s="995" t="s">
        <v>511</v>
      </c>
      <c r="C113" s="981" t="s">
        <v>1624</v>
      </c>
      <c r="D113" s="1005" t="s">
        <v>255</v>
      </c>
      <c r="E113" s="985">
        <v>0</v>
      </c>
      <c r="F113" s="1008">
        <v>100</v>
      </c>
      <c r="G113" s="1005" t="s">
        <v>40</v>
      </c>
      <c r="H113" s="1006" t="s">
        <v>208</v>
      </c>
      <c r="I113" s="1005" t="s">
        <v>620</v>
      </c>
      <c r="J113" s="983" t="s">
        <v>571</v>
      </c>
      <c r="K113" s="983" t="s">
        <v>571</v>
      </c>
      <c r="L113" s="983" t="s">
        <v>571</v>
      </c>
      <c r="M113" s="995" t="s">
        <v>511</v>
      </c>
      <c r="N113" s="993" t="s">
        <v>2085</v>
      </c>
    </row>
    <row r="114" spans="1:14" ht="15" customHeight="1" x14ac:dyDescent="0.25">
      <c r="A114" s="995" t="s">
        <v>580</v>
      </c>
      <c r="B114" s="995" t="s">
        <v>511</v>
      </c>
      <c r="C114" s="981" t="s">
        <v>1625</v>
      </c>
      <c r="D114" s="1005" t="s">
        <v>256</v>
      </c>
      <c r="E114" s="985">
        <v>-20</v>
      </c>
      <c r="F114" s="1008">
        <v>40</v>
      </c>
      <c r="G114" s="1005" t="s">
        <v>1013</v>
      </c>
      <c r="H114" s="1006" t="s">
        <v>208</v>
      </c>
      <c r="I114" s="1005" t="s">
        <v>112</v>
      </c>
      <c r="J114" s="989">
        <v>9</v>
      </c>
      <c r="K114" s="989">
        <v>2</v>
      </c>
      <c r="L114" s="983" t="s">
        <v>571</v>
      </c>
      <c r="M114" s="995" t="s">
        <v>511</v>
      </c>
      <c r="N114" s="993" t="s">
        <v>2086</v>
      </c>
    </row>
    <row r="115" spans="1:14" ht="15" customHeight="1" x14ac:dyDescent="0.25">
      <c r="A115" s="995" t="s">
        <v>580</v>
      </c>
      <c r="B115" s="995" t="s">
        <v>511</v>
      </c>
      <c r="C115" s="981" t="s">
        <v>1626</v>
      </c>
      <c r="D115" s="1005" t="s">
        <v>257</v>
      </c>
      <c r="E115" s="985">
        <v>0</v>
      </c>
      <c r="F115" s="1008">
        <v>30</v>
      </c>
      <c r="G115" s="1005" t="s">
        <v>42</v>
      </c>
      <c r="H115" s="1006" t="s">
        <v>208</v>
      </c>
      <c r="I115" s="1005" t="s">
        <v>112</v>
      </c>
      <c r="J115" s="989">
        <v>9</v>
      </c>
      <c r="K115" s="989">
        <v>2</v>
      </c>
      <c r="L115" s="983" t="s">
        <v>571</v>
      </c>
      <c r="M115" s="995" t="s">
        <v>511</v>
      </c>
      <c r="N115" s="993" t="s">
        <v>2087</v>
      </c>
    </row>
    <row r="116" spans="1:14" ht="15" customHeight="1" x14ac:dyDescent="0.25">
      <c r="A116" s="995" t="s">
        <v>580</v>
      </c>
      <c r="B116" s="995" t="s">
        <v>511</v>
      </c>
      <c r="C116" s="981" t="s">
        <v>1627</v>
      </c>
      <c r="D116" s="1005" t="s">
        <v>258</v>
      </c>
      <c r="E116" s="985">
        <v>0</v>
      </c>
      <c r="F116" s="1008">
        <v>55</v>
      </c>
      <c r="G116" s="1005" t="s">
        <v>2365</v>
      </c>
      <c r="H116" s="1006" t="s">
        <v>208</v>
      </c>
      <c r="I116" s="1005" t="s">
        <v>112</v>
      </c>
      <c r="J116" s="989">
        <v>9</v>
      </c>
      <c r="K116" s="989">
        <v>2</v>
      </c>
      <c r="L116" s="983" t="s">
        <v>571</v>
      </c>
      <c r="M116" s="995" t="s">
        <v>511</v>
      </c>
      <c r="N116" s="993" t="s">
        <v>2088</v>
      </c>
    </row>
    <row r="117" spans="1:14" ht="15" customHeight="1" x14ac:dyDescent="0.25">
      <c r="A117" s="995" t="s">
        <v>580</v>
      </c>
      <c r="B117" s="995" t="s">
        <v>511</v>
      </c>
      <c r="C117" s="981" t="s">
        <v>1628</v>
      </c>
      <c r="D117" s="1005" t="s">
        <v>259</v>
      </c>
      <c r="E117" s="985">
        <v>0</v>
      </c>
      <c r="F117" s="1008">
        <v>55</v>
      </c>
      <c r="G117" s="1005" t="s">
        <v>2365</v>
      </c>
      <c r="H117" s="1006" t="s">
        <v>208</v>
      </c>
      <c r="I117" s="1005" t="s">
        <v>112</v>
      </c>
      <c r="J117" s="989">
        <v>9</v>
      </c>
      <c r="K117" s="989">
        <v>2</v>
      </c>
      <c r="L117" s="983" t="s">
        <v>571</v>
      </c>
      <c r="M117" s="995" t="s">
        <v>511</v>
      </c>
      <c r="N117" s="993" t="s">
        <v>2089</v>
      </c>
    </row>
    <row r="118" spans="1:14" ht="15" customHeight="1" x14ac:dyDescent="0.25">
      <c r="A118" s="995" t="s">
        <v>580</v>
      </c>
      <c r="B118" s="995" t="s">
        <v>511</v>
      </c>
      <c r="C118" s="981" t="s">
        <v>1629</v>
      </c>
      <c r="D118" s="1005" t="s">
        <v>974</v>
      </c>
      <c r="E118" s="985">
        <v>-20</v>
      </c>
      <c r="F118" s="1008">
        <v>40</v>
      </c>
      <c r="G118" s="1005" t="s">
        <v>1013</v>
      </c>
      <c r="H118" s="1006" t="s">
        <v>208</v>
      </c>
      <c r="I118" s="1005" t="s">
        <v>112</v>
      </c>
      <c r="J118" s="989">
        <v>9</v>
      </c>
      <c r="K118" s="989">
        <v>2</v>
      </c>
      <c r="L118" s="983" t="s">
        <v>571</v>
      </c>
      <c r="M118" s="995" t="s">
        <v>511</v>
      </c>
      <c r="N118" s="993" t="s">
        <v>2090</v>
      </c>
    </row>
    <row r="119" spans="1:14" ht="15" customHeight="1" x14ac:dyDescent="0.25">
      <c r="A119" s="995" t="s">
        <v>580</v>
      </c>
      <c r="B119" s="995" t="s">
        <v>511</v>
      </c>
      <c r="C119" s="981" t="s">
        <v>1630</v>
      </c>
      <c r="D119" s="1005" t="s">
        <v>975</v>
      </c>
      <c r="E119" s="985">
        <v>-20</v>
      </c>
      <c r="F119" s="1008">
        <v>40</v>
      </c>
      <c r="G119" s="1005" t="s">
        <v>1013</v>
      </c>
      <c r="H119" s="1006" t="s">
        <v>208</v>
      </c>
      <c r="I119" s="1005" t="s">
        <v>112</v>
      </c>
      <c r="J119" s="989">
        <v>9</v>
      </c>
      <c r="K119" s="989">
        <v>2</v>
      </c>
      <c r="L119" s="983" t="s">
        <v>571</v>
      </c>
      <c r="M119" s="995" t="s">
        <v>511</v>
      </c>
      <c r="N119" s="993" t="s">
        <v>2091</v>
      </c>
    </row>
    <row r="120" spans="1:14" ht="15" customHeight="1" x14ac:dyDescent="0.25">
      <c r="A120" s="995" t="s">
        <v>580</v>
      </c>
      <c r="B120" s="995" t="s">
        <v>511</v>
      </c>
      <c r="C120" s="981" t="s">
        <v>1631</v>
      </c>
      <c r="D120" s="1005" t="s">
        <v>260</v>
      </c>
      <c r="E120" s="985">
        <v>0</v>
      </c>
      <c r="F120" s="1008">
        <v>360</v>
      </c>
      <c r="G120" s="1005" t="s">
        <v>261</v>
      </c>
      <c r="H120" s="1006" t="s">
        <v>208</v>
      </c>
      <c r="I120" s="1005" t="s">
        <v>620</v>
      </c>
      <c r="J120" s="983" t="s">
        <v>571</v>
      </c>
      <c r="K120" s="983" t="s">
        <v>571</v>
      </c>
      <c r="L120" s="983" t="s">
        <v>571</v>
      </c>
      <c r="M120" s="995" t="s">
        <v>511</v>
      </c>
      <c r="N120" s="993" t="s">
        <v>2092</v>
      </c>
    </row>
    <row r="121" spans="1:14" ht="15" customHeight="1" x14ac:dyDescent="0.25">
      <c r="A121" s="995" t="s">
        <v>580</v>
      </c>
      <c r="B121" s="995" t="s">
        <v>511</v>
      </c>
      <c r="C121" s="981" t="s">
        <v>1632</v>
      </c>
      <c r="D121" s="1005" t="s">
        <v>262</v>
      </c>
      <c r="E121" s="985">
        <v>0</v>
      </c>
      <c r="F121" s="1008">
        <v>15</v>
      </c>
      <c r="G121" s="1005" t="s">
        <v>115</v>
      </c>
      <c r="H121" s="1006" t="s">
        <v>208</v>
      </c>
      <c r="I121" s="1005" t="s">
        <v>112</v>
      </c>
      <c r="J121" s="989">
        <v>10</v>
      </c>
      <c r="K121" s="989">
        <v>0</v>
      </c>
      <c r="L121" s="983" t="s">
        <v>571</v>
      </c>
      <c r="M121" s="995" t="s">
        <v>511</v>
      </c>
      <c r="N121" s="993" t="s">
        <v>2093</v>
      </c>
    </row>
    <row r="122" spans="1:14" ht="15" customHeight="1" x14ac:dyDescent="0.25">
      <c r="A122" s="995" t="s">
        <v>580</v>
      </c>
      <c r="B122" s="995" t="s">
        <v>511</v>
      </c>
      <c r="C122" s="981" t="s">
        <v>1633</v>
      </c>
      <c r="D122" s="1005" t="s">
        <v>263</v>
      </c>
      <c r="E122" s="985">
        <v>0</v>
      </c>
      <c r="F122" s="1008">
        <v>15</v>
      </c>
      <c r="G122" s="1005" t="s">
        <v>115</v>
      </c>
      <c r="H122" s="1006" t="s">
        <v>208</v>
      </c>
      <c r="I122" s="1005" t="s">
        <v>112</v>
      </c>
      <c r="J122" s="989">
        <v>10</v>
      </c>
      <c r="K122" s="989">
        <v>0</v>
      </c>
      <c r="L122" s="983" t="s">
        <v>571</v>
      </c>
      <c r="M122" s="995" t="s">
        <v>511</v>
      </c>
      <c r="N122" s="993" t="s">
        <v>2094</v>
      </c>
    </row>
    <row r="123" spans="1:14" ht="15" customHeight="1" x14ac:dyDescent="0.25">
      <c r="A123" s="995" t="s">
        <v>580</v>
      </c>
      <c r="B123" s="995" t="s">
        <v>511</v>
      </c>
      <c r="C123" s="981" t="s">
        <v>1634</v>
      </c>
      <c r="D123" s="1005" t="s">
        <v>264</v>
      </c>
      <c r="E123" s="985">
        <v>0</v>
      </c>
      <c r="F123" s="1008">
        <v>0.5</v>
      </c>
      <c r="G123" s="1005" t="s">
        <v>114</v>
      </c>
      <c r="H123" s="1006" t="s">
        <v>208</v>
      </c>
      <c r="I123" s="1005" t="s">
        <v>112</v>
      </c>
      <c r="J123" s="989">
        <v>10</v>
      </c>
      <c r="K123" s="989">
        <v>0</v>
      </c>
      <c r="L123" s="983" t="s">
        <v>571</v>
      </c>
      <c r="M123" s="995" t="s">
        <v>511</v>
      </c>
      <c r="N123" s="993" t="s">
        <v>2095</v>
      </c>
    </row>
    <row r="124" spans="1:14" ht="15" customHeight="1" x14ac:dyDescent="0.25">
      <c r="A124" s="995" t="s">
        <v>580</v>
      </c>
      <c r="B124" s="995" t="s">
        <v>511</v>
      </c>
      <c r="C124" s="981" t="s">
        <v>1635</v>
      </c>
      <c r="D124" s="1005" t="s">
        <v>265</v>
      </c>
      <c r="E124" s="985">
        <v>0</v>
      </c>
      <c r="F124" s="1008">
        <v>55</v>
      </c>
      <c r="G124" s="1005" t="s">
        <v>2365</v>
      </c>
      <c r="H124" s="1006" t="s">
        <v>208</v>
      </c>
      <c r="I124" s="1005" t="s">
        <v>112</v>
      </c>
      <c r="J124" s="989">
        <v>9</v>
      </c>
      <c r="K124" s="989">
        <v>2</v>
      </c>
      <c r="L124" s="983" t="s">
        <v>571</v>
      </c>
      <c r="M124" s="995" t="s">
        <v>511</v>
      </c>
      <c r="N124" s="993" t="s">
        <v>2096</v>
      </c>
    </row>
    <row r="125" spans="1:14" ht="15" customHeight="1" x14ac:dyDescent="0.25">
      <c r="A125" s="995" t="s">
        <v>580</v>
      </c>
      <c r="B125" s="995" t="s">
        <v>511</v>
      </c>
      <c r="C125" s="981" t="s">
        <v>1636</v>
      </c>
      <c r="D125" s="1005" t="s">
        <v>266</v>
      </c>
      <c r="E125" s="985">
        <v>0</v>
      </c>
      <c r="F125" s="1008">
        <v>1000</v>
      </c>
      <c r="G125" s="1005" t="s">
        <v>115</v>
      </c>
      <c r="H125" s="1006" t="s">
        <v>208</v>
      </c>
      <c r="I125" s="1005" t="s">
        <v>112</v>
      </c>
      <c r="J125" s="989">
        <v>10</v>
      </c>
      <c r="K125" s="989">
        <v>0</v>
      </c>
      <c r="L125" s="983" t="s">
        <v>571</v>
      </c>
      <c r="M125" s="995" t="s">
        <v>511</v>
      </c>
      <c r="N125" s="993" t="s">
        <v>2097</v>
      </c>
    </row>
    <row r="126" spans="1:14" ht="15" customHeight="1" x14ac:dyDescent="0.25">
      <c r="A126" s="999" t="s">
        <v>571</v>
      </c>
      <c r="B126" s="999" t="s">
        <v>571</v>
      </c>
      <c r="C126" s="999" t="s">
        <v>571</v>
      </c>
      <c r="D126" s="999" t="s">
        <v>571</v>
      </c>
      <c r="E126" s="999" t="s">
        <v>571</v>
      </c>
      <c r="F126" s="999" t="s">
        <v>571</v>
      </c>
      <c r="G126" s="999" t="s">
        <v>571</v>
      </c>
      <c r="H126" s="999" t="s">
        <v>571</v>
      </c>
      <c r="I126" s="999" t="s">
        <v>571</v>
      </c>
      <c r="J126" s="991" t="s">
        <v>571</v>
      </c>
      <c r="K126" s="991" t="s">
        <v>571</v>
      </c>
      <c r="L126" s="991" t="s">
        <v>571</v>
      </c>
      <c r="M126" s="999" t="s">
        <v>571</v>
      </c>
      <c r="N126" s="999" t="s">
        <v>571</v>
      </c>
    </row>
    <row r="127" spans="1:14" ht="15" customHeight="1" x14ac:dyDescent="0.25">
      <c r="A127" s="996" t="s">
        <v>581</v>
      </c>
      <c r="B127" s="996" t="s">
        <v>601</v>
      </c>
      <c r="C127" s="981" t="s">
        <v>1637</v>
      </c>
      <c r="D127" s="1005" t="s">
        <v>578</v>
      </c>
      <c r="E127" s="993" t="s">
        <v>565</v>
      </c>
      <c r="F127" s="993" t="s">
        <v>566</v>
      </c>
      <c r="G127" s="993" t="s">
        <v>196</v>
      </c>
      <c r="H127" s="1005" t="s">
        <v>206</v>
      </c>
      <c r="I127" s="1005" t="s">
        <v>621</v>
      </c>
      <c r="J127" s="983" t="s">
        <v>571</v>
      </c>
      <c r="K127" s="983" t="s">
        <v>571</v>
      </c>
      <c r="L127" s="989">
        <v>63999</v>
      </c>
      <c r="M127" s="996" t="s">
        <v>601</v>
      </c>
      <c r="N127" s="993" t="s">
        <v>154</v>
      </c>
    </row>
    <row r="128" spans="1:14" ht="15" customHeight="1" x14ac:dyDescent="0.25">
      <c r="A128" s="996" t="s">
        <v>581</v>
      </c>
      <c r="B128" s="996" t="s">
        <v>601</v>
      </c>
      <c r="C128" s="981" t="s">
        <v>35</v>
      </c>
      <c r="D128" s="1005" t="s">
        <v>35</v>
      </c>
      <c r="E128" s="1007">
        <v>1</v>
      </c>
      <c r="F128" s="1007">
        <f ca="1">TODAY()</f>
        <v>42879</v>
      </c>
      <c r="G128" s="1005" t="s">
        <v>116</v>
      </c>
      <c r="H128" s="1005" t="s">
        <v>206</v>
      </c>
      <c r="I128" s="1005" t="s">
        <v>569</v>
      </c>
      <c r="J128" s="983" t="s">
        <v>571</v>
      </c>
      <c r="K128" s="983" t="s">
        <v>571</v>
      </c>
      <c r="L128" s="983" t="s">
        <v>571</v>
      </c>
      <c r="M128" s="996" t="s">
        <v>601</v>
      </c>
      <c r="N128" s="993" t="s">
        <v>35</v>
      </c>
    </row>
    <row r="129" spans="1:14" ht="15" customHeight="1" x14ac:dyDescent="0.25">
      <c r="A129" s="996" t="s">
        <v>581</v>
      </c>
      <c r="B129" s="996" t="s">
        <v>601</v>
      </c>
      <c r="C129" s="981" t="s">
        <v>1598</v>
      </c>
      <c r="D129" s="1005" t="s">
        <v>229</v>
      </c>
      <c r="E129" s="993" t="s">
        <v>565</v>
      </c>
      <c r="F129" s="993" t="s">
        <v>566</v>
      </c>
      <c r="G129" s="993" t="s">
        <v>196</v>
      </c>
      <c r="H129" s="1006" t="s">
        <v>208</v>
      </c>
      <c r="I129" s="1005" t="s">
        <v>621</v>
      </c>
      <c r="J129" s="983" t="s">
        <v>571</v>
      </c>
      <c r="K129" s="983" t="s">
        <v>571</v>
      </c>
      <c r="L129" s="989">
        <v>63999</v>
      </c>
      <c r="M129" s="996" t="s">
        <v>601</v>
      </c>
      <c r="N129" s="993" t="s">
        <v>152</v>
      </c>
    </row>
    <row r="130" spans="1:14" ht="15" customHeight="1" x14ac:dyDescent="0.25">
      <c r="A130" s="996" t="s">
        <v>581</v>
      </c>
      <c r="B130" s="996" t="s">
        <v>601</v>
      </c>
      <c r="C130" s="981" t="s">
        <v>77</v>
      </c>
      <c r="D130" s="1005" t="s">
        <v>267</v>
      </c>
      <c r="E130" s="993" t="s">
        <v>565</v>
      </c>
      <c r="F130" s="993" t="s">
        <v>566</v>
      </c>
      <c r="G130" s="993" t="s">
        <v>196</v>
      </c>
      <c r="H130" s="1006" t="s">
        <v>208</v>
      </c>
      <c r="I130" s="1005" t="s">
        <v>621</v>
      </c>
      <c r="J130" s="983" t="s">
        <v>571</v>
      </c>
      <c r="K130" s="983" t="s">
        <v>571</v>
      </c>
      <c r="L130" s="989">
        <v>63999</v>
      </c>
      <c r="M130" s="996" t="s">
        <v>601</v>
      </c>
      <c r="N130" s="993" t="s">
        <v>77</v>
      </c>
    </row>
    <row r="131" spans="1:14" ht="15" customHeight="1" x14ac:dyDescent="0.25">
      <c r="A131" s="996" t="s">
        <v>581</v>
      </c>
      <c r="B131" s="996" t="s">
        <v>601</v>
      </c>
      <c r="C131" s="981" t="s">
        <v>1638</v>
      </c>
      <c r="D131" s="1005" t="s">
        <v>994</v>
      </c>
      <c r="E131" s="993" t="s">
        <v>565</v>
      </c>
      <c r="F131" s="993" t="s">
        <v>566</v>
      </c>
      <c r="G131" s="993" t="s">
        <v>196</v>
      </c>
      <c r="H131" s="1006" t="s">
        <v>208</v>
      </c>
      <c r="I131" s="1005" t="s">
        <v>621</v>
      </c>
      <c r="J131" s="983" t="s">
        <v>571</v>
      </c>
      <c r="K131" s="983" t="s">
        <v>571</v>
      </c>
      <c r="L131" s="989">
        <v>63999</v>
      </c>
      <c r="M131" s="996" t="s">
        <v>601</v>
      </c>
      <c r="N131" s="993" t="s">
        <v>473</v>
      </c>
    </row>
    <row r="132" spans="1:14" ht="15" customHeight="1" x14ac:dyDescent="0.25">
      <c r="A132" s="996" t="s">
        <v>581</v>
      </c>
      <c r="B132" s="996" t="s">
        <v>601</v>
      </c>
      <c r="C132" s="981" t="s">
        <v>1642</v>
      </c>
      <c r="D132" s="1005" t="s">
        <v>911</v>
      </c>
      <c r="E132" s="985">
        <v>0</v>
      </c>
      <c r="F132" s="1008">
        <v>50</v>
      </c>
      <c r="G132" s="1005" t="s">
        <v>46</v>
      </c>
      <c r="H132" s="1006" t="s">
        <v>208</v>
      </c>
      <c r="I132" s="1005" t="s">
        <v>112</v>
      </c>
      <c r="J132" s="989">
        <v>9</v>
      </c>
      <c r="K132" s="989">
        <v>3</v>
      </c>
      <c r="L132" s="983" t="s">
        <v>571</v>
      </c>
      <c r="M132" s="996" t="s">
        <v>601</v>
      </c>
      <c r="N132" s="993" t="s">
        <v>2098</v>
      </c>
    </row>
    <row r="133" spans="1:14" ht="15" customHeight="1" x14ac:dyDescent="0.25">
      <c r="A133" s="996" t="s">
        <v>581</v>
      </c>
      <c r="B133" s="996" t="s">
        <v>601</v>
      </c>
      <c r="C133" s="981" t="s">
        <v>1639</v>
      </c>
      <c r="D133" s="1005" t="s">
        <v>995</v>
      </c>
      <c r="E133" s="993" t="s">
        <v>565</v>
      </c>
      <c r="F133" s="993" t="s">
        <v>566</v>
      </c>
      <c r="G133" s="993" t="s">
        <v>196</v>
      </c>
      <c r="H133" s="1006" t="s">
        <v>208</v>
      </c>
      <c r="I133" s="1005" t="s">
        <v>621</v>
      </c>
      <c r="J133" s="983" t="s">
        <v>571</v>
      </c>
      <c r="K133" s="983" t="s">
        <v>571</v>
      </c>
      <c r="L133" s="989">
        <v>63999</v>
      </c>
      <c r="M133" s="996" t="s">
        <v>601</v>
      </c>
      <c r="N133" s="993" t="s">
        <v>279</v>
      </c>
    </row>
    <row r="134" spans="1:14" ht="15" customHeight="1" x14ac:dyDescent="0.25">
      <c r="A134" s="996" t="s">
        <v>581</v>
      </c>
      <c r="B134" s="996" t="s">
        <v>601</v>
      </c>
      <c r="C134" s="981" t="s">
        <v>1640</v>
      </c>
      <c r="D134" s="1005" t="s">
        <v>1039</v>
      </c>
      <c r="E134" s="985">
        <v>0</v>
      </c>
      <c r="F134" s="1005">
        <v>500</v>
      </c>
      <c r="G134" s="1005" t="s">
        <v>275</v>
      </c>
      <c r="H134" s="1006" t="s">
        <v>208</v>
      </c>
      <c r="I134" s="1005" t="s">
        <v>112</v>
      </c>
      <c r="J134" s="989">
        <v>9</v>
      </c>
      <c r="K134" s="989">
        <v>3</v>
      </c>
      <c r="L134" s="983" t="s">
        <v>571</v>
      </c>
      <c r="M134" s="996" t="s">
        <v>601</v>
      </c>
      <c r="N134" s="993" t="s">
        <v>2099</v>
      </c>
    </row>
    <row r="135" spans="1:14" ht="15" customHeight="1" x14ac:dyDescent="0.25">
      <c r="A135" s="996" t="s">
        <v>581</v>
      </c>
      <c r="B135" s="996" t="s">
        <v>601</v>
      </c>
      <c r="C135" s="981" t="s">
        <v>1641</v>
      </c>
      <c r="D135" s="1005" t="s">
        <v>280</v>
      </c>
      <c r="E135" s="985">
        <v>0</v>
      </c>
      <c r="F135" s="1005">
        <v>500</v>
      </c>
      <c r="G135" s="1005" t="s">
        <v>91</v>
      </c>
      <c r="H135" s="1006" t="s">
        <v>208</v>
      </c>
      <c r="I135" s="1005" t="s">
        <v>112</v>
      </c>
      <c r="J135" s="989">
        <v>9</v>
      </c>
      <c r="K135" s="989">
        <v>3</v>
      </c>
      <c r="L135" s="983" t="s">
        <v>571</v>
      </c>
      <c r="M135" s="996" t="s">
        <v>601</v>
      </c>
      <c r="N135" s="993" t="s">
        <v>2100</v>
      </c>
    </row>
    <row r="136" spans="1:14" ht="15" customHeight="1" x14ac:dyDescent="0.25">
      <c r="A136" s="996" t="s">
        <v>581</v>
      </c>
      <c r="B136" s="996" t="s">
        <v>601</v>
      </c>
      <c r="C136" s="981" t="s">
        <v>1643</v>
      </c>
      <c r="D136" s="1005" t="s">
        <v>281</v>
      </c>
      <c r="E136" s="985">
        <v>0</v>
      </c>
      <c r="F136" s="1005">
        <v>500</v>
      </c>
      <c r="G136" s="1005" t="s">
        <v>185</v>
      </c>
      <c r="H136" s="1006" t="s">
        <v>208</v>
      </c>
      <c r="I136" s="1005" t="s">
        <v>112</v>
      </c>
      <c r="J136" s="989">
        <v>9</v>
      </c>
      <c r="K136" s="989">
        <v>3</v>
      </c>
      <c r="L136" s="983" t="s">
        <v>571</v>
      </c>
      <c r="M136" s="996" t="s">
        <v>601</v>
      </c>
      <c r="N136" s="993" t="s">
        <v>2101</v>
      </c>
    </row>
    <row r="137" spans="1:14" ht="15" customHeight="1" x14ac:dyDescent="0.25">
      <c r="A137" s="996" t="s">
        <v>581</v>
      </c>
      <c r="B137" s="996" t="s">
        <v>601</v>
      </c>
      <c r="C137" s="981" t="s">
        <v>1644</v>
      </c>
      <c r="D137" s="1005" t="s">
        <v>282</v>
      </c>
      <c r="E137" s="985">
        <v>0</v>
      </c>
      <c r="F137" s="1005">
        <v>500</v>
      </c>
      <c r="G137" s="1005" t="s">
        <v>186</v>
      </c>
      <c r="H137" s="1006" t="s">
        <v>208</v>
      </c>
      <c r="I137" s="1005" t="s">
        <v>112</v>
      </c>
      <c r="J137" s="989">
        <v>9</v>
      </c>
      <c r="K137" s="989">
        <v>3</v>
      </c>
      <c r="L137" s="983" t="s">
        <v>571</v>
      </c>
      <c r="M137" s="996" t="s">
        <v>601</v>
      </c>
      <c r="N137" s="993" t="s">
        <v>2102</v>
      </c>
    </row>
    <row r="138" spans="1:14" ht="15" customHeight="1" x14ac:dyDescent="0.25">
      <c r="A138" s="996" t="s">
        <v>581</v>
      </c>
      <c r="B138" s="996" t="s">
        <v>601</v>
      </c>
      <c r="C138" s="981" t="s">
        <v>1645</v>
      </c>
      <c r="D138" s="1005" t="s">
        <v>706</v>
      </c>
      <c r="E138" s="985">
        <v>0</v>
      </c>
      <c r="F138" s="1008"/>
      <c r="G138" s="1005" t="s">
        <v>275</v>
      </c>
      <c r="H138" s="1006" t="s">
        <v>208</v>
      </c>
      <c r="I138" s="1005" t="s">
        <v>112</v>
      </c>
      <c r="J138" s="989">
        <v>9</v>
      </c>
      <c r="K138" s="989">
        <v>3</v>
      </c>
      <c r="L138" s="983" t="s">
        <v>571</v>
      </c>
      <c r="M138" s="996" t="s">
        <v>601</v>
      </c>
      <c r="N138" s="993" t="s">
        <v>2103</v>
      </c>
    </row>
    <row r="139" spans="1:14" ht="15" customHeight="1" x14ac:dyDescent="0.25">
      <c r="A139" s="996" t="s">
        <v>581</v>
      </c>
      <c r="B139" s="996" t="s">
        <v>601</v>
      </c>
      <c r="C139" s="981" t="s">
        <v>1646</v>
      </c>
      <c r="D139" s="1005" t="s">
        <v>283</v>
      </c>
      <c r="E139" s="993" t="s">
        <v>565</v>
      </c>
      <c r="F139" s="993" t="s">
        <v>566</v>
      </c>
      <c r="G139" s="993" t="s">
        <v>196</v>
      </c>
      <c r="H139" s="1006" t="s">
        <v>208</v>
      </c>
      <c r="I139" s="1005" t="s">
        <v>621</v>
      </c>
      <c r="J139" s="983" t="s">
        <v>571</v>
      </c>
      <c r="K139" s="983" t="s">
        <v>571</v>
      </c>
      <c r="L139" s="989">
        <v>63999</v>
      </c>
      <c r="M139" s="996" t="s">
        <v>601</v>
      </c>
      <c r="N139" s="993" t="s">
        <v>492</v>
      </c>
    </row>
    <row r="140" spans="1:14" ht="15" customHeight="1" x14ac:dyDescent="0.25">
      <c r="A140" s="996" t="s">
        <v>581</v>
      </c>
      <c r="B140" s="996" t="s">
        <v>601</v>
      </c>
      <c r="C140" s="981" t="s">
        <v>1647</v>
      </c>
      <c r="D140" s="1005" t="s">
        <v>284</v>
      </c>
      <c r="E140" s="993" t="s">
        <v>565</v>
      </c>
      <c r="F140" s="993" t="s">
        <v>566</v>
      </c>
      <c r="G140" s="993" t="s">
        <v>196</v>
      </c>
      <c r="H140" s="1006" t="s">
        <v>208</v>
      </c>
      <c r="I140" s="1005" t="s">
        <v>621</v>
      </c>
      <c r="J140" s="983" t="s">
        <v>571</v>
      </c>
      <c r="K140" s="983" t="s">
        <v>571</v>
      </c>
      <c r="L140" s="989">
        <v>63999</v>
      </c>
      <c r="M140" s="996" t="s">
        <v>601</v>
      </c>
      <c r="N140" s="993" t="s">
        <v>2104</v>
      </c>
    </row>
    <row r="141" spans="1:14" ht="15" customHeight="1" x14ac:dyDescent="0.25">
      <c r="A141" s="996" t="s">
        <v>581</v>
      </c>
      <c r="B141" s="996" t="s">
        <v>601</v>
      </c>
      <c r="C141" s="981" t="s">
        <v>1648</v>
      </c>
      <c r="D141" s="1005" t="s">
        <v>285</v>
      </c>
      <c r="E141" s="993" t="s">
        <v>565</v>
      </c>
      <c r="F141" s="993" t="s">
        <v>566</v>
      </c>
      <c r="G141" s="993" t="s">
        <v>196</v>
      </c>
      <c r="H141" s="1006" t="s">
        <v>208</v>
      </c>
      <c r="I141" s="1005" t="s">
        <v>112</v>
      </c>
      <c r="J141" s="989">
        <v>9</v>
      </c>
      <c r="K141" s="989">
        <v>3</v>
      </c>
      <c r="L141" s="983" t="s">
        <v>571</v>
      </c>
      <c r="M141" s="996" t="s">
        <v>601</v>
      </c>
      <c r="N141" s="993" t="s">
        <v>183</v>
      </c>
    </row>
    <row r="142" spans="1:14" ht="15" customHeight="1" x14ac:dyDescent="0.25">
      <c r="A142" s="996" t="s">
        <v>581</v>
      </c>
      <c r="B142" s="996" t="s">
        <v>601</v>
      </c>
      <c r="C142" s="981" t="s">
        <v>1649</v>
      </c>
      <c r="D142" s="1005" t="s">
        <v>286</v>
      </c>
      <c r="E142" s="985">
        <v>0</v>
      </c>
      <c r="F142" s="1008">
        <v>10</v>
      </c>
      <c r="G142" s="1005" t="s">
        <v>46</v>
      </c>
      <c r="H142" s="1006" t="s">
        <v>208</v>
      </c>
      <c r="I142" s="1005" t="s">
        <v>112</v>
      </c>
      <c r="J142" s="989">
        <v>9</v>
      </c>
      <c r="K142" s="989">
        <v>3</v>
      </c>
      <c r="L142" s="983" t="s">
        <v>571</v>
      </c>
      <c r="M142" s="996" t="s">
        <v>601</v>
      </c>
      <c r="N142" s="993" t="s">
        <v>2105</v>
      </c>
    </row>
    <row r="143" spans="1:14" ht="15" customHeight="1" x14ac:dyDescent="0.25">
      <c r="A143" s="996" t="s">
        <v>581</v>
      </c>
      <c r="B143" s="996" t="s">
        <v>601</v>
      </c>
      <c r="C143" s="981" t="s">
        <v>1650</v>
      </c>
      <c r="D143" s="1005" t="s">
        <v>287</v>
      </c>
      <c r="E143" s="993" t="s">
        <v>565</v>
      </c>
      <c r="F143" s="993" t="s">
        <v>566</v>
      </c>
      <c r="G143" s="993" t="s">
        <v>196</v>
      </c>
      <c r="H143" s="1006" t="s">
        <v>208</v>
      </c>
      <c r="I143" s="1005" t="s">
        <v>621</v>
      </c>
      <c r="J143" s="983" t="s">
        <v>571</v>
      </c>
      <c r="K143" s="983" t="s">
        <v>571</v>
      </c>
      <c r="L143" s="989">
        <v>63999</v>
      </c>
      <c r="M143" s="996" t="s">
        <v>601</v>
      </c>
      <c r="N143" s="993" t="s">
        <v>120</v>
      </c>
    </row>
    <row r="144" spans="1:14" ht="15" customHeight="1" x14ac:dyDescent="0.25">
      <c r="A144" s="996" t="s">
        <v>581</v>
      </c>
      <c r="B144" s="996" t="s">
        <v>601</v>
      </c>
      <c r="C144" s="981" t="s">
        <v>1895</v>
      </c>
      <c r="D144" s="1005" t="s">
        <v>288</v>
      </c>
      <c r="E144" s="985">
        <v>0</v>
      </c>
      <c r="F144" s="1008">
        <v>1000</v>
      </c>
      <c r="G144" s="1005" t="s">
        <v>66</v>
      </c>
      <c r="H144" s="1006" t="s">
        <v>208</v>
      </c>
      <c r="I144" s="1005" t="s">
        <v>112</v>
      </c>
      <c r="J144" s="989">
        <v>9</v>
      </c>
      <c r="K144" s="989">
        <v>3</v>
      </c>
      <c r="L144" s="983" t="s">
        <v>571</v>
      </c>
      <c r="M144" s="996" t="s">
        <v>601</v>
      </c>
      <c r="N144" s="993" t="s">
        <v>2106</v>
      </c>
    </row>
    <row r="145" spans="1:14" ht="15" customHeight="1" x14ac:dyDescent="0.25">
      <c r="A145" s="999" t="s">
        <v>571</v>
      </c>
      <c r="B145" s="999" t="s">
        <v>571</v>
      </c>
      <c r="C145" s="999" t="s">
        <v>571</v>
      </c>
      <c r="D145" s="999" t="s">
        <v>571</v>
      </c>
      <c r="E145" s="999" t="s">
        <v>571</v>
      </c>
      <c r="F145" s="999" t="s">
        <v>571</v>
      </c>
      <c r="G145" s="999" t="s">
        <v>571</v>
      </c>
      <c r="H145" s="999" t="s">
        <v>571</v>
      </c>
      <c r="I145" s="999" t="s">
        <v>571</v>
      </c>
      <c r="J145" s="991" t="s">
        <v>571</v>
      </c>
      <c r="K145" s="991" t="s">
        <v>571</v>
      </c>
      <c r="L145" s="991" t="s">
        <v>571</v>
      </c>
      <c r="M145" s="999" t="s">
        <v>571</v>
      </c>
      <c r="N145" s="999" t="s">
        <v>571</v>
      </c>
    </row>
    <row r="146" spans="1:14" ht="15" customHeight="1" x14ac:dyDescent="0.25">
      <c r="A146" s="996" t="s">
        <v>581</v>
      </c>
      <c r="B146" s="996" t="s">
        <v>602</v>
      </c>
      <c r="C146" s="981" t="s">
        <v>1637</v>
      </c>
      <c r="D146" s="1005" t="s">
        <v>578</v>
      </c>
      <c r="E146" s="993" t="s">
        <v>565</v>
      </c>
      <c r="F146" s="993" t="s">
        <v>566</v>
      </c>
      <c r="G146" s="993" t="s">
        <v>196</v>
      </c>
      <c r="H146" s="1005" t="s">
        <v>206</v>
      </c>
      <c r="I146" s="1005" t="s">
        <v>621</v>
      </c>
      <c r="J146" s="983" t="s">
        <v>571</v>
      </c>
      <c r="K146" s="983" t="s">
        <v>571</v>
      </c>
      <c r="L146" s="989">
        <v>63999</v>
      </c>
      <c r="M146" s="996" t="s">
        <v>602</v>
      </c>
      <c r="N146" s="993" t="s">
        <v>154</v>
      </c>
    </row>
    <row r="147" spans="1:14" ht="15" customHeight="1" x14ac:dyDescent="0.25">
      <c r="A147" s="996" t="s">
        <v>581</v>
      </c>
      <c r="B147" s="996" t="s">
        <v>602</v>
      </c>
      <c r="C147" s="981" t="s">
        <v>35</v>
      </c>
      <c r="D147" s="1005" t="s">
        <v>35</v>
      </c>
      <c r="E147" s="1007">
        <v>1</v>
      </c>
      <c r="F147" s="1007">
        <f ca="1">TODAY()</f>
        <v>42879</v>
      </c>
      <c r="G147" s="1005" t="s">
        <v>116</v>
      </c>
      <c r="H147" s="1005" t="s">
        <v>206</v>
      </c>
      <c r="I147" s="1005" t="s">
        <v>569</v>
      </c>
      <c r="J147" s="983" t="s">
        <v>571</v>
      </c>
      <c r="K147" s="983" t="s">
        <v>571</v>
      </c>
      <c r="L147" s="983" t="s">
        <v>571</v>
      </c>
      <c r="M147" s="996" t="s">
        <v>602</v>
      </c>
      <c r="N147" s="993" t="s">
        <v>35</v>
      </c>
    </row>
    <row r="148" spans="1:14" ht="15" customHeight="1" x14ac:dyDescent="0.25">
      <c r="A148" s="996" t="s">
        <v>581</v>
      </c>
      <c r="B148" s="996" t="s">
        <v>602</v>
      </c>
      <c r="C148" s="981" t="s">
        <v>1598</v>
      </c>
      <c r="D148" s="1005" t="s">
        <v>229</v>
      </c>
      <c r="E148" s="993" t="s">
        <v>565</v>
      </c>
      <c r="F148" s="993" t="s">
        <v>566</v>
      </c>
      <c r="G148" s="993" t="s">
        <v>196</v>
      </c>
      <c r="H148" s="1006" t="s">
        <v>208</v>
      </c>
      <c r="I148" s="1005" t="s">
        <v>621</v>
      </c>
      <c r="J148" s="983" t="s">
        <v>571</v>
      </c>
      <c r="K148" s="983" t="s">
        <v>571</v>
      </c>
      <c r="L148" s="989">
        <v>63999</v>
      </c>
      <c r="M148" s="996" t="s">
        <v>602</v>
      </c>
      <c r="N148" s="993" t="s">
        <v>152</v>
      </c>
    </row>
    <row r="149" spans="1:14" ht="15" customHeight="1" x14ac:dyDescent="0.25">
      <c r="A149" s="996" t="s">
        <v>581</v>
      </c>
      <c r="B149" s="996" t="s">
        <v>602</v>
      </c>
      <c r="C149" s="981" t="s">
        <v>77</v>
      </c>
      <c r="D149" s="1005" t="s">
        <v>270</v>
      </c>
      <c r="E149" s="993" t="s">
        <v>565</v>
      </c>
      <c r="F149" s="993" t="s">
        <v>566</v>
      </c>
      <c r="G149" s="993" t="s">
        <v>196</v>
      </c>
      <c r="H149" s="1006" t="s">
        <v>208</v>
      </c>
      <c r="I149" s="1005" t="s">
        <v>621</v>
      </c>
      <c r="J149" s="983" t="s">
        <v>571</v>
      </c>
      <c r="K149" s="983" t="s">
        <v>571</v>
      </c>
      <c r="L149" s="989">
        <v>63999</v>
      </c>
      <c r="M149" s="996" t="s">
        <v>602</v>
      </c>
      <c r="N149" s="993" t="s">
        <v>77</v>
      </c>
    </row>
    <row r="150" spans="1:14" ht="15" customHeight="1" x14ac:dyDescent="0.25">
      <c r="A150" s="996" t="s">
        <v>581</v>
      </c>
      <c r="B150" s="996" t="s">
        <v>602</v>
      </c>
      <c r="C150" s="981" t="s">
        <v>151</v>
      </c>
      <c r="D150" s="1005" t="s">
        <v>271</v>
      </c>
      <c r="E150" s="993" t="s">
        <v>565</v>
      </c>
      <c r="F150" s="993" t="s">
        <v>566</v>
      </c>
      <c r="G150" s="993" t="s">
        <v>196</v>
      </c>
      <c r="H150" s="1006" t="s">
        <v>208</v>
      </c>
      <c r="I150" s="1005" t="s">
        <v>621</v>
      </c>
      <c r="J150" s="983" t="s">
        <v>571</v>
      </c>
      <c r="K150" s="983" t="s">
        <v>571</v>
      </c>
      <c r="L150" s="989">
        <v>63999</v>
      </c>
      <c r="M150" s="996" t="s">
        <v>602</v>
      </c>
      <c r="N150" s="993" t="s">
        <v>151</v>
      </c>
    </row>
    <row r="151" spans="1:14" ht="15" customHeight="1" x14ac:dyDescent="0.25">
      <c r="A151" s="996" t="s">
        <v>581</v>
      </c>
      <c r="B151" s="996" t="s">
        <v>602</v>
      </c>
      <c r="C151" s="981" t="s">
        <v>1655</v>
      </c>
      <c r="D151" s="1005" t="s">
        <v>272</v>
      </c>
      <c r="E151" s="985">
        <v>0</v>
      </c>
      <c r="F151" s="1008">
        <v>150000</v>
      </c>
      <c r="G151" s="1005" t="s">
        <v>273</v>
      </c>
      <c r="H151" s="1006" t="s">
        <v>208</v>
      </c>
      <c r="I151" s="1005" t="s">
        <v>620</v>
      </c>
      <c r="J151" s="983" t="s">
        <v>571</v>
      </c>
      <c r="K151" s="983" t="s">
        <v>571</v>
      </c>
      <c r="L151" s="983" t="s">
        <v>571</v>
      </c>
      <c r="M151" s="996" t="s">
        <v>602</v>
      </c>
      <c r="N151" s="993" t="s">
        <v>2107</v>
      </c>
    </row>
    <row r="152" spans="1:14" ht="15" customHeight="1" x14ac:dyDescent="0.25">
      <c r="A152" s="996" t="s">
        <v>581</v>
      </c>
      <c r="B152" s="996" t="s">
        <v>602</v>
      </c>
      <c r="C152" s="981" t="s">
        <v>1654</v>
      </c>
      <c r="D152" s="1005" t="s">
        <v>274</v>
      </c>
      <c r="E152" s="985">
        <v>0</v>
      </c>
      <c r="F152" s="1008">
        <v>150000</v>
      </c>
      <c r="G152" s="1005" t="s">
        <v>275</v>
      </c>
      <c r="H152" s="1006" t="s">
        <v>208</v>
      </c>
      <c r="I152" s="1005" t="s">
        <v>620</v>
      </c>
      <c r="J152" s="983" t="s">
        <v>571</v>
      </c>
      <c r="K152" s="983" t="s">
        <v>571</v>
      </c>
      <c r="L152" s="983" t="s">
        <v>571</v>
      </c>
      <c r="M152" s="996" t="s">
        <v>602</v>
      </c>
      <c r="N152" s="993" t="s">
        <v>2108</v>
      </c>
    </row>
    <row r="153" spans="1:14" ht="15" customHeight="1" x14ac:dyDescent="0.25">
      <c r="A153" s="996" t="s">
        <v>581</v>
      </c>
      <c r="B153" s="996" t="s">
        <v>602</v>
      </c>
      <c r="C153" s="981" t="s">
        <v>1651</v>
      </c>
      <c r="D153" s="1005" t="s">
        <v>276</v>
      </c>
      <c r="E153" s="993" t="s">
        <v>565</v>
      </c>
      <c r="F153" s="993" t="s">
        <v>566</v>
      </c>
      <c r="G153" s="993" t="s">
        <v>196</v>
      </c>
      <c r="H153" s="1006" t="s">
        <v>208</v>
      </c>
      <c r="I153" s="1005" t="s">
        <v>621</v>
      </c>
      <c r="J153" s="983" t="s">
        <v>571</v>
      </c>
      <c r="K153" s="983" t="s">
        <v>571</v>
      </c>
      <c r="L153" s="989">
        <v>63999</v>
      </c>
      <c r="M153" s="996" t="s">
        <v>602</v>
      </c>
      <c r="N153" s="993" t="s">
        <v>184</v>
      </c>
    </row>
    <row r="154" spans="1:14" ht="15" customHeight="1" x14ac:dyDescent="0.25">
      <c r="A154" s="996" t="s">
        <v>581</v>
      </c>
      <c r="B154" s="996" t="s">
        <v>602</v>
      </c>
      <c r="C154" s="981" t="s">
        <v>1653</v>
      </c>
      <c r="D154" s="1005" t="s">
        <v>277</v>
      </c>
      <c r="E154" s="985">
        <v>0</v>
      </c>
      <c r="F154" s="1008">
        <v>50</v>
      </c>
      <c r="G154" s="1005" t="s">
        <v>46</v>
      </c>
      <c r="H154" s="1006" t="s">
        <v>208</v>
      </c>
      <c r="I154" s="1005" t="s">
        <v>112</v>
      </c>
      <c r="J154" s="989">
        <v>9</v>
      </c>
      <c r="K154" s="989">
        <v>3</v>
      </c>
      <c r="L154" s="983" t="s">
        <v>571</v>
      </c>
      <c r="M154" s="996" t="s">
        <v>602</v>
      </c>
      <c r="N154" s="993" t="s">
        <v>2109</v>
      </c>
    </row>
    <row r="155" spans="1:14" ht="15" customHeight="1" x14ac:dyDescent="0.25">
      <c r="A155" s="996" t="s">
        <v>581</v>
      </c>
      <c r="B155" s="996" t="s">
        <v>602</v>
      </c>
      <c r="C155" s="981" t="s">
        <v>1652</v>
      </c>
      <c r="D155" s="1005" t="s">
        <v>278</v>
      </c>
      <c r="E155" s="985">
        <v>0</v>
      </c>
      <c r="F155" s="1008">
        <v>100</v>
      </c>
      <c r="G155" s="1005" t="s">
        <v>46</v>
      </c>
      <c r="H155" s="1006" t="s">
        <v>208</v>
      </c>
      <c r="I155" s="1005" t="s">
        <v>112</v>
      </c>
      <c r="J155" s="989">
        <v>9</v>
      </c>
      <c r="K155" s="989">
        <v>3</v>
      </c>
      <c r="L155" s="983" t="s">
        <v>571</v>
      </c>
      <c r="M155" s="996" t="s">
        <v>602</v>
      </c>
      <c r="N155" s="993" t="s">
        <v>2110</v>
      </c>
    </row>
    <row r="156" spans="1:14" ht="15" customHeight="1" x14ac:dyDescent="0.25">
      <c r="A156" s="999" t="s">
        <v>571</v>
      </c>
      <c r="B156" s="999" t="s">
        <v>571</v>
      </c>
      <c r="C156" s="999" t="s">
        <v>571</v>
      </c>
      <c r="D156" s="999" t="s">
        <v>571</v>
      </c>
      <c r="E156" s="999" t="s">
        <v>571</v>
      </c>
      <c r="F156" s="999" t="s">
        <v>571</v>
      </c>
      <c r="G156" s="999" t="s">
        <v>571</v>
      </c>
      <c r="H156" s="999" t="s">
        <v>571</v>
      </c>
      <c r="I156" s="999" t="s">
        <v>571</v>
      </c>
      <c r="J156" s="991" t="s">
        <v>571</v>
      </c>
      <c r="K156" s="991" t="s">
        <v>571</v>
      </c>
      <c r="L156" s="991" t="s">
        <v>571</v>
      </c>
      <c r="M156" s="999" t="s">
        <v>571</v>
      </c>
      <c r="N156" s="999" t="s">
        <v>571</v>
      </c>
    </row>
    <row r="157" spans="1:14" ht="15" customHeight="1" x14ac:dyDescent="0.25">
      <c r="A157" s="996" t="s">
        <v>581</v>
      </c>
      <c r="B157" s="996" t="s">
        <v>603</v>
      </c>
      <c r="C157" s="981" t="s">
        <v>1637</v>
      </c>
      <c r="D157" s="1005" t="s">
        <v>578</v>
      </c>
      <c r="E157" s="993" t="s">
        <v>565</v>
      </c>
      <c r="F157" s="993" t="s">
        <v>566</v>
      </c>
      <c r="G157" s="993" t="s">
        <v>196</v>
      </c>
      <c r="H157" s="1005" t="s">
        <v>206</v>
      </c>
      <c r="I157" s="1005" t="s">
        <v>621</v>
      </c>
      <c r="J157" s="983" t="s">
        <v>571</v>
      </c>
      <c r="K157" s="983" t="s">
        <v>571</v>
      </c>
      <c r="L157" s="989">
        <v>63999</v>
      </c>
      <c r="M157" s="996" t="s">
        <v>603</v>
      </c>
      <c r="N157" s="993" t="s">
        <v>154</v>
      </c>
    </row>
    <row r="158" spans="1:14" ht="15" customHeight="1" x14ac:dyDescent="0.25">
      <c r="A158" s="996" t="s">
        <v>581</v>
      </c>
      <c r="B158" s="996" t="s">
        <v>603</v>
      </c>
      <c r="C158" s="981" t="s">
        <v>35</v>
      </c>
      <c r="D158" s="1005" t="s">
        <v>35</v>
      </c>
      <c r="E158" s="1007">
        <v>1</v>
      </c>
      <c r="F158" s="1007">
        <f ca="1">TODAY()</f>
        <v>42879</v>
      </c>
      <c r="G158" s="1005" t="s">
        <v>116</v>
      </c>
      <c r="H158" s="1005" t="s">
        <v>206</v>
      </c>
      <c r="I158" s="1005" t="s">
        <v>569</v>
      </c>
      <c r="J158" s="983" t="s">
        <v>571</v>
      </c>
      <c r="K158" s="983" t="s">
        <v>571</v>
      </c>
      <c r="L158" s="983" t="s">
        <v>571</v>
      </c>
      <c r="M158" s="996" t="s">
        <v>603</v>
      </c>
      <c r="N158" s="993" t="s">
        <v>35</v>
      </c>
    </row>
    <row r="159" spans="1:14" ht="15" customHeight="1" x14ac:dyDescent="0.25">
      <c r="A159" s="996" t="s">
        <v>581</v>
      </c>
      <c r="B159" s="996" t="s">
        <v>603</v>
      </c>
      <c r="C159" s="981" t="s">
        <v>1598</v>
      </c>
      <c r="D159" s="1005" t="s">
        <v>229</v>
      </c>
      <c r="E159" s="993" t="s">
        <v>565</v>
      </c>
      <c r="F159" s="993" t="s">
        <v>566</v>
      </c>
      <c r="G159" s="993" t="s">
        <v>196</v>
      </c>
      <c r="H159" s="1006" t="s">
        <v>208</v>
      </c>
      <c r="I159" s="1005" t="s">
        <v>621</v>
      </c>
      <c r="J159" s="983" t="s">
        <v>571</v>
      </c>
      <c r="K159" s="983" t="s">
        <v>571</v>
      </c>
      <c r="L159" s="989">
        <v>63999</v>
      </c>
      <c r="M159" s="996" t="s">
        <v>603</v>
      </c>
      <c r="N159" s="993" t="s">
        <v>152</v>
      </c>
    </row>
    <row r="160" spans="1:14" ht="15" customHeight="1" x14ac:dyDescent="0.25">
      <c r="A160" s="996" t="s">
        <v>581</v>
      </c>
      <c r="B160" s="996" t="s">
        <v>603</v>
      </c>
      <c r="C160" s="981" t="s">
        <v>77</v>
      </c>
      <c r="D160" s="1005" t="s">
        <v>267</v>
      </c>
      <c r="E160" s="993" t="s">
        <v>565</v>
      </c>
      <c r="F160" s="993" t="s">
        <v>566</v>
      </c>
      <c r="G160" s="993" t="s">
        <v>196</v>
      </c>
      <c r="H160" s="1006" t="s">
        <v>208</v>
      </c>
      <c r="I160" s="1005" t="s">
        <v>621</v>
      </c>
      <c r="J160" s="983" t="s">
        <v>571</v>
      </c>
      <c r="K160" s="983" t="s">
        <v>571</v>
      </c>
      <c r="L160" s="989">
        <v>63999</v>
      </c>
      <c r="M160" s="996" t="s">
        <v>603</v>
      </c>
      <c r="N160" s="993" t="s">
        <v>77</v>
      </c>
    </row>
    <row r="161" spans="1:14" ht="15" customHeight="1" x14ac:dyDescent="0.25">
      <c r="A161" s="996" t="s">
        <v>581</v>
      </c>
      <c r="B161" s="996" t="s">
        <v>603</v>
      </c>
      <c r="C161" s="981" t="s">
        <v>1656</v>
      </c>
      <c r="D161" s="1005" t="s">
        <v>628</v>
      </c>
      <c r="E161" s="993" t="s">
        <v>565</v>
      </c>
      <c r="F161" s="993" t="s">
        <v>566</v>
      </c>
      <c r="G161" s="993" t="s">
        <v>196</v>
      </c>
      <c r="H161" s="1006" t="s">
        <v>208</v>
      </c>
      <c r="I161" s="1005" t="s">
        <v>621</v>
      </c>
      <c r="J161" s="983" t="s">
        <v>571</v>
      </c>
      <c r="K161" s="983" t="s">
        <v>571</v>
      </c>
      <c r="L161" s="989">
        <v>63999</v>
      </c>
      <c r="M161" s="996" t="s">
        <v>603</v>
      </c>
      <c r="N161" s="993" t="s">
        <v>338</v>
      </c>
    </row>
    <row r="162" spans="1:14" ht="15" customHeight="1" x14ac:dyDescent="0.25">
      <c r="A162" s="996" t="s">
        <v>581</v>
      </c>
      <c r="B162" s="996" t="s">
        <v>603</v>
      </c>
      <c r="C162" s="981" t="s">
        <v>1658</v>
      </c>
      <c r="D162" s="1005" t="s">
        <v>268</v>
      </c>
      <c r="E162" s="985">
        <v>0</v>
      </c>
      <c r="F162" s="1008">
        <v>200</v>
      </c>
      <c r="G162" s="1005" t="s">
        <v>46</v>
      </c>
      <c r="H162" s="1006" t="s">
        <v>208</v>
      </c>
      <c r="I162" s="1005" t="s">
        <v>112</v>
      </c>
      <c r="J162" s="989">
        <v>9</v>
      </c>
      <c r="K162" s="989">
        <v>3</v>
      </c>
      <c r="L162" s="983" t="s">
        <v>571</v>
      </c>
      <c r="M162" s="996" t="s">
        <v>603</v>
      </c>
      <c r="N162" s="993" t="s">
        <v>2111</v>
      </c>
    </row>
    <row r="163" spans="1:14" ht="15" customHeight="1" x14ac:dyDescent="0.25">
      <c r="A163" s="996" t="s">
        <v>581</v>
      </c>
      <c r="B163" s="996" t="s">
        <v>603</v>
      </c>
      <c r="C163" s="981" t="s">
        <v>1657</v>
      </c>
      <c r="D163" s="1005" t="s">
        <v>269</v>
      </c>
      <c r="E163" s="993" t="s">
        <v>565</v>
      </c>
      <c r="F163" s="993" t="s">
        <v>566</v>
      </c>
      <c r="G163" s="993" t="s">
        <v>196</v>
      </c>
      <c r="H163" s="1006" t="s">
        <v>208</v>
      </c>
      <c r="I163" s="1005" t="s">
        <v>621</v>
      </c>
      <c r="J163" s="983" t="s">
        <v>571</v>
      </c>
      <c r="K163" s="983" t="s">
        <v>571</v>
      </c>
      <c r="L163" s="989">
        <v>63999</v>
      </c>
      <c r="M163" s="996" t="s">
        <v>603</v>
      </c>
      <c r="N163" s="993" t="s">
        <v>2112</v>
      </c>
    </row>
    <row r="164" spans="1:14" ht="15" customHeight="1" x14ac:dyDescent="0.25">
      <c r="A164" s="999" t="s">
        <v>571</v>
      </c>
      <c r="B164" s="999" t="s">
        <v>571</v>
      </c>
      <c r="C164" s="999" t="s">
        <v>571</v>
      </c>
      <c r="D164" s="999" t="s">
        <v>571</v>
      </c>
      <c r="E164" s="999" t="s">
        <v>571</v>
      </c>
      <c r="F164" s="999" t="s">
        <v>571</v>
      </c>
      <c r="G164" s="999" t="s">
        <v>571</v>
      </c>
      <c r="H164" s="999" t="s">
        <v>571</v>
      </c>
      <c r="I164" s="999" t="s">
        <v>571</v>
      </c>
      <c r="J164" s="991" t="s">
        <v>571</v>
      </c>
      <c r="K164" s="991" t="s">
        <v>571</v>
      </c>
      <c r="L164" s="991" t="s">
        <v>571</v>
      </c>
      <c r="M164" s="999" t="s">
        <v>571</v>
      </c>
      <c r="N164" s="999" t="s">
        <v>571</v>
      </c>
    </row>
    <row r="165" spans="1:14" ht="15" customHeight="1" x14ac:dyDescent="0.25">
      <c r="A165" s="996" t="s">
        <v>581</v>
      </c>
      <c r="B165" s="996" t="s">
        <v>604</v>
      </c>
      <c r="C165" s="981" t="s">
        <v>1637</v>
      </c>
      <c r="D165" s="1005" t="s">
        <v>578</v>
      </c>
      <c r="E165" s="993" t="s">
        <v>565</v>
      </c>
      <c r="F165" s="993" t="s">
        <v>566</v>
      </c>
      <c r="G165" s="993" t="s">
        <v>196</v>
      </c>
      <c r="H165" s="1005" t="s">
        <v>206</v>
      </c>
      <c r="I165" s="1005" t="s">
        <v>621</v>
      </c>
      <c r="J165" s="983" t="s">
        <v>571</v>
      </c>
      <c r="K165" s="983" t="s">
        <v>571</v>
      </c>
      <c r="L165" s="989">
        <v>63999</v>
      </c>
      <c r="M165" s="996" t="s">
        <v>604</v>
      </c>
      <c r="N165" s="993" t="s">
        <v>154</v>
      </c>
    </row>
    <row r="166" spans="1:14" ht="15" customHeight="1" x14ac:dyDescent="0.25">
      <c r="A166" s="996" t="s">
        <v>581</v>
      </c>
      <c r="B166" s="996" t="s">
        <v>604</v>
      </c>
      <c r="C166" s="981" t="s">
        <v>35</v>
      </c>
      <c r="D166" s="1005" t="s">
        <v>35</v>
      </c>
      <c r="E166" s="1007">
        <v>1</v>
      </c>
      <c r="F166" s="1007">
        <f ca="1">TODAY()</f>
        <v>42879</v>
      </c>
      <c r="G166" s="1005" t="s">
        <v>116</v>
      </c>
      <c r="H166" s="1005" t="s">
        <v>206</v>
      </c>
      <c r="I166" s="1005" t="s">
        <v>569</v>
      </c>
      <c r="J166" s="983" t="s">
        <v>571</v>
      </c>
      <c r="K166" s="983" t="s">
        <v>571</v>
      </c>
      <c r="L166" s="983" t="s">
        <v>571</v>
      </c>
      <c r="M166" s="996" t="s">
        <v>604</v>
      </c>
      <c r="N166" s="993" t="s">
        <v>35</v>
      </c>
    </row>
    <row r="167" spans="1:14" ht="15" customHeight="1" x14ac:dyDescent="0.25">
      <c r="A167" s="996" t="s">
        <v>581</v>
      </c>
      <c r="B167" s="996" t="s">
        <v>604</v>
      </c>
      <c r="C167" s="981" t="s">
        <v>1598</v>
      </c>
      <c r="D167" s="1005" t="s">
        <v>229</v>
      </c>
      <c r="E167" s="993" t="s">
        <v>565</v>
      </c>
      <c r="F167" s="993" t="s">
        <v>566</v>
      </c>
      <c r="G167" s="993" t="s">
        <v>196</v>
      </c>
      <c r="H167" s="1006" t="s">
        <v>208</v>
      </c>
      <c r="I167" s="1005" t="s">
        <v>621</v>
      </c>
      <c r="J167" s="983" t="s">
        <v>571</v>
      </c>
      <c r="K167" s="983" t="s">
        <v>571</v>
      </c>
      <c r="L167" s="989">
        <v>63999</v>
      </c>
      <c r="M167" s="996" t="s">
        <v>604</v>
      </c>
      <c r="N167" s="993" t="s">
        <v>152</v>
      </c>
    </row>
    <row r="168" spans="1:14" ht="15" customHeight="1" x14ac:dyDescent="0.25">
      <c r="A168" s="996" t="s">
        <v>581</v>
      </c>
      <c r="B168" s="996" t="s">
        <v>604</v>
      </c>
      <c r="C168" s="981" t="s">
        <v>77</v>
      </c>
      <c r="D168" s="1005" t="s">
        <v>267</v>
      </c>
      <c r="E168" s="993" t="s">
        <v>565</v>
      </c>
      <c r="F168" s="993" t="s">
        <v>566</v>
      </c>
      <c r="G168" s="993" t="s">
        <v>196</v>
      </c>
      <c r="H168" s="1006" t="s">
        <v>208</v>
      </c>
      <c r="I168" s="1005" t="s">
        <v>621</v>
      </c>
      <c r="J168" s="983" t="s">
        <v>571</v>
      </c>
      <c r="K168" s="983" t="s">
        <v>571</v>
      </c>
      <c r="L168" s="989">
        <v>63999</v>
      </c>
      <c r="M168" s="996" t="s">
        <v>604</v>
      </c>
      <c r="N168" s="993" t="s">
        <v>77</v>
      </c>
    </row>
    <row r="169" spans="1:14" ht="15" customHeight="1" x14ac:dyDescent="0.25">
      <c r="A169" s="996" t="s">
        <v>581</v>
      </c>
      <c r="B169" s="996" t="s">
        <v>604</v>
      </c>
      <c r="C169" s="981" t="s">
        <v>1659</v>
      </c>
      <c r="D169" s="1005" t="s">
        <v>295</v>
      </c>
      <c r="E169" s="993" t="s">
        <v>565</v>
      </c>
      <c r="F169" s="993" t="s">
        <v>566</v>
      </c>
      <c r="G169" s="993" t="s">
        <v>196</v>
      </c>
      <c r="H169" s="1006" t="s">
        <v>208</v>
      </c>
      <c r="I169" s="1005" t="s">
        <v>621</v>
      </c>
      <c r="J169" s="983" t="s">
        <v>571</v>
      </c>
      <c r="K169" s="983" t="s">
        <v>571</v>
      </c>
      <c r="L169" s="989">
        <v>63999</v>
      </c>
      <c r="M169" s="996" t="s">
        <v>604</v>
      </c>
      <c r="N169" s="993" t="s">
        <v>76</v>
      </c>
    </row>
    <row r="170" spans="1:14" ht="15" customHeight="1" x14ac:dyDescent="0.25">
      <c r="A170" s="999" t="s">
        <v>571</v>
      </c>
      <c r="B170" s="999" t="s">
        <v>571</v>
      </c>
      <c r="C170" s="999" t="s">
        <v>571</v>
      </c>
      <c r="D170" s="999" t="s">
        <v>571</v>
      </c>
      <c r="E170" s="999" t="s">
        <v>571</v>
      </c>
      <c r="F170" s="999" t="s">
        <v>571</v>
      </c>
      <c r="G170" s="999" t="s">
        <v>571</v>
      </c>
      <c r="H170" s="999" t="s">
        <v>571</v>
      </c>
      <c r="I170" s="999" t="s">
        <v>571</v>
      </c>
      <c r="J170" s="991" t="s">
        <v>571</v>
      </c>
      <c r="K170" s="991" t="s">
        <v>571</v>
      </c>
      <c r="L170" s="991" t="s">
        <v>571</v>
      </c>
      <c r="M170" s="999" t="s">
        <v>571</v>
      </c>
      <c r="N170" s="999" t="s">
        <v>571</v>
      </c>
    </row>
    <row r="171" spans="1:14" ht="15" customHeight="1" x14ac:dyDescent="0.25">
      <c r="A171" s="996" t="s">
        <v>581</v>
      </c>
      <c r="B171" s="996" t="s">
        <v>605</v>
      </c>
      <c r="C171" s="981" t="s">
        <v>1637</v>
      </c>
      <c r="D171" s="1005" t="s">
        <v>578</v>
      </c>
      <c r="E171" s="993" t="s">
        <v>565</v>
      </c>
      <c r="F171" s="993" t="s">
        <v>566</v>
      </c>
      <c r="G171" s="993" t="s">
        <v>196</v>
      </c>
      <c r="H171" s="1005" t="s">
        <v>206</v>
      </c>
      <c r="I171" s="1005" t="s">
        <v>621</v>
      </c>
      <c r="J171" s="983" t="s">
        <v>571</v>
      </c>
      <c r="K171" s="983" t="s">
        <v>571</v>
      </c>
      <c r="L171" s="989">
        <v>63999</v>
      </c>
      <c r="M171" s="996" t="s">
        <v>605</v>
      </c>
      <c r="N171" s="993" t="s">
        <v>154</v>
      </c>
    </row>
    <row r="172" spans="1:14" ht="15" customHeight="1" x14ac:dyDescent="0.25">
      <c r="A172" s="996" t="s">
        <v>581</v>
      </c>
      <c r="B172" s="996" t="s">
        <v>605</v>
      </c>
      <c r="C172" s="981" t="s">
        <v>35</v>
      </c>
      <c r="D172" s="1005" t="s">
        <v>35</v>
      </c>
      <c r="E172" s="1007">
        <v>1</v>
      </c>
      <c r="F172" s="1007">
        <f ca="1">TODAY()</f>
        <v>42879</v>
      </c>
      <c r="G172" s="1005" t="s">
        <v>116</v>
      </c>
      <c r="H172" s="1005" t="s">
        <v>206</v>
      </c>
      <c r="I172" s="1005" t="s">
        <v>569</v>
      </c>
      <c r="J172" s="983" t="s">
        <v>571</v>
      </c>
      <c r="K172" s="983" t="s">
        <v>571</v>
      </c>
      <c r="L172" s="983" t="s">
        <v>571</v>
      </c>
      <c r="M172" s="996" t="s">
        <v>605</v>
      </c>
      <c r="N172" s="993" t="s">
        <v>35</v>
      </c>
    </row>
    <row r="173" spans="1:14" ht="15" customHeight="1" x14ac:dyDescent="0.25">
      <c r="A173" s="996" t="s">
        <v>581</v>
      </c>
      <c r="B173" s="996" t="s">
        <v>605</v>
      </c>
      <c r="C173" s="981" t="s">
        <v>1598</v>
      </c>
      <c r="D173" s="1005" t="s">
        <v>229</v>
      </c>
      <c r="E173" s="993" t="s">
        <v>565</v>
      </c>
      <c r="F173" s="993" t="s">
        <v>566</v>
      </c>
      <c r="G173" s="993" t="s">
        <v>196</v>
      </c>
      <c r="H173" s="1006" t="s">
        <v>208</v>
      </c>
      <c r="I173" s="1005" t="s">
        <v>621</v>
      </c>
      <c r="J173" s="983" t="s">
        <v>571</v>
      </c>
      <c r="K173" s="983" t="s">
        <v>571</v>
      </c>
      <c r="L173" s="989">
        <v>63999</v>
      </c>
      <c r="M173" s="996" t="s">
        <v>605</v>
      </c>
      <c r="N173" s="993" t="s">
        <v>152</v>
      </c>
    </row>
    <row r="174" spans="1:14" ht="15" customHeight="1" x14ac:dyDescent="0.25">
      <c r="A174" s="996" t="s">
        <v>581</v>
      </c>
      <c r="B174" s="996" t="s">
        <v>605</v>
      </c>
      <c r="C174" s="981" t="s">
        <v>77</v>
      </c>
      <c r="D174" s="1005" t="s">
        <v>267</v>
      </c>
      <c r="E174" s="993" t="s">
        <v>565</v>
      </c>
      <c r="F174" s="993" t="s">
        <v>566</v>
      </c>
      <c r="G174" s="993" t="s">
        <v>196</v>
      </c>
      <c r="H174" s="1006" t="s">
        <v>208</v>
      </c>
      <c r="I174" s="1005" t="s">
        <v>621</v>
      </c>
      <c r="J174" s="983" t="s">
        <v>571</v>
      </c>
      <c r="K174" s="983" t="s">
        <v>571</v>
      </c>
      <c r="L174" s="989">
        <v>63999</v>
      </c>
      <c r="M174" s="996" t="s">
        <v>605</v>
      </c>
      <c r="N174" s="993" t="s">
        <v>77</v>
      </c>
    </row>
    <row r="175" spans="1:14" ht="15" customHeight="1" x14ac:dyDescent="0.25">
      <c r="A175" s="996" t="s">
        <v>581</v>
      </c>
      <c r="B175" s="996" t="s">
        <v>605</v>
      </c>
      <c r="C175" s="981" t="s">
        <v>1662</v>
      </c>
      <c r="D175" s="1005" t="s">
        <v>514</v>
      </c>
      <c r="E175" s="993" t="s">
        <v>565</v>
      </c>
      <c r="F175" s="993" t="s">
        <v>566</v>
      </c>
      <c r="G175" s="993" t="s">
        <v>196</v>
      </c>
      <c r="H175" s="1006" t="s">
        <v>208</v>
      </c>
      <c r="I175" s="1005" t="s">
        <v>621</v>
      </c>
      <c r="J175" s="983" t="s">
        <v>571</v>
      </c>
      <c r="K175" s="983" t="s">
        <v>571</v>
      </c>
      <c r="L175" s="989">
        <v>63999</v>
      </c>
      <c r="M175" s="996" t="s">
        <v>605</v>
      </c>
      <c r="N175" s="993" t="s">
        <v>2113</v>
      </c>
    </row>
    <row r="176" spans="1:14" ht="15" customHeight="1" x14ac:dyDescent="0.25">
      <c r="A176" s="996" t="s">
        <v>581</v>
      </c>
      <c r="B176" s="996" t="s">
        <v>605</v>
      </c>
      <c r="C176" s="981" t="s">
        <v>1663</v>
      </c>
      <c r="D176" s="1005" t="s">
        <v>515</v>
      </c>
      <c r="E176" s="993" t="s">
        <v>565</v>
      </c>
      <c r="F176" s="993" t="s">
        <v>566</v>
      </c>
      <c r="G176" s="993" t="s">
        <v>196</v>
      </c>
      <c r="H176" s="1006" t="s">
        <v>208</v>
      </c>
      <c r="I176" s="1005" t="s">
        <v>621</v>
      </c>
      <c r="J176" s="983" t="s">
        <v>571</v>
      </c>
      <c r="K176" s="983" t="s">
        <v>571</v>
      </c>
      <c r="L176" s="989">
        <v>63999</v>
      </c>
      <c r="M176" s="996" t="s">
        <v>605</v>
      </c>
      <c r="N176" s="993" t="s">
        <v>2114</v>
      </c>
    </row>
    <row r="177" spans="1:14" ht="15" customHeight="1" x14ac:dyDescent="0.25">
      <c r="A177" s="996" t="s">
        <v>581</v>
      </c>
      <c r="B177" s="996" t="s">
        <v>605</v>
      </c>
      <c r="C177" s="981" t="s">
        <v>1660</v>
      </c>
      <c r="D177" s="1005" t="s">
        <v>629</v>
      </c>
      <c r="E177" s="985">
        <v>0</v>
      </c>
      <c r="F177" s="1008">
        <v>100</v>
      </c>
      <c r="G177" s="1005" t="s">
        <v>40</v>
      </c>
      <c r="H177" s="1005" t="s">
        <v>208</v>
      </c>
      <c r="I177" s="1005" t="s">
        <v>620</v>
      </c>
      <c r="J177" s="983" t="s">
        <v>571</v>
      </c>
      <c r="K177" s="983" t="s">
        <v>571</v>
      </c>
      <c r="L177" s="983" t="s">
        <v>571</v>
      </c>
      <c r="M177" s="996" t="s">
        <v>605</v>
      </c>
      <c r="N177" s="993" t="s">
        <v>2115</v>
      </c>
    </row>
    <row r="178" spans="1:14" ht="15" customHeight="1" x14ac:dyDescent="0.25">
      <c r="A178" s="996" t="s">
        <v>581</v>
      </c>
      <c r="B178" s="996" t="s">
        <v>605</v>
      </c>
      <c r="C178" s="981" t="s">
        <v>1664</v>
      </c>
      <c r="D178" s="1005" t="s">
        <v>630</v>
      </c>
      <c r="E178" s="985">
        <v>0</v>
      </c>
      <c r="F178" s="1008">
        <v>200</v>
      </c>
      <c r="G178" s="1005" t="s">
        <v>382</v>
      </c>
      <c r="H178" s="1005" t="s">
        <v>208</v>
      </c>
      <c r="I178" s="1005" t="s">
        <v>112</v>
      </c>
      <c r="J178" s="989">
        <v>9</v>
      </c>
      <c r="K178" s="989">
        <v>3</v>
      </c>
      <c r="L178" s="983" t="s">
        <v>571</v>
      </c>
      <c r="M178" s="996" t="s">
        <v>605</v>
      </c>
      <c r="N178" s="993" t="s">
        <v>2116</v>
      </c>
    </row>
    <row r="179" spans="1:14" ht="15" customHeight="1" x14ac:dyDescent="0.25">
      <c r="A179" s="996" t="s">
        <v>581</v>
      </c>
      <c r="B179" s="996" t="s">
        <v>605</v>
      </c>
      <c r="C179" s="981" t="s">
        <v>1661</v>
      </c>
      <c r="D179" s="1005" t="s">
        <v>516</v>
      </c>
      <c r="E179" s="993" t="s">
        <v>565</v>
      </c>
      <c r="F179" s="993" t="s">
        <v>566</v>
      </c>
      <c r="G179" s="993" t="s">
        <v>196</v>
      </c>
      <c r="H179" s="1005" t="s">
        <v>208</v>
      </c>
      <c r="I179" s="1005" t="s">
        <v>621</v>
      </c>
      <c r="J179" s="983" t="s">
        <v>571</v>
      </c>
      <c r="K179" s="983" t="s">
        <v>571</v>
      </c>
      <c r="L179" s="989">
        <v>63999</v>
      </c>
      <c r="M179" s="996" t="s">
        <v>605</v>
      </c>
      <c r="N179" s="993" t="s">
        <v>2117</v>
      </c>
    </row>
    <row r="180" spans="1:14" ht="15" customHeight="1" x14ac:dyDescent="0.25">
      <c r="A180" s="999" t="s">
        <v>571</v>
      </c>
      <c r="B180" s="999" t="s">
        <v>571</v>
      </c>
      <c r="C180" s="999" t="s">
        <v>571</v>
      </c>
      <c r="D180" s="999" t="s">
        <v>571</v>
      </c>
      <c r="E180" s="999" t="s">
        <v>571</v>
      </c>
      <c r="F180" s="999" t="s">
        <v>571</v>
      </c>
      <c r="G180" s="999" t="s">
        <v>571</v>
      </c>
      <c r="H180" s="999" t="s">
        <v>571</v>
      </c>
      <c r="I180" s="999" t="s">
        <v>571</v>
      </c>
      <c r="J180" s="991" t="s">
        <v>571</v>
      </c>
      <c r="K180" s="991" t="s">
        <v>571</v>
      </c>
      <c r="L180" s="991" t="s">
        <v>571</v>
      </c>
      <c r="M180" s="999" t="s">
        <v>571</v>
      </c>
      <c r="N180" s="999" t="s">
        <v>571</v>
      </c>
    </row>
    <row r="181" spans="1:14" ht="15" customHeight="1" x14ac:dyDescent="0.25">
      <c r="A181" s="996" t="s">
        <v>581</v>
      </c>
      <c r="B181" s="996" t="s">
        <v>606</v>
      </c>
      <c r="C181" s="981" t="s">
        <v>1637</v>
      </c>
      <c r="D181" s="1005" t="s">
        <v>578</v>
      </c>
      <c r="E181" s="993" t="s">
        <v>565</v>
      </c>
      <c r="F181" s="993" t="s">
        <v>566</v>
      </c>
      <c r="G181" s="993" t="s">
        <v>196</v>
      </c>
      <c r="H181" s="1005" t="s">
        <v>206</v>
      </c>
      <c r="I181" s="1005" t="s">
        <v>621</v>
      </c>
      <c r="J181" s="983" t="s">
        <v>571</v>
      </c>
      <c r="K181" s="983" t="s">
        <v>571</v>
      </c>
      <c r="L181" s="989">
        <v>63999</v>
      </c>
      <c r="M181" s="996" t="s">
        <v>606</v>
      </c>
      <c r="N181" s="993" t="s">
        <v>154</v>
      </c>
    </row>
    <row r="182" spans="1:14" ht="15" customHeight="1" x14ac:dyDescent="0.25">
      <c r="A182" s="996" t="s">
        <v>581</v>
      </c>
      <c r="B182" s="996" t="s">
        <v>606</v>
      </c>
      <c r="C182" s="981" t="s">
        <v>1576</v>
      </c>
      <c r="D182" s="1005" t="s">
        <v>209</v>
      </c>
      <c r="E182" s="1007">
        <v>1</v>
      </c>
      <c r="F182" s="1007">
        <f t="shared" ref="F182:F183" ca="1" si="1">TODAY()</f>
        <v>42879</v>
      </c>
      <c r="G182" s="1005" t="s">
        <v>116</v>
      </c>
      <c r="H182" s="1005" t="s">
        <v>206</v>
      </c>
      <c r="I182" s="1005" t="s">
        <v>569</v>
      </c>
      <c r="J182" s="983" t="s">
        <v>571</v>
      </c>
      <c r="K182" s="983" t="s">
        <v>571</v>
      </c>
      <c r="L182" s="983" t="s">
        <v>571</v>
      </c>
      <c r="M182" s="996" t="s">
        <v>606</v>
      </c>
      <c r="N182" s="993" t="s">
        <v>2055</v>
      </c>
    </row>
    <row r="183" spans="1:14" ht="15" customHeight="1" x14ac:dyDescent="0.25">
      <c r="A183" s="996" t="s">
        <v>581</v>
      </c>
      <c r="B183" s="996" t="s">
        <v>606</v>
      </c>
      <c r="C183" s="981" t="s">
        <v>1577</v>
      </c>
      <c r="D183" s="1005" t="s">
        <v>210</v>
      </c>
      <c r="E183" s="1007">
        <v>1</v>
      </c>
      <c r="F183" s="1007">
        <f t="shared" ca="1" si="1"/>
        <v>42879</v>
      </c>
      <c r="G183" s="1005" t="s">
        <v>116</v>
      </c>
      <c r="H183" s="1005" t="s">
        <v>206</v>
      </c>
      <c r="I183" s="1005" t="s">
        <v>569</v>
      </c>
      <c r="J183" s="983" t="s">
        <v>571</v>
      </c>
      <c r="K183" s="983" t="s">
        <v>571</v>
      </c>
      <c r="L183" s="983" t="s">
        <v>571</v>
      </c>
      <c r="M183" s="996" t="s">
        <v>606</v>
      </c>
      <c r="N183" s="993" t="s">
        <v>2067</v>
      </c>
    </row>
    <row r="184" spans="1:14" ht="15" customHeight="1" x14ac:dyDescent="0.25">
      <c r="A184" s="996" t="s">
        <v>581</v>
      </c>
      <c r="B184" s="996" t="s">
        <v>606</v>
      </c>
      <c r="C184" s="981" t="s">
        <v>1598</v>
      </c>
      <c r="D184" s="1005" t="s">
        <v>229</v>
      </c>
      <c r="E184" s="993" t="s">
        <v>565</v>
      </c>
      <c r="F184" s="993" t="s">
        <v>566</v>
      </c>
      <c r="G184" s="993" t="s">
        <v>196</v>
      </c>
      <c r="H184" s="1006" t="s">
        <v>208</v>
      </c>
      <c r="I184" s="1005" t="s">
        <v>621</v>
      </c>
      <c r="J184" s="983" t="s">
        <v>571</v>
      </c>
      <c r="K184" s="983" t="s">
        <v>571</v>
      </c>
      <c r="L184" s="989">
        <v>63999</v>
      </c>
      <c r="M184" s="996" t="s">
        <v>606</v>
      </c>
      <c r="N184" s="993" t="s">
        <v>152</v>
      </c>
    </row>
    <row r="185" spans="1:14" ht="15" customHeight="1" x14ac:dyDescent="0.25">
      <c r="A185" s="996" t="s">
        <v>581</v>
      </c>
      <c r="B185" s="996" t="s">
        <v>606</v>
      </c>
      <c r="C185" s="981" t="s">
        <v>1669</v>
      </c>
      <c r="D185" s="1005" t="s">
        <v>289</v>
      </c>
      <c r="E185" s="993">
        <v>0</v>
      </c>
      <c r="F185" s="993">
        <v>200</v>
      </c>
      <c r="G185" s="1005" t="s">
        <v>136</v>
      </c>
      <c r="H185" s="1006" t="s">
        <v>208</v>
      </c>
      <c r="I185" s="1005" t="s">
        <v>112</v>
      </c>
      <c r="J185" s="989">
        <v>9</v>
      </c>
      <c r="K185" s="989">
        <v>3</v>
      </c>
      <c r="L185" s="983" t="s">
        <v>571</v>
      </c>
      <c r="M185" s="996" t="s">
        <v>606</v>
      </c>
      <c r="N185" s="993" t="s">
        <v>2118</v>
      </c>
    </row>
    <row r="186" spans="1:14" ht="15" customHeight="1" x14ac:dyDescent="0.25">
      <c r="A186" s="996" t="s">
        <v>581</v>
      </c>
      <c r="B186" s="996" t="s">
        <v>606</v>
      </c>
      <c r="C186" s="981" t="s">
        <v>1670</v>
      </c>
      <c r="D186" s="1005" t="s">
        <v>290</v>
      </c>
      <c r="E186" s="993" t="s">
        <v>565</v>
      </c>
      <c r="F186" s="993" t="s">
        <v>566</v>
      </c>
      <c r="G186" s="1005" t="s">
        <v>196</v>
      </c>
      <c r="H186" s="1006" t="s">
        <v>208</v>
      </c>
      <c r="I186" s="1005" t="s">
        <v>621</v>
      </c>
      <c r="J186" s="983" t="s">
        <v>571</v>
      </c>
      <c r="K186" s="983" t="s">
        <v>571</v>
      </c>
      <c r="L186" s="989">
        <v>63999</v>
      </c>
      <c r="M186" s="996" t="s">
        <v>606</v>
      </c>
      <c r="N186" s="993" t="s">
        <v>83</v>
      </c>
    </row>
    <row r="187" spans="1:14" ht="15" customHeight="1" x14ac:dyDescent="0.25">
      <c r="A187" s="996" t="s">
        <v>581</v>
      </c>
      <c r="B187" s="996" t="s">
        <v>606</v>
      </c>
      <c r="C187" s="981" t="s">
        <v>1665</v>
      </c>
      <c r="D187" s="1005" t="s">
        <v>291</v>
      </c>
      <c r="E187" s="993" t="s">
        <v>565</v>
      </c>
      <c r="F187" s="993" t="s">
        <v>566</v>
      </c>
      <c r="G187" s="993" t="s">
        <v>196</v>
      </c>
      <c r="H187" s="1006" t="s">
        <v>208</v>
      </c>
      <c r="I187" s="1005" t="s">
        <v>621</v>
      </c>
      <c r="J187" s="983" t="s">
        <v>571</v>
      </c>
      <c r="K187" s="983" t="s">
        <v>571</v>
      </c>
      <c r="L187" s="989">
        <v>63999</v>
      </c>
      <c r="M187" s="996" t="s">
        <v>606</v>
      </c>
      <c r="N187" s="993" t="s">
        <v>159</v>
      </c>
    </row>
    <row r="188" spans="1:14" ht="15" customHeight="1" x14ac:dyDescent="0.25">
      <c r="A188" s="996" t="s">
        <v>581</v>
      </c>
      <c r="B188" s="996" t="s">
        <v>606</v>
      </c>
      <c r="C188" s="981" t="s">
        <v>1666</v>
      </c>
      <c r="D188" s="1005" t="s">
        <v>292</v>
      </c>
      <c r="E188" s="993" t="s">
        <v>565</v>
      </c>
      <c r="F188" s="993" t="s">
        <v>566</v>
      </c>
      <c r="G188" s="993" t="s">
        <v>196</v>
      </c>
      <c r="H188" s="1006" t="s">
        <v>208</v>
      </c>
      <c r="I188" s="1005" t="s">
        <v>621</v>
      </c>
      <c r="J188" s="983" t="s">
        <v>571</v>
      </c>
      <c r="K188" s="983" t="s">
        <v>571</v>
      </c>
      <c r="L188" s="989">
        <v>63999</v>
      </c>
      <c r="M188" s="996" t="s">
        <v>606</v>
      </c>
      <c r="N188" s="993" t="s">
        <v>2119</v>
      </c>
    </row>
    <row r="189" spans="1:14" ht="15" customHeight="1" x14ac:dyDescent="0.25">
      <c r="A189" s="996" t="s">
        <v>581</v>
      </c>
      <c r="B189" s="996" t="s">
        <v>606</v>
      </c>
      <c r="C189" s="981" t="s">
        <v>1668</v>
      </c>
      <c r="D189" s="1005" t="s">
        <v>293</v>
      </c>
      <c r="E189" s="985">
        <v>0</v>
      </c>
      <c r="F189" s="985">
        <v>10</v>
      </c>
      <c r="G189" s="1005" t="s">
        <v>177</v>
      </c>
      <c r="H189" s="1006" t="s">
        <v>208</v>
      </c>
      <c r="I189" s="1005" t="s">
        <v>112</v>
      </c>
      <c r="J189" s="989">
        <v>9</v>
      </c>
      <c r="K189" s="989">
        <v>3</v>
      </c>
      <c r="L189" s="983" t="s">
        <v>571</v>
      </c>
      <c r="M189" s="996" t="s">
        <v>606</v>
      </c>
      <c r="N189" s="993" t="s">
        <v>2120</v>
      </c>
    </row>
    <row r="190" spans="1:14" ht="15" customHeight="1" x14ac:dyDescent="0.25">
      <c r="A190" s="996" t="s">
        <v>581</v>
      </c>
      <c r="B190" s="996" t="s">
        <v>606</v>
      </c>
      <c r="C190" s="981" t="s">
        <v>1667</v>
      </c>
      <c r="D190" s="1005" t="s">
        <v>294</v>
      </c>
      <c r="E190" s="993" t="s">
        <v>565</v>
      </c>
      <c r="F190" s="993" t="s">
        <v>566</v>
      </c>
      <c r="G190" s="993" t="s">
        <v>196</v>
      </c>
      <c r="H190" s="1006" t="s">
        <v>208</v>
      </c>
      <c r="I190" s="1005" t="s">
        <v>621</v>
      </c>
      <c r="J190" s="983" t="s">
        <v>571</v>
      </c>
      <c r="K190" s="983" t="s">
        <v>571</v>
      </c>
      <c r="L190" s="989">
        <v>63999</v>
      </c>
      <c r="M190" s="996" t="s">
        <v>606</v>
      </c>
      <c r="N190" s="993" t="s">
        <v>508</v>
      </c>
    </row>
    <row r="191" spans="1:14" ht="15" customHeight="1" x14ac:dyDescent="0.25">
      <c r="A191" s="999" t="s">
        <v>571</v>
      </c>
      <c r="B191" s="999" t="s">
        <v>571</v>
      </c>
      <c r="C191" s="999" t="s">
        <v>571</v>
      </c>
      <c r="D191" s="999" t="s">
        <v>571</v>
      </c>
      <c r="E191" s="999" t="s">
        <v>571</v>
      </c>
      <c r="F191" s="999" t="s">
        <v>571</v>
      </c>
      <c r="G191" s="999" t="s">
        <v>571</v>
      </c>
      <c r="H191" s="999" t="s">
        <v>571</v>
      </c>
      <c r="I191" s="999" t="s">
        <v>571</v>
      </c>
      <c r="J191" s="991" t="s">
        <v>571</v>
      </c>
      <c r="K191" s="991" t="s">
        <v>571</v>
      </c>
      <c r="L191" s="991" t="s">
        <v>571</v>
      </c>
      <c r="M191" s="999" t="s">
        <v>571</v>
      </c>
      <c r="N191" s="999" t="s">
        <v>571</v>
      </c>
    </row>
    <row r="192" spans="1:14" ht="15" customHeight="1" x14ac:dyDescent="0.25">
      <c r="A192" s="987" t="s">
        <v>582</v>
      </c>
      <c r="B192" s="987" t="s">
        <v>607</v>
      </c>
      <c r="C192" s="981" t="s">
        <v>1637</v>
      </c>
      <c r="D192" s="1005" t="s">
        <v>578</v>
      </c>
      <c r="E192" s="993" t="s">
        <v>565</v>
      </c>
      <c r="F192" s="993" t="s">
        <v>566</v>
      </c>
      <c r="G192" s="993" t="s">
        <v>196</v>
      </c>
      <c r="H192" s="1005" t="s">
        <v>206</v>
      </c>
      <c r="I192" s="1005" t="s">
        <v>621</v>
      </c>
      <c r="J192" s="983" t="s">
        <v>571</v>
      </c>
      <c r="K192" s="983" t="s">
        <v>571</v>
      </c>
      <c r="L192" s="989">
        <v>63999</v>
      </c>
      <c r="M192" s="987" t="s">
        <v>607</v>
      </c>
      <c r="N192" s="993" t="s">
        <v>154</v>
      </c>
    </row>
    <row r="193" spans="1:14" ht="15" customHeight="1" x14ac:dyDescent="0.25">
      <c r="A193" s="987" t="s">
        <v>582</v>
      </c>
      <c r="B193" s="987" t="s">
        <v>607</v>
      </c>
      <c r="C193" s="981" t="s">
        <v>35</v>
      </c>
      <c r="D193" s="1005" t="s">
        <v>35</v>
      </c>
      <c r="E193" s="1007">
        <v>1</v>
      </c>
      <c r="F193" s="1007">
        <f ca="1">TODAY()</f>
        <v>42879</v>
      </c>
      <c r="G193" s="1005" t="s">
        <v>116</v>
      </c>
      <c r="H193" s="1005" t="s">
        <v>206</v>
      </c>
      <c r="I193" s="1005" t="s">
        <v>569</v>
      </c>
      <c r="J193" s="983" t="s">
        <v>571</v>
      </c>
      <c r="K193" s="983" t="s">
        <v>571</v>
      </c>
      <c r="L193" s="983" t="s">
        <v>571</v>
      </c>
      <c r="M193" s="987" t="s">
        <v>607</v>
      </c>
      <c r="N193" s="993" t="s">
        <v>35</v>
      </c>
    </row>
    <row r="194" spans="1:14" ht="15" customHeight="1" x14ac:dyDescent="0.25">
      <c r="A194" s="987" t="s">
        <v>582</v>
      </c>
      <c r="B194" s="987" t="s">
        <v>607</v>
      </c>
      <c r="C194" s="981" t="s">
        <v>1598</v>
      </c>
      <c r="D194" s="1005" t="s">
        <v>229</v>
      </c>
      <c r="E194" s="993" t="s">
        <v>565</v>
      </c>
      <c r="F194" s="993" t="s">
        <v>566</v>
      </c>
      <c r="G194" s="993" t="s">
        <v>196</v>
      </c>
      <c r="H194" s="1006" t="s">
        <v>208</v>
      </c>
      <c r="I194" s="1005" t="s">
        <v>621</v>
      </c>
      <c r="J194" s="983" t="s">
        <v>571</v>
      </c>
      <c r="K194" s="983" t="s">
        <v>571</v>
      </c>
      <c r="L194" s="989">
        <v>63999</v>
      </c>
      <c r="M194" s="987" t="s">
        <v>607</v>
      </c>
      <c r="N194" s="993" t="s">
        <v>152</v>
      </c>
    </row>
    <row r="195" spans="1:14" ht="15" customHeight="1" x14ac:dyDescent="0.25">
      <c r="A195" s="987" t="s">
        <v>582</v>
      </c>
      <c r="B195" s="987" t="s">
        <v>607</v>
      </c>
      <c r="C195" s="981" t="s">
        <v>1671</v>
      </c>
      <c r="D195" s="1005" t="s">
        <v>583</v>
      </c>
      <c r="E195" s="985">
        <v>0</v>
      </c>
      <c r="F195" s="1008">
        <v>200</v>
      </c>
      <c r="G195" s="1005" t="s">
        <v>46</v>
      </c>
      <c r="H195" s="1006" t="s">
        <v>208</v>
      </c>
      <c r="I195" s="1005" t="s">
        <v>620</v>
      </c>
      <c r="J195" s="983" t="s">
        <v>571</v>
      </c>
      <c r="K195" s="983" t="s">
        <v>571</v>
      </c>
      <c r="L195" s="983" t="s">
        <v>571</v>
      </c>
      <c r="M195" s="987" t="s">
        <v>607</v>
      </c>
      <c r="N195" s="993" t="s">
        <v>2121</v>
      </c>
    </row>
    <row r="196" spans="1:14" ht="15" customHeight="1" x14ac:dyDescent="0.25">
      <c r="A196" s="987" t="s">
        <v>582</v>
      </c>
      <c r="B196" s="987" t="s">
        <v>607</v>
      </c>
      <c r="C196" s="981" t="s">
        <v>1672</v>
      </c>
      <c r="D196" s="1005" t="s">
        <v>584</v>
      </c>
      <c r="E196" s="985">
        <v>0</v>
      </c>
      <c r="F196" s="1008">
        <v>200</v>
      </c>
      <c r="G196" s="1005" t="s">
        <v>46</v>
      </c>
      <c r="H196" s="1006" t="s">
        <v>208</v>
      </c>
      <c r="I196" s="1005" t="s">
        <v>620</v>
      </c>
      <c r="J196" s="983" t="s">
        <v>571</v>
      </c>
      <c r="K196" s="983" t="s">
        <v>571</v>
      </c>
      <c r="L196" s="983" t="s">
        <v>571</v>
      </c>
      <c r="M196" s="987" t="s">
        <v>607</v>
      </c>
      <c r="N196" s="993" t="s">
        <v>2122</v>
      </c>
    </row>
    <row r="197" spans="1:14" s="981" customFormat="1" ht="15" customHeight="1" x14ac:dyDescent="0.25">
      <c r="A197" s="987" t="s">
        <v>582</v>
      </c>
      <c r="B197" s="987" t="s">
        <v>607</v>
      </c>
      <c r="C197" s="981" t="s">
        <v>1673</v>
      </c>
      <c r="D197" s="1005" t="s">
        <v>241</v>
      </c>
      <c r="E197" s="1005">
        <v>0</v>
      </c>
      <c r="F197" s="1008">
        <v>100</v>
      </c>
      <c r="G197" s="1005" t="s">
        <v>40</v>
      </c>
      <c r="H197" s="1006" t="s">
        <v>208</v>
      </c>
      <c r="I197" s="1005" t="s">
        <v>112</v>
      </c>
      <c r="J197" s="989">
        <v>9</v>
      </c>
      <c r="K197" s="989">
        <v>3</v>
      </c>
      <c r="L197" s="983" t="s">
        <v>571</v>
      </c>
      <c r="M197" s="987" t="s">
        <v>607</v>
      </c>
      <c r="N197" s="993" t="s">
        <v>2123</v>
      </c>
    </row>
    <row r="198" spans="1:14" s="981" customFormat="1" ht="15" customHeight="1" x14ac:dyDescent="0.25">
      <c r="A198" s="987" t="s">
        <v>582</v>
      </c>
      <c r="B198" s="987" t="s">
        <v>607</v>
      </c>
      <c r="C198" s="981" t="s">
        <v>1674</v>
      </c>
      <c r="D198" s="1005" t="s">
        <v>242</v>
      </c>
      <c r="E198" s="1005">
        <v>0</v>
      </c>
      <c r="F198" s="1008">
        <v>100</v>
      </c>
      <c r="G198" s="1005" t="s">
        <v>40</v>
      </c>
      <c r="H198" s="1006" t="s">
        <v>208</v>
      </c>
      <c r="I198" s="1005" t="s">
        <v>112</v>
      </c>
      <c r="J198" s="989">
        <v>9</v>
      </c>
      <c r="K198" s="989">
        <v>3</v>
      </c>
      <c r="L198" s="983" t="s">
        <v>571</v>
      </c>
      <c r="M198" s="987" t="s">
        <v>607</v>
      </c>
      <c r="N198" s="993" t="s">
        <v>2124</v>
      </c>
    </row>
    <row r="199" spans="1:14" s="981" customFormat="1" ht="15" customHeight="1" x14ac:dyDescent="0.25">
      <c r="A199" s="987" t="s">
        <v>582</v>
      </c>
      <c r="B199" s="987" t="s">
        <v>607</v>
      </c>
      <c r="C199" s="981" t="s">
        <v>1675</v>
      </c>
      <c r="D199" s="1005" t="s">
        <v>243</v>
      </c>
      <c r="E199" s="1005">
        <v>0</v>
      </c>
      <c r="F199" s="1008">
        <v>100</v>
      </c>
      <c r="G199" s="1005" t="s">
        <v>40</v>
      </c>
      <c r="H199" s="1006" t="s">
        <v>208</v>
      </c>
      <c r="I199" s="1005" t="s">
        <v>112</v>
      </c>
      <c r="J199" s="989">
        <v>9</v>
      </c>
      <c r="K199" s="989">
        <v>3</v>
      </c>
      <c r="L199" s="983" t="s">
        <v>571</v>
      </c>
      <c r="M199" s="987" t="s">
        <v>607</v>
      </c>
      <c r="N199" s="993" t="s">
        <v>2125</v>
      </c>
    </row>
    <row r="200" spans="1:14" s="981" customFormat="1" ht="15" customHeight="1" x14ac:dyDescent="0.25">
      <c r="A200" s="987" t="s">
        <v>582</v>
      </c>
      <c r="B200" s="987" t="s">
        <v>607</v>
      </c>
      <c r="C200" s="981" t="s">
        <v>1676</v>
      </c>
      <c r="D200" s="998" t="s">
        <v>631</v>
      </c>
      <c r="E200" s="981">
        <v>0</v>
      </c>
      <c r="F200" s="1008">
        <v>3</v>
      </c>
      <c r="G200" s="1010" t="s">
        <v>2366</v>
      </c>
      <c r="H200" s="1006" t="s">
        <v>208</v>
      </c>
      <c r="I200" s="1005" t="s">
        <v>112</v>
      </c>
      <c r="J200" s="989">
        <v>9</v>
      </c>
      <c r="K200" s="989">
        <v>3</v>
      </c>
      <c r="L200" s="983" t="s">
        <v>571</v>
      </c>
      <c r="M200" s="987" t="s">
        <v>607</v>
      </c>
      <c r="N200" s="998" t="s">
        <v>2126</v>
      </c>
    </row>
    <row r="201" spans="1:14" ht="15" customHeight="1" x14ac:dyDescent="0.25">
      <c r="A201" s="987" t="s">
        <v>582</v>
      </c>
      <c r="B201" s="987" t="s">
        <v>607</v>
      </c>
      <c r="C201" s="981" t="s">
        <v>1677</v>
      </c>
      <c r="D201" s="1005" t="s">
        <v>632</v>
      </c>
      <c r="E201" s="1005">
        <v>5</v>
      </c>
      <c r="F201" s="1008">
        <v>50</v>
      </c>
      <c r="G201" s="1005" t="s">
        <v>245</v>
      </c>
      <c r="H201" s="1006" t="s">
        <v>208</v>
      </c>
      <c r="I201" s="1005" t="s">
        <v>112</v>
      </c>
      <c r="J201" s="989">
        <v>9</v>
      </c>
      <c r="K201" s="989">
        <v>3</v>
      </c>
      <c r="L201" s="983" t="s">
        <v>571</v>
      </c>
      <c r="M201" s="987" t="s">
        <v>607</v>
      </c>
      <c r="N201" s="993" t="s">
        <v>2127</v>
      </c>
    </row>
    <row r="202" spans="1:14" s="981" customFormat="1" ht="15" customHeight="1" x14ac:dyDescent="0.25">
      <c r="A202" s="987" t="s">
        <v>582</v>
      </c>
      <c r="B202" s="987" t="s">
        <v>607</v>
      </c>
      <c r="C202" s="981" t="s">
        <v>1678</v>
      </c>
      <c r="D202" s="1005" t="s">
        <v>633</v>
      </c>
      <c r="E202" s="1005">
        <v>0</v>
      </c>
      <c r="F202" s="1008">
        <v>0.01</v>
      </c>
      <c r="G202" s="1005" t="s">
        <v>245</v>
      </c>
      <c r="H202" s="1006" t="s">
        <v>208</v>
      </c>
      <c r="I202" s="1005" t="s">
        <v>112</v>
      </c>
      <c r="J202" s="989">
        <v>9</v>
      </c>
      <c r="K202" s="989">
        <v>3</v>
      </c>
      <c r="L202" s="983" t="s">
        <v>571</v>
      </c>
      <c r="M202" s="987" t="s">
        <v>607</v>
      </c>
      <c r="N202" s="993" t="s">
        <v>2128</v>
      </c>
    </row>
    <row r="203" spans="1:14" s="981" customFormat="1" ht="15" customHeight="1" x14ac:dyDescent="0.25">
      <c r="A203" s="987" t="s">
        <v>582</v>
      </c>
      <c r="B203" s="987" t="s">
        <v>607</v>
      </c>
      <c r="C203" s="981" t="s">
        <v>1679</v>
      </c>
      <c r="D203" s="1005" t="s">
        <v>634</v>
      </c>
      <c r="E203" s="1005">
        <v>0</v>
      </c>
      <c r="F203" s="1011">
        <v>1000</v>
      </c>
      <c r="G203" s="1005" t="s">
        <v>44</v>
      </c>
      <c r="H203" s="1006" t="s">
        <v>208</v>
      </c>
      <c r="I203" s="1005" t="s">
        <v>112</v>
      </c>
      <c r="J203" s="989">
        <v>9</v>
      </c>
      <c r="K203" s="989">
        <v>3</v>
      </c>
      <c r="L203" s="983" t="s">
        <v>571</v>
      </c>
      <c r="M203" s="987" t="s">
        <v>607</v>
      </c>
      <c r="N203" s="993" t="s">
        <v>2129</v>
      </c>
    </row>
    <row r="204" spans="1:14" s="981" customFormat="1" ht="15" customHeight="1" x14ac:dyDescent="0.25">
      <c r="A204" s="987" t="s">
        <v>582</v>
      </c>
      <c r="B204" s="987" t="s">
        <v>607</v>
      </c>
      <c r="C204" s="981" t="s">
        <v>1680</v>
      </c>
      <c r="D204" s="1005" t="s">
        <v>887</v>
      </c>
      <c r="E204" s="985" t="s">
        <v>140</v>
      </c>
      <c r="F204" s="985" t="s">
        <v>141</v>
      </c>
      <c r="G204" s="1005" t="s">
        <v>196</v>
      </c>
      <c r="H204" s="1005" t="s">
        <v>208</v>
      </c>
      <c r="I204" s="1005" t="s">
        <v>572</v>
      </c>
      <c r="J204" s="983" t="s">
        <v>571</v>
      </c>
      <c r="K204" s="983" t="s">
        <v>571</v>
      </c>
      <c r="L204" s="983" t="s">
        <v>571</v>
      </c>
      <c r="M204" s="987" t="s">
        <v>607</v>
      </c>
      <c r="N204" s="993" t="s">
        <v>2130</v>
      </c>
    </row>
    <row r="205" spans="1:14" s="981" customFormat="1" ht="15" customHeight="1" x14ac:dyDescent="0.25">
      <c r="A205" s="987" t="s">
        <v>582</v>
      </c>
      <c r="B205" s="987" t="s">
        <v>607</v>
      </c>
      <c r="C205" s="981" t="s">
        <v>1681</v>
      </c>
      <c r="D205" s="1005" t="s">
        <v>307</v>
      </c>
      <c r="E205" s="985">
        <v>0</v>
      </c>
      <c r="F205" s="1008"/>
      <c r="G205" s="1005" t="s">
        <v>635</v>
      </c>
      <c r="H205" s="1005" t="s">
        <v>208</v>
      </c>
      <c r="I205" s="1005" t="s">
        <v>112</v>
      </c>
      <c r="J205" s="989">
        <v>9</v>
      </c>
      <c r="K205" s="989">
        <v>3</v>
      </c>
      <c r="L205" s="983" t="s">
        <v>571</v>
      </c>
      <c r="M205" s="987" t="s">
        <v>607</v>
      </c>
      <c r="N205" s="993" t="s">
        <v>2131</v>
      </c>
    </row>
    <row r="206" spans="1:14" s="981" customFormat="1" ht="15" customHeight="1" x14ac:dyDescent="0.25">
      <c r="A206" s="987" t="s">
        <v>582</v>
      </c>
      <c r="B206" s="987" t="s">
        <v>607</v>
      </c>
      <c r="C206" s="981" t="s">
        <v>2009</v>
      </c>
      <c r="D206" s="993" t="s">
        <v>2015</v>
      </c>
      <c r="E206" s="985">
        <v>0</v>
      </c>
      <c r="F206" s="1005">
        <v>100</v>
      </c>
      <c r="G206" s="1005" t="s">
        <v>40</v>
      </c>
      <c r="H206" s="1005" t="s">
        <v>208</v>
      </c>
      <c r="I206" s="1005" t="s">
        <v>112</v>
      </c>
      <c r="J206" s="989">
        <v>9</v>
      </c>
      <c r="K206" s="989">
        <v>3</v>
      </c>
      <c r="L206" s="983" t="s">
        <v>571</v>
      </c>
      <c r="M206" s="987" t="s">
        <v>607</v>
      </c>
      <c r="N206" s="993" t="s">
        <v>2132</v>
      </c>
    </row>
    <row r="207" spans="1:14" ht="15" customHeight="1" x14ac:dyDescent="0.25">
      <c r="A207" s="987" t="s">
        <v>582</v>
      </c>
      <c r="B207" s="987" t="s">
        <v>607</v>
      </c>
      <c r="C207" s="981" t="s">
        <v>1682</v>
      </c>
      <c r="D207" s="1005" t="s">
        <v>1979</v>
      </c>
      <c r="E207" s="985">
        <v>0</v>
      </c>
      <c r="F207" s="1005">
        <v>100</v>
      </c>
      <c r="G207" s="1005" t="s">
        <v>40</v>
      </c>
      <c r="H207" s="1005" t="s">
        <v>208</v>
      </c>
      <c r="I207" s="1005" t="s">
        <v>112</v>
      </c>
      <c r="J207" s="989">
        <v>9</v>
      </c>
      <c r="K207" s="989">
        <v>3</v>
      </c>
      <c r="L207" s="991" t="s">
        <v>571</v>
      </c>
      <c r="M207" s="987" t="s">
        <v>607</v>
      </c>
      <c r="N207" s="993" t="s">
        <v>2133</v>
      </c>
    </row>
    <row r="208" spans="1:14" s="981" customFormat="1" ht="15" customHeight="1" x14ac:dyDescent="0.25">
      <c r="A208" s="987" t="s">
        <v>582</v>
      </c>
      <c r="B208" s="987" t="s">
        <v>607</v>
      </c>
      <c r="C208" s="981" t="s">
        <v>1689</v>
      </c>
      <c r="D208" s="1005" t="s">
        <v>636</v>
      </c>
      <c r="E208" s="985">
        <v>0</v>
      </c>
      <c r="F208" s="1008">
        <v>1000</v>
      </c>
      <c r="G208" s="1005" t="s">
        <v>388</v>
      </c>
      <c r="H208" s="1005" t="s">
        <v>208</v>
      </c>
      <c r="I208" s="1005" t="s">
        <v>112</v>
      </c>
      <c r="J208" s="989">
        <v>9</v>
      </c>
      <c r="K208" s="989">
        <v>3</v>
      </c>
      <c r="L208" s="983" t="s">
        <v>571</v>
      </c>
      <c r="M208" s="987" t="s">
        <v>607</v>
      </c>
      <c r="N208" s="993" t="s">
        <v>2134</v>
      </c>
    </row>
    <row r="209" spans="1:14" s="981" customFormat="1" ht="15" customHeight="1" x14ac:dyDescent="0.25">
      <c r="A209" s="987" t="s">
        <v>582</v>
      </c>
      <c r="B209" s="987" t="s">
        <v>607</v>
      </c>
      <c r="C209" s="981" t="s">
        <v>1685</v>
      </c>
      <c r="D209" s="998" t="s">
        <v>709</v>
      </c>
      <c r="E209" s="981">
        <v>0</v>
      </c>
      <c r="F209" s="1008">
        <v>3</v>
      </c>
      <c r="G209" s="1012" t="s">
        <v>2366</v>
      </c>
      <c r="H209" s="1006" t="s">
        <v>208</v>
      </c>
      <c r="I209" s="1005" t="s">
        <v>112</v>
      </c>
      <c r="J209" s="989">
        <v>9</v>
      </c>
      <c r="K209" s="989">
        <v>3</v>
      </c>
      <c r="L209" s="983" t="s">
        <v>571</v>
      </c>
      <c r="M209" s="987" t="s">
        <v>607</v>
      </c>
      <c r="N209" s="998" t="s">
        <v>2135</v>
      </c>
    </row>
    <row r="210" spans="1:14" s="981" customFormat="1" ht="15" customHeight="1" x14ac:dyDescent="0.25">
      <c r="A210" s="987" t="s">
        <v>582</v>
      </c>
      <c r="B210" s="987" t="s">
        <v>607</v>
      </c>
      <c r="C210" s="981" t="s">
        <v>1683</v>
      </c>
      <c r="D210" s="1005" t="s">
        <v>710</v>
      </c>
      <c r="E210" s="985">
        <v>0</v>
      </c>
      <c r="F210" s="1008">
        <v>50</v>
      </c>
      <c r="G210" s="1005" t="s">
        <v>245</v>
      </c>
      <c r="H210" s="1005" t="s">
        <v>208</v>
      </c>
      <c r="I210" s="1005" t="s">
        <v>112</v>
      </c>
      <c r="J210" s="989">
        <v>9</v>
      </c>
      <c r="K210" s="989">
        <v>3</v>
      </c>
      <c r="L210" s="983" t="s">
        <v>571</v>
      </c>
      <c r="M210" s="987" t="s">
        <v>607</v>
      </c>
      <c r="N210" s="993" t="s">
        <v>2136</v>
      </c>
    </row>
    <row r="211" spans="1:14" s="981" customFormat="1" ht="15" customHeight="1" x14ac:dyDescent="0.25">
      <c r="A211" s="987" t="s">
        <v>582</v>
      </c>
      <c r="B211" s="987" t="s">
        <v>607</v>
      </c>
      <c r="C211" s="981" t="s">
        <v>1684</v>
      </c>
      <c r="D211" s="1005" t="s">
        <v>711</v>
      </c>
      <c r="E211" s="985">
        <v>0</v>
      </c>
      <c r="F211" s="1008">
        <v>0.01</v>
      </c>
      <c r="G211" s="1005" t="s">
        <v>245</v>
      </c>
      <c r="H211" s="1005" t="s">
        <v>208</v>
      </c>
      <c r="I211" s="1005" t="s">
        <v>112</v>
      </c>
      <c r="J211" s="989">
        <v>9</v>
      </c>
      <c r="K211" s="989">
        <v>3</v>
      </c>
      <c r="L211" s="983" t="s">
        <v>571</v>
      </c>
      <c r="M211" s="987" t="s">
        <v>607</v>
      </c>
      <c r="N211" s="993" t="s">
        <v>2137</v>
      </c>
    </row>
    <row r="212" spans="1:14" s="981" customFormat="1" ht="15" customHeight="1" x14ac:dyDescent="0.25">
      <c r="A212" s="987" t="s">
        <v>582</v>
      </c>
      <c r="B212" s="987" t="s">
        <v>607</v>
      </c>
      <c r="C212" s="981" t="s">
        <v>1686</v>
      </c>
      <c r="D212" s="1005" t="s">
        <v>712</v>
      </c>
      <c r="E212" s="985">
        <v>0</v>
      </c>
      <c r="F212" s="1011">
        <v>1000</v>
      </c>
      <c r="G212" s="1005" t="s">
        <v>44</v>
      </c>
      <c r="H212" s="1005" t="s">
        <v>208</v>
      </c>
      <c r="I212" s="1005" t="s">
        <v>112</v>
      </c>
      <c r="J212" s="989">
        <v>9</v>
      </c>
      <c r="K212" s="989">
        <v>3</v>
      </c>
      <c r="L212" s="983" t="s">
        <v>571</v>
      </c>
      <c r="M212" s="987" t="s">
        <v>607</v>
      </c>
      <c r="N212" s="993" t="s">
        <v>2138</v>
      </c>
    </row>
    <row r="213" spans="1:14" s="981" customFormat="1" ht="15" customHeight="1" x14ac:dyDescent="0.25">
      <c r="A213" s="987" t="s">
        <v>582</v>
      </c>
      <c r="B213" s="987" t="s">
        <v>607</v>
      </c>
      <c r="C213" s="981" t="s">
        <v>1687</v>
      </c>
      <c r="D213" s="1005" t="s">
        <v>713</v>
      </c>
      <c r="E213" s="985">
        <v>0</v>
      </c>
      <c r="F213" s="1008"/>
      <c r="G213" s="1005" t="s">
        <v>635</v>
      </c>
      <c r="H213" s="1005" t="s">
        <v>208</v>
      </c>
      <c r="I213" s="1005" t="s">
        <v>112</v>
      </c>
      <c r="J213" s="989">
        <v>9</v>
      </c>
      <c r="K213" s="989">
        <v>3</v>
      </c>
      <c r="L213" s="983" t="s">
        <v>571</v>
      </c>
      <c r="M213" s="987" t="s">
        <v>607</v>
      </c>
      <c r="N213" s="993" t="s">
        <v>2139</v>
      </c>
    </row>
    <row r="214" spans="1:14" s="981" customFormat="1" ht="15" customHeight="1" x14ac:dyDescent="0.25">
      <c r="A214" s="987" t="s">
        <v>582</v>
      </c>
      <c r="B214" s="987" t="s">
        <v>607</v>
      </c>
      <c r="C214" s="981" t="s">
        <v>1688</v>
      </c>
      <c r="D214" s="993" t="s">
        <v>2016</v>
      </c>
      <c r="E214" s="985">
        <v>0</v>
      </c>
      <c r="F214" s="1005">
        <v>100</v>
      </c>
      <c r="G214" s="1005" t="s">
        <v>40</v>
      </c>
      <c r="H214" s="1005" t="s">
        <v>208</v>
      </c>
      <c r="I214" s="1005" t="s">
        <v>112</v>
      </c>
      <c r="J214" s="989">
        <v>9</v>
      </c>
      <c r="K214" s="989">
        <v>3</v>
      </c>
      <c r="L214" s="983" t="s">
        <v>571</v>
      </c>
      <c r="M214" s="987" t="s">
        <v>607</v>
      </c>
      <c r="N214" s="993" t="s">
        <v>2140</v>
      </c>
    </row>
    <row r="215" spans="1:14" s="981" customFormat="1" ht="15" customHeight="1" x14ac:dyDescent="0.25">
      <c r="A215" s="987" t="s">
        <v>582</v>
      </c>
      <c r="B215" s="987" t="s">
        <v>607</v>
      </c>
      <c r="C215" s="981" t="s">
        <v>2374</v>
      </c>
      <c r="D215" s="1005" t="s">
        <v>1978</v>
      </c>
      <c r="E215" s="985">
        <v>0</v>
      </c>
      <c r="F215" s="1005">
        <v>100</v>
      </c>
      <c r="G215" s="1005" t="s">
        <v>40</v>
      </c>
      <c r="H215" s="1005" t="s">
        <v>208</v>
      </c>
      <c r="I215" s="1005" t="s">
        <v>112</v>
      </c>
      <c r="J215" s="989">
        <v>9</v>
      </c>
      <c r="K215" s="989">
        <v>3</v>
      </c>
      <c r="L215" s="983" t="s">
        <v>571</v>
      </c>
      <c r="M215" s="987" t="s">
        <v>607</v>
      </c>
      <c r="N215" s="993" t="s">
        <v>2141</v>
      </c>
    </row>
    <row r="216" spans="1:14" s="981" customFormat="1" ht="15" customHeight="1" x14ac:dyDescent="0.25">
      <c r="A216" s="987" t="s">
        <v>582</v>
      </c>
      <c r="B216" s="987" t="s">
        <v>607</v>
      </c>
      <c r="C216" s="981" t="s">
        <v>1690</v>
      </c>
      <c r="D216" s="1005" t="s">
        <v>714</v>
      </c>
      <c r="E216" s="985">
        <v>0</v>
      </c>
      <c r="F216" s="1008">
        <v>1000</v>
      </c>
      <c r="G216" s="1005" t="s">
        <v>388</v>
      </c>
      <c r="H216" s="1005" t="s">
        <v>208</v>
      </c>
      <c r="I216" s="1005" t="s">
        <v>112</v>
      </c>
      <c r="J216" s="989">
        <v>9</v>
      </c>
      <c r="K216" s="989">
        <v>3</v>
      </c>
      <c r="L216" s="983" t="s">
        <v>571</v>
      </c>
      <c r="M216" s="987" t="s">
        <v>607</v>
      </c>
      <c r="N216" s="993" t="s">
        <v>2142</v>
      </c>
    </row>
    <row r="217" spans="1:14" s="981" customFormat="1" ht="15" customHeight="1" x14ac:dyDescent="0.25">
      <c r="A217" s="999" t="s">
        <v>571</v>
      </c>
      <c r="B217" s="999" t="s">
        <v>571</v>
      </c>
      <c r="C217" s="999" t="s">
        <v>571</v>
      </c>
      <c r="D217" s="999" t="s">
        <v>571</v>
      </c>
      <c r="E217" s="999" t="s">
        <v>571</v>
      </c>
      <c r="F217" s="999" t="s">
        <v>571</v>
      </c>
      <c r="G217" s="999" t="s">
        <v>571</v>
      </c>
      <c r="H217" s="999" t="s">
        <v>571</v>
      </c>
      <c r="I217" s="999" t="s">
        <v>571</v>
      </c>
      <c r="J217" s="991" t="s">
        <v>571</v>
      </c>
      <c r="K217" s="991" t="s">
        <v>571</v>
      </c>
      <c r="L217" s="991" t="s">
        <v>571</v>
      </c>
      <c r="M217" s="999" t="s">
        <v>571</v>
      </c>
      <c r="N217" s="999" t="s">
        <v>571</v>
      </c>
    </row>
    <row r="218" spans="1:14" s="981" customFormat="1" ht="15" customHeight="1" x14ac:dyDescent="0.25">
      <c r="A218" s="987" t="s">
        <v>582</v>
      </c>
      <c r="B218" s="987" t="s">
        <v>608</v>
      </c>
      <c r="C218" s="981" t="s">
        <v>1637</v>
      </c>
      <c r="D218" s="1005" t="s">
        <v>578</v>
      </c>
      <c r="E218" s="993" t="s">
        <v>565</v>
      </c>
      <c r="F218" s="993" t="s">
        <v>566</v>
      </c>
      <c r="G218" s="993" t="s">
        <v>196</v>
      </c>
      <c r="H218" s="1005" t="s">
        <v>206</v>
      </c>
      <c r="I218" s="1005" t="s">
        <v>621</v>
      </c>
      <c r="J218" s="983" t="s">
        <v>571</v>
      </c>
      <c r="K218" s="983" t="s">
        <v>571</v>
      </c>
      <c r="L218" s="989">
        <v>63999</v>
      </c>
      <c r="M218" s="987" t="s">
        <v>608</v>
      </c>
      <c r="N218" s="993" t="s">
        <v>154</v>
      </c>
    </row>
    <row r="219" spans="1:14" s="981" customFormat="1" ht="15" customHeight="1" x14ac:dyDescent="0.25">
      <c r="A219" s="987" t="s">
        <v>582</v>
      </c>
      <c r="B219" s="987" t="s">
        <v>608</v>
      </c>
      <c r="C219" s="981" t="s">
        <v>35</v>
      </c>
      <c r="D219" s="1005" t="s">
        <v>491</v>
      </c>
      <c r="E219" s="1007">
        <v>1</v>
      </c>
      <c r="F219" s="1007">
        <f ca="1">TODAY()</f>
        <v>42879</v>
      </c>
      <c r="G219" s="1005" t="s">
        <v>116</v>
      </c>
      <c r="H219" s="1005" t="s">
        <v>206</v>
      </c>
      <c r="I219" s="1005" t="s">
        <v>569</v>
      </c>
      <c r="J219" s="983" t="s">
        <v>571</v>
      </c>
      <c r="K219" s="983" t="s">
        <v>571</v>
      </c>
      <c r="L219" s="983" t="s">
        <v>571</v>
      </c>
      <c r="M219" s="987" t="s">
        <v>608</v>
      </c>
      <c r="N219" s="993" t="s">
        <v>35</v>
      </c>
    </row>
    <row r="220" spans="1:14" s="981" customFormat="1" ht="15" customHeight="1" x14ac:dyDescent="0.25">
      <c r="A220" s="987" t="s">
        <v>582</v>
      </c>
      <c r="B220" s="987" t="s">
        <v>608</v>
      </c>
      <c r="C220" s="981" t="s">
        <v>1598</v>
      </c>
      <c r="D220" s="1005" t="s">
        <v>229</v>
      </c>
      <c r="E220" s="993" t="s">
        <v>565</v>
      </c>
      <c r="F220" s="993" t="s">
        <v>566</v>
      </c>
      <c r="G220" s="993" t="s">
        <v>196</v>
      </c>
      <c r="H220" s="1006" t="s">
        <v>208</v>
      </c>
      <c r="I220" s="1005" t="s">
        <v>621</v>
      </c>
      <c r="J220" s="983" t="s">
        <v>571</v>
      </c>
      <c r="K220" s="983" t="s">
        <v>571</v>
      </c>
      <c r="L220" s="989">
        <v>63999</v>
      </c>
      <c r="M220" s="987" t="s">
        <v>608</v>
      </c>
      <c r="N220" s="993" t="s">
        <v>152</v>
      </c>
    </row>
    <row r="221" spans="1:14" s="981" customFormat="1" ht="15" customHeight="1" x14ac:dyDescent="0.25">
      <c r="A221" s="987" t="s">
        <v>582</v>
      </c>
      <c r="B221" s="987" t="s">
        <v>608</v>
      </c>
      <c r="C221" s="981" t="s">
        <v>1671</v>
      </c>
      <c r="D221" s="1005" t="s">
        <v>296</v>
      </c>
      <c r="E221" s="985">
        <v>0</v>
      </c>
      <c r="F221" s="1008">
        <v>200</v>
      </c>
      <c r="G221" s="1005" t="s">
        <v>46</v>
      </c>
      <c r="H221" s="1005" t="s">
        <v>208</v>
      </c>
      <c r="I221" s="1005" t="s">
        <v>620</v>
      </c>
      <c r="J221" s="983" t="s">
        <v>571</v>
      </c>
      <c r="K221" s="983" t="s">
        <v>571</v>
      </c>
      <c r="L221" s="983" t="s">
        <v>571</v>
      </c>
      <c r="M221" s="987" t="s">
        <v>608</v>
      </c>
      <c r="N221" s="993" t="s">
        <v>2121</v>
      </c>
    </row>
    <row r="222" spans="1:14" s="981" customFormat="1" ht="15" customHeight="1" x14ac:dyDescent="0.25">
      <c r="A222" s="987" t="s">
        <v>582</v>
      </c>
      <c r="B222" s="987" t="s">
        <v>608</v>
      </c>
      <c r="C222" s="981" t="s">
        <v>1672</v>
      </c>
      <c r="D222" s="1005" t="s">
        <v>297</v>
      </c>
      <c r="E222" s="985">
        <v>0</v>
      </c>
      <c r="F222" s="1008">
        <v>200</v>
      </c>
      <c r="G222" s="1005" t="s">
        <v>46</v>
      </c>
      <c r="H222" s="1005" t="s">
        <v>208</v>
      </c>
      <c r="I222" s="1005" t="s">
        <v>620</v>
      </c>
      <c r="J222" s="983" t="s">
        <v>571</v>
      </c>
      <c r="K222" s="983" t="s">
        <v>571</v>
      </c>
      <c r="L222" s="983" t="s">
        <v>571</v>
      </c>
      <c r="M222" s="987" t="s">
        <v>608</v>
      </c>
      <c r="N222" s="993" t="s">
        <v>2122</v>
      </c>
    </row>
    <row r="223" spans="1:14" s="981" customFormat="1" ht="15" customHeight="1" x14ac:dyDescent="0.25">
      <c r="A223" s="987" t="s">
        <v>582</v>
      </c>
      <c r="B223" s="987" t="s">
        <v>608</v>
      </c>
      <c r="C223" s="981" t="s">
        <v>37</v>
      </c>
      <c r="D223" s="1005" t="s">
        <v>585</v>
      </c>
      <c r="E223" s="1005">
        <v>0</v>
      </c>
      <c r="F223" s="1008">
        <v>14</v>
      </c>
      <c r="G223" s="1013" t="s">
        <v>244</v>
      </c>
      <c r="H223" s="1006" t="s">
        <v>208</v>
      </c>
      <c r="I223" s="1005" t="s">
        <v>112</v>
      </c>
      <c r="J223" s="989">
        <v>9</v>
      </c>
      <c r="K223" s="989">
        <v>2</v>
      </c>
      <c r="L223" s="983" t="s">
        <v>571</v>
      </c>
      <c r="M223" s="987" t="s">
        <v>608</v>
      </c>
      <c r="N223" s="993" t="s">
        <v>37</v>
      </c>
    </row>
    <row r="224" spans="1:14" s="981" customFormat="1" ht="15" customHeight="1" x14ac:dyDescent="0.25">
      <c r="A224" s="987" t="s">
        <v>582</v>
      </c>
      <c r="B224" s="987" t="s">
        <v>608</v>
      </c>
      <c r="C224" s="981" t="s">
        <v>1691</v>
      </c>
      <c r="D224" s="1005" t="s">
        <v>298</v>
      </c>
      <c r="E224" s="985">
        <v>0</v>
      </c>
      <c r="F224" s="1008">
        <v>1000</v>
      </c>
      <c r="G224" s="1005" t="s">
        <v>1976</v>
      </c>
      <c r="H224" s="1005" t="s">
        <v>208</v>
      </c>
      <c r="I224" s="1005" t="s">
        <v>112</v>
      </c>
      <c r="J224" s="989">
        <v>9</v>
      </c>
      <c r="K224" s="989">
        <v>3</v>
      </c>
      <c r="L224" s="983" t="s">
        <v>571</v>
      </c>
      <c r="M224" s="987" t="s">
        <v>608</v>
      </c>
      <c r="N224" s="993" t="s">
        <v>2143</v>
      </c>
    </row>
    <row r="225" spans="1:14" s="981" customFormat="1" ht="15" customHeight="1" x14ac:dyDescent="0.25">
      <c r="A225" s="987" t="s">
        <v>582</v>
      </c>
      <c r="B225" s="987" t="s">
        <v>608</v>
      </c>
      <c r="C225" s="981" t="s">
        <v>1692</v>
      </c>
      <c r="D225" s="1005" t="s">
        <v>299</v>
      </c>
      <c r="E225" s="985">
        <v>0</v>
      </c>
      <c r="F225" s="1008">
        <v>1000</v>
      </c>
      <c r="G225" s="1005" t="s">
        <v>1977</v>
      </c>
      <c r="H225" s="1005" t="s">
        <v>208</v>
      </c>
      <c r="I225" s="1005" t="s">
        <v>112</v>
      </c>
      <c r="J225" s="989">
        <v>9</v>
      </c>
      <c r="K225" s="989">
        <v>3</v>
      </c>
      <c r="L225" s="983" t="s">
        <v>571</v>
      </c>
      <c r="M225" s="987" t="s">
        <v>608</v>
      </c>
      <c r="N225" s="993" t="s">
        <v>2144</v>
      </c>
    </row>
    <row r="226" spans="1:14" s="981" customFormat="1" ht="15" customHeight="1" x14ac:dyDescent="0.25">
      <c r="A226" s="987" t="s">
        <v>582</v>
      </c>
      <c r="B226" s="987" t="s">
        <v>608</v>
      </c>
      <c r="C226" s="981" t="s">
        <v>1693</v>
      </c>
      <c r="D226" s="1005" t="s">
        <v>300</v>
      </c>
      <c r="E226" s="985">
        <v>0</v>
      </c>
      <c r="F226" s="1008">
        <v>1000</v>
      </c>
      <c r="G226" s="1005" t="s">
        <v>1976</v>
      </c>
      <c r="H226" s="1005" t="s">
        <v>208</v>
      </c>
      <c r="I226" s="1005" t="s">
        <v>112</v>
      </c>
      <c r="J226" s="989">
        <v>9</v>
      </c>
      <c r="K226" s="989">
        <v>3</v>
      </c>
      <c r="L226" s="983" t="s">
        <v>571</v>
      </c>
      <c r="M226" s="987" t="s">
        <v>608</v>
      </c>
      <c r="N226" s="993" t="s">
        <v>2145</v>
      </c>
    </row>
    <row r="227" spans="1:14" s="981" customFormat="1" ht="15" customHeight="1" x14ac:dyDescent="0.25">
      <c r="A227" s="987" t="s">
        <v>582</v>
      </c>
      <c r="B227" s="987" t="s">
        <v>608</v>
      </c>
      <c r="C227" s="981" t="s">
        <v>1899</v>
      </c>
      <c r="D227" s="1005" t="s">
        <v>1524</v>
      </c>
      <c r="E227" s="985">
        <v>0</v>
      </c>
      <c r="F227" s="1008">
        <v>1000</v>
      </c>
      <c r="G227" s="1005" t="s">
        <v>1976</v>
      </c>
      <c r="H227" s="1005" t="s">
        <v>208</v>
      </c>
      <c r="I227" s="1005" t="s">
        <v>112</v>
      </c>
      <c r="J227" s="989">
        <v>9</v>
      </c>
      <c r="K227" s="989">
        <v>3</v>
      </c>
      <c r="L227" s="983" t="s">
        <v>571</v>
      </c>
      <c r="M227" s="987" t="s">
        <v>608</v>
      </c>
      <c r="N227" s="993" t="s">
        <v>2146</v>
      </c>
    </row>
    <row r="228" spans="1:14" s="981" customFormat="1" ht="15" customHeight="1" x14ac:dyDescent="0.25">
      <c r="A228" s="987" t="s">
        <v>582</v>
      </c>
      <c r="B228" s="987" t="s">
        <v>608</v>
      </c>
      <c r="C228" s="981" t="s">
        <v>1694</v>
      </c>
      <c r="D228" s="1005" t="s">
        <v>302</v>
      </c>
      <c r="E228" s="985">
        <v>0</v>
      </c>
      <c r="F228" s="1008">
        <v>1000</v>
      </c>
      <c r="G228" s="1005" t="s">
        <v>1976</v>
      </c>
      <c r="H228" s="1005" t="s">
        <v>208</v>
      </c>
      <c r="I228" s="1005" t="s">
        <v>112</v>
      </c>
      <c r="J228" s="989">
        <v>9</v>
      </c>
      <c r="K228" s="989">
        <v>3</v>
      </c>
      <c r="L228" s="983" t="s">
        <v>571</v>
      </c>
      <c r="M228" s="987" t="s">
        <v>608</v>
      </c>
      <c r="N228" s="993" t="s">
        <v>2147</v>
      </c>
    </row>
    <row r="229" spans="1:14" s="981" customFormat="1" ht="15" customHeight="1" x14ac:dyDescent="0.25">
      <c r="A229" s="987" t="s">
        <v>582</v>
      </c>
      <c r="B229" s="987" t="s">
        <v>608</v>
      </c>
      <c r="C229" s="981" t="s">
        <v>1695</v>
      </c>
      <c r="D229" s="1005" t="s">
        <v>308</v>
      </c>
      <c r="E229" s="985">
        <v>0</v>
      </c>
      <c r="F229" s="1008"/>
      <c r="G229" s="1005" t="s">
        <v>47</v>
      </c>
      <c r="H229" s="1005" t="s">
        <v>208</v>
      </c>
      <c r="I229" s="1005" t="s">
        <v>112</v>
      </c>
      <c r="J229" s="989">
        <v>9</v>
      </c>
      <c r="K229" s="989">
        <v>3</v>
      </c>
      <c r="L229" s="983" t="s">
        <v>571</v>
      </c>
      <c r="M229" s="987" t="s">
        <v>608</v>
      </c>
      <c r="N229" s="993" t="s">
        <v>2148</v>
      </c>
    </row>
    <row r="230" spans="1:14" s="981" customFormat="1" ht="15" customHeight="1" x14ac:dyDescent="0.25">
      <c r="A230" s="987" t="s">
        <v>582</v>
      </c>
      <c r="B230" s="987" t="s">
        <v>608</v>
      </c>
      <c r="C230" s="981" t="s">
        <v>1696</v>
      </c>
      <c r="D230" s="1005" t="s">
        <v>309</v>
      </c>
      <c r="E230" s="985">
        <v>0</v>
      </c>
      <c r="F230" s="1008">
        <v>1</v>
      </c>
      <c r="G230" s="1005" t="s">
        <v>310</v>
      </c>
      <c r="H230" s="1005" t="s">
        <v>208</v>
      </c>
      <c r="I230" s="1005" t="s">
        <v>112</v>
      </c>
      <c r="J230" s="989">
        <v>9</v>
      </c>
      <c r="K230" s="989">
        <v>3</v>
      </c>
      <c r="L230" s="983" t="s">
        <v>571</v>
      </c>
      <c r="M230" s="987" t="s">
        <v>608</v>
      </c>
      <c r="N230" s="993" t="s">
        <v>2149</v>
      </c>
    </row>
    <row r="231" spans="1:14" s="981" customFormat="1" ht="15" customHeight="1" x14ac:dyDescent="0.25">
      <c r="A231" s="987" t="s">
        <v>582</v>
      </c>
      <c r="B231" s="987" t="s">
        <v>608</v>
      </c>
      <c r="C231" s="981" t="s">
        <v>1697</v>
      </c>
      <c r="D231" s="1005" t="s">
        <v>311</v>
      </c>
      <c r="E231" s="985">
        <v>0</v>
      </c>
      <c r="F231" s="1008">
        <v>1000000</v>
      </c>
      <c r="G231" s="1005" t="s">
        <v>1021</v>
      </c>
      <c r="H231" s="1005" t="s">
        <v>208</v>
      </c>
      <c r="I231" s="1005" t="s">
        <v>112</v>
      </c>
      <c r="J231" s="989">
        <v>9</v>
      </c>
      <c r="K231" s="989">
        <v>3</v>
      </c>
      <c r="L231" s="983" t="s">
        <v>571</v>
      </c>
      <c r="M231" s="987" t="s">
        <v>608</v>
      </c>
      <c r="N231" s="993" t="s">
        <v>2150</v>
      </c>
    </row>
    <row r="232" spans="1:14" ht="15" customHeight="1" x14ac:dyDescent="0.25">
      <c r="A232" s="987" t="s">
        <v>582</v>
      </c>
      <c r="B232" s="987" t="s">
        <v>608</v>
      </c>
      <c r="C232" s="981" t="s">
        <v>1980</v>
      </c>
      <c r="D232" s="1005" t="s">
        <v>303</v>
      </c>
      <c r="E232" s="985">
        <v>0</v>
      </c>
      <c r="F232" s="1008">
        <v>1000000</v>
      </c>
      <c r="G232" s="1005" t="s">
        <v>637</v>
      </c>
      <c r="H232" s="1005" t="s">
        <v>208</v>
      </c>
      <c r="I232" s="1005" t="s">
        <v>112</v>
      </c>
      <c r="J232" s="989">
        <v>9</v>
      </c>
      <c r="K232" s="989">
        <v>3</v>
      </c>
      <c r="L232" s="983" t="s">
        <v>571</v>
      </c>
      <c r="M232" s="987" t="s">
        <v>608</v>
      </c>
      <c r="N232" s="993" t="s">
        <v>2151</v>
      </c>
    </row>
    <row r="233" spans="1:14" s="981" customFormat="1" ht="15" customHeight="1" x14ac:dyDescent="0.25">
      <c r="A233" s="987" t="s">
        <v>582</v>
      </c>
      <c r="B233" s="987" t="s">
        <v>608</v>
      </c>
      <c r="C233" s="981" t="s">
        <v>1902</v>
      </c>
      <c r="D233" s="1005" t="s">
        <v>304</v>
      </c>
      <c r="E233" s="985">
        <v>0</v>
      </c>
      <c r="F233" s="1008">
        <v>1000000</v>
      </c>
      <c r="G233" s="1005" t="s">
        <v>637</v>
      </c>
      <c r="H233" s="1005" t="s">
        <v>208</v>
      </c>
      <c r="I233" s="1005" t="s">
        <v>112</v>
      </c>
      <c r="J233" s="989">
        <v>9</v>
      </c>
      <c r="K233" s="989">
        <v>3</v>
      </c>
      <c r="L233" s="983" t="s">
        <v>571</v>
      </c>
      <c r="M233" s="987" t="s">
        <v>608</v>
      </c>
      <c r="N233" s="993" t="s">
        <v>2152</v>
      </c>
    </row>
    <row r="234" spans="1:14" s="981" customFormat="1" ht="15" customHeight="1" x14ac:dyDescent="0.25">
      <c r="A234" s="987" t="s">
        <v>582</v>
      </c>
      <c r="B234" s="987" t="s">
        <v>608</v>
      </c>
      <c r="C234" s="981" t="s">
        <v>1698</v>
      </c>
      <c r="D234" s="1005" t="s">
        <v>305</v>
      </c>
      <c r="E234" s="985">
        <v>0</v>
      </c>
      <c r="F234" s="1008">
        <v>1000000</v>
      </c>
      <c r="G234" s="1005" t="s">
        <v>1022</v>
      </c>
      <c r="H234" s="1005" t="s">
        <v>208</v>
      </c>
      <c r="I234" s="1005" t="s">
        <v>112</v>
      </c>
      <c r="J234" s="989">
        <v>9</v>
      </c>
      <c r="K234" s="989">
        <v>3</v>
      </c>
      <c r="L234" s="983" t="s">
        <v>571</v>
      </c>
      <c r="M234" s="987" t="s">
        <v>608</v>
      </c>
      <c r="N234" s="993" t="s">
        <v>2153</v>
      </c>
    </row>
    <row r="235" spans="1:14" s="981" customFormat="1" ht="15" customHeight="1" x14ac:dyDescent="0.25">
      <c r="A235" s="987" t="s">
        <v>582</v>
      </c>
      <c r="B235" s="987" t="s">
        <v>608</v>
      </c>
      <c r="C235" s="981" t="s">
        <v>1699</v>
      </c>
      <c r="D235" s="1005" t="s">
        <v>306</v>
      </c>
      <c r="E235" s="985">
        <v>0</v>
      </c>
      <c r="F235" s="1008">
        <v>1000000</v>
      </c>
      <c r="G235" s="1005" t="s">
        <v>1023</v>
      </c>
      <c r="H235" s="1005" t="s">
        <v>208</v>
      </c>
      <c r="I235" s="1005" t="s">
        <v>112</v>
      </c>
      <c r="J235" s="989">
        <v>9</v>
      </c>
      <c r="K235" s="989">
        <v>3</v>
      </c>
      <c r="L235" s="983" t="s">
        <v>571</v>
      </c>
      <c r="M235" s="987" t="s">
        <v>608</v>
      </c>
      <c r="N235" s="993" t="s">
        <v>2154</v>
      </c>
    </row>
    <row r="236" spans="1:14" s="981" customFormat="1" ht="15" customHeight="1" x14ac:dyDescent="0.25">
      <c r="A236" s="987" t="s">
        <v>582</v>
      </c>
      <c r="B236" s="987" t="s">
        <v>608</v>
      </c>
      <c r="C236" s="981" t="s">
        <v>1700</v>
      </c>
      <c r="D236" s="1005" t="s">
        <v>643</v>
      </c>
      <c r="E236" s="985">
        <v>0</v>
      </c>
      <c r="F236" s="1008">
        <v>1000000</v>
      </c>
      <c r="G236" s="1005" t="s">
        <v>1024</v>
      </c>
      <c r="H236" s="1005" t="s">
        <v>208</v>
      </c>
      <c r="I236" s="1005" t="s">
        <v>112</v>
      </c>
      <c r="J236" s="989">
        <v>9</v>
      </c>
      <c r="K236" s="989">
        <v>3</v>
      </c>
      <c r="L236" s="983" t="s">
        <v>571</v>
      </c>
      <c r="M236" s="987" t="s">
        <v>608</v>
      </c>
      <c r="N236" s="993" t="s">
        <v>2155</v>
      </c>
    </row>
    <row r="237" spans="1:14" s="981" customFormat="1" ht="15" customHeight="1" x14ac:dyDescent="0.25">
      <c r="A237" s="987" t="s">
        <v>582</v>
      </c>
      <c r="B237" s="987" t="s">
        <v>608</v>
      </c>
      <c r="C237" s="981" t="s">
        <v>1701</v>
      </c>
      <c r="D237" s="1005" t="s">
        <v>642</v>
      </c>
      <c r="E237" s="985">
        <v>0</v>
      </c>
      <c r="F237" s="1008">
        <v>1000000</v>
      </c>
      <c r="G237" s="1005" t="s">
        <v>1025</v>
      </c>
      <c r="H237" s="1005" t="s">
        <v>208</v>
      </c>
      <c r="I237" s="1005" t="s">
        <v>112</v>
      </c>
      <c r="J237" s="989">
        <v>9</v>
      </c>
      <c r="K237" s="989">
        <v>3</v>
      </c>
      <c r="L237" s="983" t="s">
        <v>571</v>
      </c>
      <c r="M237" s="987" t="s">
        <v>608</v>
      </c>
      <c r="N237" s="993" t="s">
        <v>2156</v>
      </c>
    </row>
    <row r="238" spans="1:14" ht="15" customHeight="1" x14ac:dyDescent="0.25">
      <c r="A238" s="987" t="s">
        <v>582</v>
      </c>
      <c r="B238" s="987" t="s">
        <v>608</v>
      </c>
      <c r="C238" s="981" t="s">
        <v>1702</v>
      </c>
      <c r="D238" s="1005" t="s">
        <v>641</v>
      </c>
      <c r="E238" s="985">
        <v>0</v>
      </c>
      <c r="F238" s="1008">
        <v>1000000</v>
      </c>
      <c r="G238" s="1005" t="s">
        <v>1015</v>
      </c>
      <c r="H238" s="1005" t="s">
        <v>208</v>
      </c>
      <c r="I238" s="1005" t="s">
        <v>112</v>
      </c>
      <c r="J238" s="989">
        <v>9</v>
      </c>
      <c r="K238" s="989">
        <v>3</v>
      </c>
      <c r="L238" s="983" t="s">
        <v>571</v>
      </c>
      <c r="M238" s="987" t="s">
        <v>608</v>
      </c>
      <c r="N238" s="993" t="s">
        <v>2157</v>
      </c>
    </row>
    <row r="239" spans="1:14" ht="15" customHeight="1" x14ac:dyDescent="0.25">
      <c r="A239" s="987" t="s">
        <v>582</v>
      </c>
      <c r="B239" s="987" t="s">
        <v>608</v>
      </c>
      <c r="C239" s="981" t="s">
        <v>1704</v>
      </c>
      <c r="D239" s="1005" t="s">
        <v>640</v>
      </c>
      <c r="E239" s="985">
        <v>0</v>
      </c>
      <c r="F239" s="1008">
        <v>1000000</v>
      </c>
      <c r="G239" s="1005" t="s">
        <v>1017</v>
      </c>
      <c r="H239" s="1005" t="s">
        <v>208</v>
      </c>
      <c r="I239" s="1005" t="s">
        <v>112</v>
      </c>
      <c r="J239" s="989">
        <v>9</v>
      </c>
      <c r="K239" s="989">
        <v>3</v>
      </c>
      <c r="L239" s="983" t="s">
        <v>571</v>
      </c>
      <c r="M239" s="987" t="s">
        <v>608</v>
      </c>
      <c r="N239" s="993" t="s">
        <v>2158</v>
      </c>
    </row>
    <row r="240" spans="1:14" ht="15" customHeight="1" x14ac:dyDescent="0.25">
      <c r="A240" s="987" t="s">
        <v>582</v>
      </c>
      <c r="B240" s="987" t="s">
        <v>608</v>
      </c>
      <c r="C240" s="981" t="s">
        <v>1703</v>
      </c>
      <c r="D240" s="1005" t="s">
        <v>639</v>
      </c>
      <c r="E240" s="985">
        <v>0</v>
      </c>
      <c r="F240" s="1008">
        <v>1000000</v>
      </c>
      <c r="G240" s="1005" t="s">
        <v>1018</v>
      </c>
      <c r="H240" s="1005" t="s">
        <v>208</v>
      </c>
      <c r="I240" s="1005" t="s">
        <v>112</v>
      </c>
      <c r="J240" s="989">
        <v>9</v>
      </c>
      <c r="K240" s="989">
        <v>3</v>
      </c>
      <c r="L240" s="983" t="s">
        <v>571</v>
      </c>
      <c r="M240" s="987" t="s">
        <v>608</v>
      </c>
      <c r="N240" s="993" t="s">
        <v>2159</v>
      </c>
    </row>
    <row r="241" spans="1:14" ht="15" customHeight="1" x14ac:dyDescent="0.25">
      <c r="A241" s="987" t="s">
        <v>582</v>
      </c>
      <c r="B241" s="987" t="s">
        <v>608</v>
      </c>
      <c r="C241" s="981" t="s">
        <v>1705</v>
      </c>
      <c r="D241" s="1005" t="s">
        <v>638</v>
      </c>
      <c r="E241" s="985">
        <v>0</v>
      </c>
      <c r="F241" s="1008">
        <v>1000000</v>
      </c>
      <c r="G241" s="1005" t="s">
        <v>1020</v>
      </c>
      <c r="H241" s="1005" t="s">
        <v>208</v>
      </c>
      <c r="I241" s="1005" t="s">
        <v>112</v>
      </c>
      <c r="J241" s="989">
        <v>9</v>
      </c>
      <c r="K241" s="989">
        <v>3</v>
      </c>
      <c r="L241" s="983" t="s">
        <v>571</v>
      </c>
      <c r="M241" s="987" t="s">
        <v>608</v>
      </c>
      <c r="N241" s="993" t="s">
        <v>2160</v>
      </c>
    </row>
    <row r="242" spans="1:14" ht="15" customHeight="1" x14ac:dyDescent="0.25">
      <c r="A242" s="987" t="s">
        <v>582</v>
      </c>
      <c r="B242" s="987" t="s">
        <v>608</v>
      </c>
      <c r="C242" s="981" t="s">
        <v>1706</v>
      </c>
      <c r="D242" s="1005" t="s">
        <v>1040</v>
      </c>
      <c r="E242" s="985">
        <v>0</v>
      </c>
      <c r="F242" s="1008">
        <v>1000</v>
      </c>
      <c r="G242" s="1005" t="s">
        <v>388</v>
      </c>
      <c r="H242" s="1005" t="s">
        <v>208</v>
      </c>
      <c r="I242" s="1005" t="s">
        <v>112</v>
      </c>
      <c r="J242" s="989">
        <v>9</v>
      </c>
      <c r="K242" s="989">
        <v>3</v>
      </c>
      <c r="L242" s="983" t="s">
        <v>571</v>
      </c>
      <c r="M242" s="987" t="s">
        <v>608</v>
      </c>
      <c r="N242" s="993" t="s">
        <v>2161</v>
      </c>
    </row>
    <row r="243" spans="1:14" ht="15" customHeight="1" x14ac:dyDescent="0.25">
      <c r="A243" s="987" t="s">
        <v>582</v>
      </c>
      <c r="B243" s="987" t="s">
        <v>608</v>
      </c>
      <c r="C243" s="981" t="s">
        <v>1707</v>
      </c>
      <c r="D243" s="1005" t="s">
        <v>644</v>
      </c>
      <c r="E243" s="985">
        <v>0</v>
      </c>
      <c r="F243" s="1008">
        <v>1000000</v>
      </c>
      <c r="G243" s="1005" t="s">
        <v>396</v>
      </c>
      <c r="H243" s="1005" t="s">
        <v>208</v>
      </c>
      <c r="I243" s="1005" t="s">
        <v>112</v>
      </c>
      <c r="J243" s="989">
        <v>9</v>
      </c>
      <c r="K243" s="989">
        <v>3</v>
      </c>
      <c r="L243" s="983" t="s">
        <v>571</v>
      </c>
      <c r="M243" s="987" t="s">
        <v>608</v>
      </c>
      <c r="N243" s="993" t="s">
        <v>2162</v>
      </c>
    </row>
    <row r="244" spans="1:14" ht="15" customHeight="1" x14ac:dyDescent="0.25">
      <c r="A244" s="987" t="s">
        <v>582</v>
      </c>
      <c r="B244" s="987" t="s">
        <v>608</v>
      </c>
      <c r="C244" s="981" t="s">
        <v>1708</v>
      </c>
      <c r="D244" s="1005" t="s">
        <v>715</v>
      </c>
      <c r="E244" s="985">
        <v>0</v>
      </c>
      <c r="F244" s="1008">
        <v>14</v>
      </c>
      <c r="G244" s="1013" t="s">
        <v>244</v>
      </c>
      <c r="H244" s="1005" t="s">
        <v>208</v>
      </c>
      <c r="I244" s="1005" t="s">
        <v>112</v>
      </c>
      <c r="J244" s="989">
        <v>9</v>
      </c>
      <c r="K244" s="989">
        <v>3</v>
      </c>
      <c r="L244" s="983" t="s">
        <v>571</v>
      </c>
      <c r="M244" s="987" t="s">
        <v>608</v>
      </c>
      <c r="N244" s="993" t="s">
        <v>2163</v>
      </c>
    </row>
    <row r="245" spans="1:14" s="981" customFormat="1" ht="15" customHeight="1" x14ac:dyDescent="0.25">
      <c r="A245" s="987" t="s">
        <v>582</v>
      </c>
      <c r="B245" s="987" t="s">
        <v>608</v>
      </c>
      <c r="C245" s="981" t="s">
        <v>1709</v>
      </c>
      <c r="D245" s="1005" t="s">
        <v>716</v>
      </c>
      <c r="E245" s="985">
        <v>0</v>
      </c>
      <c r="F245" s="1008">
        <v>1000</v>
      </c>
      <c r="G245" s="1005" t="s">
        <v>388</v>
      </c>
      <c r="H245" s="1005" t="s">
        <v>208</v>
      </c>
      <c r="I245" s="1005" t="s">
        <v>112</v>
      </c>
      <c r="J245" s="989">
        <v>9</v>
      </c>
      <c r="K245" s="989">
        <v>3</v>
      </c>
      <c r="L245" s="983" t="s">
        <v>571</v>
      </c>
      <c r="M245" s="987" t="s">
        <v>608</v>
      </c>
      <c r="N245" s="993" t="s">
        <v>2164</v>
      </c>
    </row>
    <row r="246" spans="1:14" ht="15" customHeight="1" x14ac:dyDescent="0.25">
      <c r="A246" s="987" t="s">
        <v>582</v>
      </c>
      <c r="B246" s="987" t="s">
        <v>608</v>
      </c>
      <c r="C246" s="981" t="s">
        <v>1710</v>
      </c>
      <c r="D246" s="1005" t="s">
        <v>717</v>
      </c>
      <c r="E246" s="985">
        <v>0</v>
      </c>
      <c r="F246" s="1008">
        <v>1000</v>
      </c>
      <c r="G246" s="1005" t="s">
        <v>388</v>
      </c>
      <c r="H246" s="1005" t="s">
        <v>208</v>
      </c>
      <c r="I246" s="1005" t="s">
        <v>112</v>
      </c>
      <c r="J246" s="989">
        <v>9</v>
      </c>
      <c r="K246" s="989">
        <v>3</v>
      </c>
      <c r="L246" s="983" t="s">
        <v>571</v>
      </c>
      <c r="M246" s="987" t="s">
        <v>608</v>
      </c>
      <c r="N246" s="993" t="s">
        <v>2165</v>
      </c>
    </row>
    <row r="247" spans="1:14" ht="15" customHeight="1" x14ac:dyDescent="0.25">
      <c r="A247" s="987" t="s">
        <v>582</v>
      </c>
      <c r="B247" s="987" t="s">
        <v>608</v>
      </c>
      <c r="C247" s="981" t="s">
        <v>1711</v>
      </c>
      <c r="D247" s="1005" t="s">
        <v>718</v>
      </c>
      <c r="E247" s="985">
        <v>0</v>
      </c>
      <c r="F247" s="1008">
        <v>1000</v>
      </c>
      <c r="G247" s="1005" t="s">
        <v>388</v>
      </c>
      <c r="H247" s="1005" t="s">
        <v>208</v>
      </c>
      <c r="I247" s="1005" t="s">
        <v>112</v>
      </c>
      <c r="J247" s="989">
        <v>9</v>
      </c>
      <c r="K247" s="989">
        <v>3</v>
      </c>
      <c r="L247" s="983" t="s">
        <v>571</v>
      </c>
      <c r="M247" s="987" t="s">
        <v>608</v>
      </c>
      <c r="N247" s="993" t="s">
        <v>2166</v>
      </c>
    </row>
    <row r="248" spans="1:14" ht="15" customHeight="1" x14ac:dyDescent="0.25">
      <c r="A248" s="987" t="s">
        <v>582</v>
      </c>
      <c r="B248" s="987" t="s">
        <v>608</v>
      </c>
      <c r="C248" s="981" t="s">
        <v>1712</v>
      </c>
      <c r="D248" s="1005" t="s">
        <v>719</v>
      </c>
      <c r="E248" s="985">
        <v>0</v>
      </c>
      <c r="F248" s="1008">
        <v>1000</v>
      </c>
      <c r="G248" s="1005" t="s">
        <v>388</v>
      </c>
      <c r="H248" s="1005" t="s">
        <v>208</v>
      </c>
      <c r="I248" s="1005" t="s">
        <v>112</v>
      </c>
      <c r="J248" s="989">
        <v>9</v>
      </c>
      <c r="K248" s="989">
        <v>3</v>
      </c>
      <c r="L248" s="983" t="s">
        <v>571</v>
      </c>
      <c r="M248" s="987" t="s">
        <v>608</v>
      </c>
      <c r="N248" s="993" t="s">
        <v>2167</v>
      </c>
    </row>
    <row r="249" spans="1:14" ht="15" customHeight="1" x14ac:dyDescent="0.25">
      <c r="A249" s="987" t="s">
        <v>582</v>
      </c>
      <c r="B249" s="987" t="s">
        <v>608</v>
      </c>
      <c r="C249" s="981" t="s">
        <v>1713</v>
      </c>
      <c r="D249" s="1005" t="s">
        <v>720</v>
      </c>
      <c r="E249" s="985">
        <v>0</v>
      </c>
      <c r="F249" s="1008">
        <v>1000</v>
      </c>
      <c r="G249" s="1005" t="s">
        <v>388</v>
      </c>
      <c r="H249" s="1005" t="s">
        <v>208</v>
      </c>
      <c r="I249" s="1005" t="s">
        <v>112</v>
      </c>
      <c r="J249" s="989">
        <v>9</v>
      </c>
      <c r="K249" s="989">
        <v>3</v>
      </c>
      <c r="L249" s="983" t="s">
        <v>571</v>
      </c>
      <c r="M249" s="987" t="s">
        <v>608</v>
      </c>
      <c r="N249" s="993" t="s">
        <v>2168</v>
      </c>
    </row>
    <row r="250" spans="1:14" ht="15" customHeight="1" x14ac:dyDescent="0.25">
      <c r="A250" s="987" t="s">
        <v>582</v>
      </c>
      <c r="B250" s="987" t="s">
        <v>608</v>
      </c>
      <c r="C250" s="981" t="s">
        <v>1714</v>
      </c>
      <c r="D250" s="1005" t="s">
        <v>721</v>
      </c>
      <c r="E250" s="985">
        <v>0</v>
      </c>
      <c r="F250" s="1008"/>
      <c r="G250" s="1005" t="s">
        <v>47</v>
      </c>
      <c r="H250" s="1005" t="s">
        <v>208</v>
      </c>
      <c r="I250" s="1005" t="s">
        <v>112</v>
      </c>
      <c r="J250" s="989">
        <v>9</v>
      </c>
      <c r="K250" s="989">
        <v>3</v>
      </c>
      <c r="L250" s="983" t="s">
        <v>571</v>
      </c>
      <c r="M250" s="987" t="s">
        <v>608</v>
      </c>
      <c r="N250" s="993" t="s">
        <v>2169</v>
      </c>
    </row>
    <row r="251" spans="1:14" s="981" customFormat="1" ht="15" customHeight="1" x14ac:dyDescent="0.25">
      <c r="A251" s="987" t="s">
        <v>582</v>
      </c>
      <c r="B251" s="987" t="s">
        <v>608</v>
      </c>
      <c r="C251" s="981" t="s">
        <v>1715</v>
      </c>
      <c r="D251" s="1005" t="s">
        <v>722</v>
      </c>
      <c r="E251" s="985">
        <v>0</v>
      </c>
      <c r="F251" s="1008">
        <v>1</v>
      </c>
      <c r="G251" s="1005" t="s">
        <v>310</v>
      </c>
      <c r="H251" s="1005" t="s">
        <v>208</v>
      </c>
      <c r="I251" s="1005" t="s">
        <v>112</v>
      </c>
      <c r="J251" s="989">
        <v>9</v>
      </c>
      <c r="K251" s="989">
        <v>3</v>
      </c>
      <c r="L251" s="983" t="s">
        <v>571</v>
      </c>
      <c r="M251" s="987" t="s">
        <v>608</v>
      </c>
      <c r="N251" s="993" t="s">
        <v>2170</v>
      </c>
    </row>
    <row r="252" spans="1:14" s="981" customFormat="1" ht="15" customHeight="1" x14ac:dyDescent="0.25">
      <c r="A252" s="987" t="s">
        <v>582</v>
      </c>
      <c r="B252" s="987" t="s">
        <v>608</v>
      </c>
      <c r="C252" s="981" t="s">
        <v>1716</v>
      </c>
      <c r="D252" s="1005" t="s">
        <v>723</v>
      </c>
      <c r="E252" s="985">
        <v>0</v>
      </c>
      <c r="F252" s="1008">
        <v>1000000</v>
      </c>
      <c r="G252" s="1005" t="s">
        <v>1021</v>
      </c>
      <c r="H252" s="1005" t="s">
        <v>208</v>
      </c>
      <c r="I252" s="1005" t="s">
        <v>112</v>
      </c>
      <c r="J252" s="989">
        <v>9</v>
      </c>
      <c r="K252" s="989">
        <v>3</v>
      </c>
      <c r="L252" s="983" t="s">
        <v>571</v>
      </c>
      <c r="M252" s="987" t="s">
        <v>608</v>
      </c>
      <c r="N252" s="993" t="s">
        <v>2171</v>
      </c>
    </row>
    <row r="253" spans="1:14" s="981" customFormat="1" ht="15" customHeight="1" x14ac:dyDescent="0.25">
      <c r="A253" s="987" t="s">
        <v>582</v>
      </c>
      <c r="B253" s="987" t="s">
        <v>608</v>
      </c>
      <c r="C253" s="981" t="s">
        <v>1915</v>
      </c>
      <c r="D253" s="1005" t="s">
        <v>724</v>
      </c>
      <c r="E253" s="985">
        <v>0</v>
      </c>
      <c r="F253" s="1008">
        <v>1000000</v>
      </c>
      <c r="G253" s="1005" t="s">
        <v>637</v>
      </c>
      <c r="H253" s="1005" t="s">
        <v>208</v>
      </c>
      <c r="I253" s="1005" t="s">
        <v>112</v>
      </c>
      <c r="J253" s="989">
        <v>9</v>
      </c>
      <c r="K253" s="989">
        <v>3</v>
      </c>
      <c r="L253" s="983" t="s">
        <v>571</v>
      </c>
      <c r="M253" s="987" t="s">
        <v>608</v>
      </c>
      <c r="N253" s="993" t="s">
        <v>2172</v>
      </c>
    </row>
    <row r="254" spans="1:14" ht="15" customHeight="1" x14ac:dyDescent="0.25">
      <c r="A254" s="987" t="s">
        <v>582</v>
      </c>
      <c r="B254" s="987" t="s">
        <v>608</v>
      </c>
      <c r="C254" s="981" t="s">
        <v>1916</v>
      </c>
      <c r="D254" s="1005" t="s">
        <v>725</v>
      </c>
      <c r="E254" s="985">
        <v>0</v>
      </c>
      <c r="F254" s="1008">
        <v>1000000</v>
      </c>
      <c r="G254" s="1005" t="s">
        <v>637</v>
      </c>
      <c r="H254" s="1005" t="s">
        <v>208</v>
      </c>
      <c r="I254" s="1005" t="s">
        <v>112</v>
      </c>
      <c r="J254" s="989">
        <v>9</v>
      </c>
      <c r="K254" s="989">
        <v>3</v>
      </c>
      <c r="L254" s="983" t="s">
        <v>571</v>
      </c>
      <c r="M254" s="987" t="s">
        <v>608</v>
      </c>
      <c r="N254" s="993" t="s">
        <v>2173</v>
      </c>
    </row>
    <row r="255" spans="1:14" ht="15" customHeight="1" x14ac:dyDescent="0.25">
      <c r="A255" s="987" t="s">
        <v>582</v>
      </c>
      <c r="B255" s="987" t="s">
        <v>608</v>
      </c>
      <c r="C255" s="981" t="s">
        <v>1717</v>
      </c>
      <c r="D255" s="1005" t="s">
        <v>726</v>
      </c>
      <c r="E255" s="985">
        <v>0</v>
      </c>
      <c r="F255" s="1008">
        <v>1000000</v>
      </c>
      <c r="G255" s="1005" t="s">
        <v>1022</v>
      </c>
      <c r="H255" s="1005" t="s">
        <v>208</v>
      </c>
      <c r="I255" s="1005" t="s">
        <v>112</v>
      </c>
      <c r="J255" s="989">
        <v>9</v>
      </c>
      <c r="K255" s="989">
        <v>3</v>
      </c>
      <c r="L255" s="983" t="s">
        <v>571</v>
      </c>
      <c r="M255" s="987" t="s">
        <v>608</v>
      </c>
      <c r="N255" s="993" t="s">
        <v>2174</v>
      </c>
    </row>
    <row r="256" spans="1:14" ht="15" customHeight="1" x14ac:dyDescent="0.25">
      <c r="A256" s="987" t="s">
        <v>582</v>
      </c>
      <c r="B256" s="987" t="s">
        <v>608</v>
      </c>
      <c r="C256" s="981" t="s">
        <v>1718</v>
      </c>
      <c r="D256" s="1005" t="s">
        <v>727</v>
      </c>
      <c r="E256" s="985">
        <v>0</v>
      </c>
      <c r="F256" s="1008">
        <v>1000000</v>
      </c>
      <c r="G256" s="1005" t="s">
        <v>1023</v>
      </c>
      <c r="H256" s="1005" t="s">
        <v>208</v>
      </c>
      <c r="I256" s="1005" t="s">
        <v>112</v>
      </c>
      <c r="J256" s="989">
        <v>9</v>
      </c>
      <c r="K256" s="989">
        <v>3</v>
      </c>
      <c r="L256" s="983" t="s">
        <v>571</v>
      </c>
      <c r="M256" s="987" t="s">
        <v>608</v>
      </c>
      <c r="N256" s="993" t="s">
        <v>2175</v>
      </c>
    </row>
    <row r="257" spans="1:14" ht="15" customHeight="1" x14ac:dyDescent="0.25">
      <c r="A257" s="987" t="s">
        <v>582</v>
      </c>
      <c r="B257" s="987" t="s">
        <v>608</v>
      </c>
      <c r="C257" s="981" t="s">
        <v>1719</v>
      </c>
      <c r="D257" s="1005" t="s">
        <v>728</v>
      </c>
      <c r="E257" s="985">
        <v>0</v>
      </c>
      <c r="F257" s="1008">
        <v>1000000</v>
      </c>
      <c r="G257" s="1005" t="s">
        <v>1024</v>
      </c>
      <c r="H257" s="1005" t="s">
        <v>208</v>
      </c>
      <c r="I257" s="1005" t="s">
        <v>112</v>
      </c>
      <c r="J257" s="989">
        <v>9</v>
      </c>
      <c r="K257" s="989">
        <v>3</v>
      </c>
      <c r="L257" s="983" t="s">
        <v>571</v>
      </c>
      <c r="M257" s="987" t="s">
        <v>608</v>
      </c>
      <c r="N257" s="993" t="s">
        <v>2176</v>
      </c>
    </row>
    <row r="258" spans="1:14" ht="15" customHeight="1" x14ac:dyDescent="0.25">
      <c r="A258" s="987" t="s">
        <v>582</v>
      </c>
      <c r="B258" s="987" t="s">
        <v>608</v>
      </c>
      <c r="C258" s="981" t="s">
        <v>1720</v>
      </c>
      <c r="D258" s="1005" t="s">
        <v>729</v>
      </c>
      <c r="E258" s="985">
        <v>0</v>
      </c>
      <c r="F258" s="1008">
        <v>1000000</v>
      </c>
      <c r="G258" s="1005" t="s">
        <v>1025</v>
      </c>
      <c r="H258" s="1005" t="s">
        <v>208</v>
      </c>
      <c r="I258" s="1005" t="s">
        <v>112</v>
      </c>
      <c r="J258" s="989">
        <v>9</v>
      </c>
      <c r="K258" s="989">
        <v>3</v>
      </c>
      <c r="L258" s="983" t="s">
        <v>571</v>
      </c>
      <c r="M258" s="987" t="s">
        <v>608</v>
      </c>
      <c r="N258" s="993" t="s">
        <v>2177</v>
      </c>
    </row>
    <row r="259" spans="1:14" ht="15" customHeight="1" x14ac:dyDescent="0.25">
      <c r="A259" s="987" t="s">
        <v>582</v>
      </c>
      <c r="B259" s="987" t="s">
        <v>608</v>
      </c>
      <c r="C259" s="981" t="s">
        <v>1721</v>
      </c>
      <c r="D259" s="1005" t="s">
        <v>730</v>
      </c>
      <c r="E259" s="985">
        <v>0</v>
      </c>
      <c r="F259" s="1008">
        <v>1000000</v>
      </c>
      <c r="G259" s="1005" t="s">
        <v>1015</v>
      </c>
      <c r="H259" s="1005" t="s">
        <v>208</v>
      </c>
      <c r="I259" s="1005" t="s">
        <v>112</v>
      </c>
      <c r="J259" s="989">
        <v>9</v>
      </c>
      <c r="K259" s="989">
        <v>3</v>
      </c>
      <c r="L259" s="983" t="s">
        <v>571</v>
      </c>
      <c r="M259" s="987" t="s">
        <v>608</v>
      </c>
      <c r="N259" s="993" t="s">
        <v>2178</v>
      </c>
    </row>
    <row r="260" spans="1:14" ht="15" customHeight="1" x14ac:dyDescent="0.25">
      <c r="A260" s="987" t="s">
        <v>582</v>
      </c>
      <c r="B260" s="987" t="s">
        <v>608</v>
      </c>
      <c r="C260" s="981" t="s">
        <v>1722</v>
      </c>
      <c r="D260" s="1005" t="s">
        <v>731</v>
      </c>
      <c r="E260" s="985">
        <v>0</v>
      </c>
      <c r="F260" s="1008">
        <v>1000000</v>
      </c>
      <c r="G260" s="1005" t="s">
        <v>1017</v>
      </c>
      <c r="H260" s="1005" t="s">
        <v>208</v>
      </c>
      <c r="I260" s="1005" t="s">
        <v>112</v>
      </c>
      <c r="J260" s="989">
        <v>9</v>
      </c>
      <c r="K260" s="989">
        <v>3</v>
      </c>
      <c r="L260" s="983" t="s">
        <v>571</v>
      </c>
      <c r="M260" s="987" t="s">
        <v>608</v>
      </c>
      <c r="N260" s="993" t="s">
        <v>2179</v>
      </c>
    </row>
    <row r="261" spans="1:14" ht="15" customHeight="1" x14ac:dyDescent="0.25">
      <c r="A261" s="987" t="s">
        <v>582</v>
      </c>
      <c r="B261" s="987" t="s">
        <v>608</v>
      </c>
      <c r="C261" s="981" t="s">
        <v>1723</v>
      </c>
      <c r="D261" s="1005" t="s">
        <v>732</v>
      </c>
      <c r="E261" s="985">
        <v>0</v>
      </c>
      <c r="F261" s="1008">
        <v>1000000</v>
      </c>
      <c r="G261" s="1005" t="s">
        <v>1018</v>
      </c>
      <c r="H261" s="1005" t="s">
        <v>208</v>
      </c>
      <c r="I261" s="1005" t="s">
        <v>112</v>
      </c>
      <c r="J261" s="989">
        <v>9</v>
      </c>
      <c r="K261" s="989">
        <v>3</v>
      </c>
      <c r="L261" s="983" t="s">
        <v>571</v>
      </c>
      <c r="M261" s="987" t="s">
        <v>608</v>
      </c>
      <c r="N261" s="993" t="s">
        <v>2180</v>
      </c>
    </row>
    <row r="262" spans="1:14" ht="15" customHeight="1" x14ac:dyDescent="0.25">
      <c r="A262" s="987" t="s">
        <v>582</v>
      </c>
      <c r="B262" s="987" t="s">
        <v>608</v>
      </c>
      <c r="C262" s="981" t="s">
        <v>1724</v>
      </c>
      <c r="D262" s="1005" t="s">
        <v>733</v>
      </c>
      <c r="E262" s="985">
        <v>0</v>
      </c>
      <c r="F262" s="1008">
        <v>1000000</v>
      </c>
      <c r="G262" s="1005" t="s">
        <v>1020</v>
      </c>
      <c r="H262" s="1005" t="s">
        <v>208</v>
      </c>
      <c r="I262" s="1005" t="s">
        <v>112</v>
      </c>
      <c r="J262" s="989">
        <v>9</v>
      </c>
      <c r="K262" s="989">
        <v>3</v>
      </c>
      <c r="L262" s="983" t="s">
        <v>571</v>
      </c>
      <c r="M262" s="987" t="s">
        <v>608</v>
      </c>
      <c r="N262" s="993" t="s">
        <v>2181</v>
      </c>
    </row>
    <row r="263" spans="1:14" ht="15" customHeight="1" x14ac:dyDescent="0.25">
      <c r="A263" s="987" t="s">
        <v>582</v>
      </c>
      <c r="B263" s="987" t="s">
        <v>608</v>
      </c>
      <c r="C263" s="981" t="s">
        <v>1725</v>
      </c>
      <c r="D263" s="1005" t="s">
        <v>1041</v>
      </c>
      <c r="E263" s="985">
        <v>0</v>
      </c>
      <c r="F263" s="1008">
        <v>1000</v>
      </c>
      <c r="G263" s="1005" t="s">
        <v>388</v>
      </c>
      <c r="H263" s="1005" t="s">
        <v>208</v>
      </c>
      <c r="I263" s="1005" t="s">
        <v>112</v>
      </c>
      <c r="J263" s="989">
        <v>9</v>
      </c>
      <c r="K263" s="989">
        <v>3</v>
      </c>
      <c r="L263" s="983" t="s">
        <v>571</v>
      </c>
      <c r="M263" s="987" t="s">
        <v>608</v>
      </c>
      <c r="N263" s="993" t="s">
        <v>2182</v>
      </c>
    </row>
    <row r="264" spans="1:14" ht="15" customHeight="1" x14ac:dyDescent="0.25">
      <c r="A264" s="987" t="s">
        <v>582</v>
      </c>
      <c r="B264" s="987" t="s">
        <v>608</v>
      </c>
      <c r="C264" s="981" t="s">
        <v>1726</v>
      </c>
      <c r="D264" s="1005" t="s">
        <v>734</v>
      </c>
      <c r="E264" s="985">
        <v>0</v>
      </c>
      <c r="F264" s="1008">
        <v>1000000</v>
      </c>
      <c r="G264" s="1005" t="s">
        <v>396</v>
      </c>
      <c r="H264" s="1005" t="s">
        <v>208</v>
      </c>
      <c r="I264" s="1005" t="s">
        <v>112</v>
      </c>
      <c r="J264" s="989">
        <v>9</v>
      </c>
      <c r="K264" s="989">
        <v>3</v>
      </c>
      <c r="L264" s="983" t="s">
        <v>571</v>
      </c>
      <c r="M264" s="987" t="s">
        <v>608</v>
      </c>
      <c r="N264" s="993" t="s">
        <v>2183</v>
      </c>
    </row>
    <row r="265" spans="1:14" ht="15" customHeight="1" x14ac:dyDescent="0.25">
      <c r="A265" s="999" t="s">
        <v>571</v>
      </c>
      <c r="B265" s="999" t="s">
        <v>571</v>
      </c>
      <c r="C265" s="999" t="s">
        <v>571</v>
      </c>
      <c r="D265" s="999" t="s">
        <v>571</v>
      </c>
      <c r="E265" s="999" t="s">
        <v>571</v>
      </c>
      <c r="F265" s="999" t="s">
        <v>571</v>
      </c>
      <c r="G265" s="999" t="s">
        <v>571</v>
      </c>
      <c r="H265" s="999" t="s">
        <v>571</v>
      </c>
      <c r="I265" s="999" t="s">
        <v>571</v>
      </c>
      <c r="J265" s="991" t="s">
        <v>571</v>
      </c>
      <c r="K265" s="991" t="s">
        <v>571</v>
      </c>
      <c r="L265" s="991" t="s">
        <v>571</v>
      </c>
      <c r="M265" s="999" t="s">
        <v>571</v>
      </c>
      <c r="N265" s="999" t="s">
        <v>571</v>
      </c>
    </row>
    <row r="266" spans="1:14" ht="15" customHeight="1" x14ac:dyDescent="0.25">
      <c r="A266" s="987" t="s">
        <v>582</v>
      </c>
      <c r="B266" s="987" t="s">
        <v>609</v>
      </c>
      <c r="C266" s="981" t="s">
        <v>1637</v>
      </c>
      <c r="D266" s="1005" t="s">
        <v>578</v>
      </c>
      <c r="E266" s="993" t="s">
        <v>565</v>
      </c>
      <c r="F266" s="993" t="s">
        <v>566</v>
      </c>
      <c r="G266" s="993" t="s">
        <v>196</v>
      </c>
      <c r="H266" s="1005" t="s">
        <v>206</v>
      </c>
      <c r="I266" s="1005" t="s">
        <v>621</v>
      </c>
      <c r="J266" s="983" t="s">
        <v>571</v>
      </c>
      <c r="K266" s="983" t="s">
        <v>571</v>
      </c>
      <c r="L266" s="989">
        <v>63999</v>
      </c>
      <c r="M266" s="987" t="s">
        <v>609</v>
      </c>
      <c r="N266" s="993" t="s">
        <v>154</v>
      </c>
    </row>
    <row r="267" spans="1:14" ht="15" customHeight="1" x14ac:dyDescent="0.25">
      <c r="A267" s="987" t="s">
        <v>582</v>
      </c>
      <c r="B267" s="987" t="s">
        <v>609</v>
      </c>
      <c r="C267" s="981" t="s">
        <v>35</v>
      </c>
      <c r="D267" s="1005" t="s">
        <v>491</v>
      </c>
      <c r="E267" s="1007">
        <v>1</v>
      </c>
      <c r="F267" s="1007">
        <f ca="1">TODAY()</f>
        <v>42879</v>
      </c>
      <c r="G267" s="1005" t="s">
        <v>116</v>
      </c>
      <c r="H267" s="1005" t="s">
        <v>206</v>
      </c>
      <c r="I267" s="1005" t="s">
        <v>569</v>
      </c>
      <c r="J267" s="983" t="s">
        <v>571</v>
      </c>
      <c r="K267" s="983" t="s">
        <v>571</v>
      </c>
      <c r="L267" s="983" t="s">
        <v>571</v>
      </c>
      <c r="M267" s="987" t="s">
        <v>609</v>
      </c>
      <c r="N267" s="993" t="s">
        <v>35</v>
      </c>
    </row>
    <row r="268" spans="1:14" ht="15" customHeight="1" x14ac:dyDescent="0.25">
      <c r="A268" s="987" t="s">
        <v>582</v>
      </c>
      <c r="B268" s="987" t="s">
        <v>609</v>
      </c>
      <c r="C268" s="981" t="s">
        <v>1598</v>
      </c>
      <c r="D268" s="1005" t="s">
        <v>229</v>
      </c>
      <c r="E268" s="993" t="s">
        <v>565</v>
      </c>
      <c r="F268" s="993" t="s">
        <v>566</v>
      </c>
      <c r="G268" s="993" t="s">
        <v>196</v>
      </c>
      <c r="H268" s="1005" t="s">
        <v>208</v>
      </c>
      <c r="I268" s="1005" t="s">
        <v>621</v>
      </c>
      <c r="J268" s="983" t="s">
        <v>571</v>
      </c>
      <c r="K268" s="983" t="s">
        <v>571</v>
      </c>
      <c r="L268" s="989">
        <v>63999</v>
      </c>
      <c r="M268" s="987" t="s">
        <v>609</v>
      </c>
      <c r="N268" s="993" t="s">
        <v>152</v>
      </c>
    </row>
    <row r="269" spans="1:14" ht="15" customHeight="1" x14ac:dyDescent="0.25">
      <c r="A269" s="987" t="s">
        <v>582</v>
      </c>
      <c r="B269" s="987" t="s">
        <v>609</v>
      </c>
      <c r="C269" s="981" t="s">
        <v>1671</v>
      </c>
      <c r="D269" s="1005" t="s">
        <v>296</v>
      </c>
      <c r="E269" s="985">
        <v>0</v>
      </c>
      <c r="F269" s="1008">
        <v>200</v>
      </c>
      <c r="G269" s="1005" t="s">
        <v>46</v>
      </c>
      <c r="H269" s="1005" t="s">
        <v>208</v>
      </c>
      <c r="I269" s="1005" t="s">
        <v>620</v>
      </c>
      <c r="J269" s="983" t="s">
        <v>571</v>
      </c>
      <c r="K269" s="983" t="s">
        <v>571</v>
      </c>
      <c r="L269" s="983" t="s">
        <v>571</v>
      </c>
      <c r="M269" s="987" t="s">
        <v>609</v>
      </c>
      <c r="N269" s="993" t="s">
        <v>2121</v>
      </c>
    </row>
    <row r="270" spans="1:14" ht="15" customHeight="1" x14ac:dyDescent="0.25">
      <c r="A270" s="987" t="s">
        <v>582</v>
      </c>
      <c r="B270" s="987" t="s">
        <v>609</v>
      </c>
      <c r="C270" s="981" t="s">
        <v>1672</v>
      </c>
      <c r="D270" s="1005" t="s">
        <v>297</v>
      </c>
      <c r="E270" s="985">
        <v>0</v>
      </c>
      <c r="F270" s="1008">
        <v>200</v>
      </c>
      <c r="G270" s="1005" t="s">
        <v>46</v>
      </c>
      <c r="H270" s="1005" t="s">
        <v>208</v>
      </c>
      <c r="I270" s="1005" t="s">
        <v>620</v>
      </c>
      <c r="J270" s="983" t="s">
        <v>571</v>
      </c>
      <c r="K270" s="983" t="s">
        <v>571</v>
      </c>
      <c r="L270" s="983" t="s">
        <v>571</v>
      </c>
      <c r="M270" s="987" t="s">
        <v>609</v>
      </c>
      <c r="N270" s="993" t="s">
        <v>2122</v>
      </c>
    </row>
    <row r="271" spans="1:14" ht="15" customHeight="1" x14ac:dyDescent="0.25">
      <c r="A271" s="987" t="s">
        <v>582</v>
      </c>
      <c r="B271" s="987" t="s">
        <v>609</v>
      </c>
      <c r="C271" s="981" t="s">
        <v>1727</v>
      </c>
      <c r="D271" s="993" t="s">
        <v>645</v>
      </c>
      <c r="E271" s="985">
        <v>0</v>
      </c>
      <c r="F271" s="1008"/>
      <c r="G271" s="1005" t="s">
        <v>586</v>
      </c>
      <c r="H271" s="1005" t="s">
        <v>208</v>
      </c>
      <c r="I271" s="1005" t="s">
        <v>112</v>
      </c>
      <c r="J271" s="989">
        <v>9</v>
      </c>
      <c r="K271" s="989">
        <v>3</v>
      </c>
      <c r="L271" s="983" t="s">
        <v>571</v>
      </c>
      <c r="M271" s="987" t="s">
        <v>609</v>
      </c>
      <c r="N271" s="993" t="s">
        <v>2184</v>
      </c>
    </row>
    <row r="272" spans="1:14" ht="15" customHeight="1" x14ac:dyDescent="0.25">
      <c r="A272" s="987" t="s">
        <v>582</v>
      </c>
      <c r="B272" s="987" t="s">
        <v>609</v>
      </c>
      <c r="C272" s="981" t="s">
        <v>1728</v>
      </c>
      <c r="D272" s="993" t="s">
        <v>646</v>
      </c>
      <c r="E272" s="985">
        <v>0</v>
      </c>
      <c r="F272" s="1008"/>
      <c r="G272" s="1005" t="s">
        <v>586</v>
      </c>
      <c r="H272" s="1005" t="s">
        <v>208</v>
      </c>
      <c r="I272" s="1005" t="s">
        <v>112</v>
      </c>
      <c r="J272" s="989">
        <v>9</v>
      </c>
      <c r="K272" s="989">
        <v>3</v>
      </c>
      <c r="L272" s="983" t="s">
        <v>571</v>
      </c>
      <c r="M272" s="987" t="s">
        <v>609</v>
      </c>
      <c r="N272" s="993" t="s">
        <v>2185</v>
      </c>
    </row>
    <row r="273" spans="1:14" ht="15" customHeight="1" x14ac:dyDescent="0.25">
      <c r="A273" s="987" t="s">
        <v>582</v>
      </c>
      <c r="B273" s="987" t="s">
        <v>609</v>
      </c>
      <c r="C273" s="981" t="s">
        <v>1739</v>
      </c>
      <c r="D273" s="993" t="s">
        <v>647</v>
      </c>
      <c r="E273" s="985">
        <v>0</v>
      </c>
      <c r="F273" s="1008"/>
      <c r="G273" s="1005" t="s">
        <v>513</v>
      </c>
      <c r="H273" s="1005" t="s">
        <v>208</v>
      </c>
      <c r="I273" s="1005" t="s">
        <v>112</v>
      </c>
      <c r="J273" s="989">
        <v>9</v>
      </c>
      <c r="K273" s="989">
        <v>3</v>
      </c>
      <c r="L273" s="983" t="s">
        <v>571</v>
      </c>
      <c r="M273" s="987" t="s">
        <v>609</v>
      </c>
      <c r="N273" s="993" t="s">
        <v>2186</v>
      </c>
    </row>
    <row r="274" spans="1:14" ht="15" customHeight="1" x14ac:dyDescent="0.25">
      <c r="A274" s="987" t="s">
        <v>582</v>
      </c>
      <c r="B274" s="987" t="s">
        <v>609</v>
      </c>
      <c r="C274" s="981" t="s">
        <v>1729</v>
      </c>
      <c r="D274" s="993" t="s">
        <v>648</v>
      </c>
      <c r="E274" s="985">
        <v>0</v>
      </c>
      <c r="F274" s="1008"/>
      <c r="G274" s="1005" t="s">
        <v>512</v>
      </c>
      <c r="H274" s="1005" t="s">
        <v>208</v>
      </c>
      <c r="I274" s="1005" t="s">
        <v>112</v>
      </c>
      <c r="J274" s="989">
        <v>9</v>
      </c>
      <c r="K274" s="989">
        <v>3</v>
      </c>
      <c r="L274" s="983" t="s">
        <v>571</v>
      </c>
      <c r="M274" s="987" t="s">
        <v>609</v>
      </c>
      <c r="N274" s="993" t="s">
        <v>2187</v>
      </c>
    </row>
    <row r="275" spans="1:14" ht="15" customHeight="1" x14ac:dyDescent="0.25">
      <c r="A275" s="987" t="s">
        <v>582</v>
      </c>
      <c r="B275" s="987" t="s">
        <v>609</v>
      </c>
      <c r="C275" s="981" t="s">
        <v>1730</v>
      </c>
      <c r="D275" s="993" t="s">
        <v>649</v>
      </c>
      <c r="E275" s="985">
        <v>0</v>
      </c>
      <c r="F275" s="1008"/>
      <c r="G275" s="1014" t="s">
        <v>2367</v>
      </c>
      <c r="H275" s="1005" t="s">
        <v>208</v>
      </c>
      <c r="I275" s="1005" t="s">
        <v>112</v>
      </c>
      <c r="J275" s="989">
        <v>9</v>
      </c>
      <c r="K275" s="989">
        <v>3</v>
      </c>
      <c r="L275" s="983" t="s">
        <v>571</v>
      </c>
      <c r="M275" s="987" t="s">
        <v>609</v>
      </c>
      <c r="N275" s="993" t="s">
        <v>2188</v>
      </c>
    </row>
    <row r="276" spans="1:14" ht="15" customHeight="1" x14ac:dyDescent="0.25">
      <c r="A276" s="987" t="s">
        <v>582</v>
      </c>
      <c r="B276" s="987" t="s">
        <v>609</v>
      </c>
      <c r="C276" s="981" t="s">
        <v>1731</v>
      </c>
      <c r="D276" s="993" t="s">
        <v>650</v>
      </c>
      <c r="E276" s="985">
        <v>0</v>
      </c>
      <c r="F276" s="1008"/>
      <c r="G276" s="1014" t="s">
        <v>388</v>
      </c>
      <c r="H276" s="1005" t="s">
        <v>208</v>
      </c>
      <c r="I276" s="1005" t="s">
        <v>112</v>
      </c>
      <c r="J276" s="989">
        <v>9</v>
      </c>
      <c r="K276" s="989">
        <v>3</v>
      </c>
      <c r="L276" s="983" t="s">
        <v>571</v>
      </c>
      <c r="M276" s="987" t="s">
        <v>609</v>
      </c>
      <c r="N276" s="993" t="s">
        <v>2189</v>
      </c>
    </row>
    <row r="277" spans="1:14" ht="15" customHeight="1" x14ac:dyDescent="0.25">
      <c r="A277" s="987" t="s">
        <v>582</v>
      </c>
      <c r="B277" s="987" t="s">
        <v>609</v>
      </c>
      <c r="C277" s="981" t="s">
        <v>484</v>
      </c>
      <c r="D277" s="993" t="s">
        <v>651</v>
      </c>
      <c r="E277" s="985" t="s">
        <v>140</v>
      </c>
      <c r="F277" s="985" t="s">
        <v>141</v>
      </c>
      <c r="G277" s="1005" t="s">
        <v>196</v>
      </c>
      <c r="H277" s="1005" t="s">
        <v>208</v>
      </c>
      <c r="I277" s="1005" t="s">
        <v>572</v>
      </c>
      <c r="J277" s="983" t="s">
        <v>571</v>
      </c>
      <c r="K277" s="983" t="s">
        <v>571</v>
      </c>
      <c r="L277" s="983" t="s">
        <v>571</v>
      </c>
      <c r="M277" s="987" t="s">
        <v>609</v>
      </c>
      <c r="N277" s="993" t="s">
        <v>484</v>
      </c>
    </row>
    <row r="278" spans="1:14" ht="15" customHeight="1" x14ac:dyDescent="0.25">
      <c r="A278" s="987" t="s">
        <v>582</v>
      </c>
      <c r="B278" s="987" t="s">
        <v>609</v>
      </c>
      <c r="C278" s="981" t="s">
        <v>798</v>
      </c>
      <c r="D278" s="993" t="s">
        <v>1048</v>
      </c>
      <c r="E278" s="985" t="s">
        <v>140</v>
      </c>
      <c r="F278" s="985" t="s">
        <v>141</v>
      </c>
      <c r="G278" s="1005" t="s">
        <v>196</v>
      </c>
      <c r="H278" s="1005" t="s">
        <v>208</v>
      </c>
      <c r="I278" s="1005" t="s">
        <v>572</v>
      </c>
      <c r="J278" s="983" t="s">
        <v>571</v>
      </c>
      <c r="K278" s="983" t="s">
        <v>571</v>
      </c>
      <c r="L278" s="983" t="s">
        <v>571</v>
      </c>
      <c r="M278" s="987" t="s">
        <v>609</v>
      </c>
      <c r="N278" s="993" t="s">
        <v>798</v>
      </c>
    </row>
    <row r="279" spans="1:14" ht="15" customHeight="1" x14ac:dyDescent="0.25">
      <c r="A279" s="987" t="s">
        <v>582</v>
      </c>
      <c r="B279" s="987" t="s">
        <v>609</v>
      </c>
      <c r="C279" s="981" t="s">
        <v>485</v>
      </c>
      <c r="D279" s="993" t="s">
        <v>652</v>
      </c>
      <c r="E279" s="985" t="s">
        <v>140</v>
      </c>
      <c r="F279" s="985" t="s">
        <v>141</v>
      </c>
      <c r="G279" s="1005" t="s">
        <v>196</v>
      </c>
      <c r="H279" s="1005" t="s">
        <v>208</v>
      </c>
      <c r="I279" s="1005" t="s">
        <v>572</v>
      </c>
      <c r="J279" s="983" t="s">
        <v>571</v>
      </c>
      <c r="K279" s="983" t="s">
        <v>571</v>
      </c>
      <c r="L279" s="983" t="s">
        <v>571</v>
      </c>
      <c r="M279" s="987" t="s">
        <v>609</v>
      </c>
      <c r="N279" s="993" t="s">
        <v>485</v>
      </c>
    </row>
    <row r="280" spans="1:14" ht="15" customHeight="1" x14ac:dyDescent="0.25">
      <c r="A280" s="987" t="s">
        <v>582</v>
      </c>
      <c r="B280" s="987" t="s">
        <v>609</v>
      </c>
      <c r="C280" s="981" t="s">
        <v>1732</v>
      </c>
      <c r="D280" s="993" t="s">
        <v>653</v>
      </c>
      <c r="E280" s="985">
        <v>0</v>
      </c>
      <c r="F280" s="1008">
        <v>1000</v>
      </c>
      <c r="G280" s="1005" t="s">
        <v>1019</v>
      </c>
      <c r="H280" s="1005" t="s">
        <v>208</v>
      </c>
      <c r="I280" s="1005" t="s">
        <v>112</v>
      </c>
      <c r="J280" s="989">
        <v>9</v>
      </c>
      <c r="K280" s="989">
        <v>3</v>
      </c>
      <c r="L280" s="983" t="s">
        <v>571</v>
      </c>
      <c r="M280" s="987" t="s">
        <v>609</v>
      </c>
      <c r="N280" s="993" t="s">
        <v>2190</v>
      </c>
    </row>
    <row r="281" spans="1:14" ht="15" customHeight="1" x14ac:dyDescent="0.25">
      <c r="A281" s="987" t="s">
        <v>582</v>
      </c>
      <c r="B281" s="987" t="s">
        <v>609</v>
      </c>
      <c r="C281" s="981" t="s">
        <v>1733</v>
      </c>
      <c r="D281" s="1005" t="s">
        <v>301</v>
      </c>
      <c r="E281" s="985">
        <v>0</v>
      </c>
      <c r="F281" s="1008">
        <v>1000</v>
      </c>
      <c r="G281" s="1005" t="s">
        <v>1019</v>
      </c>
      <c r="H281" s="1005" t="s">
        <v>208</v>
      </c>
      <c r="I281" s="1005" t="s">
        <v>112</v>
      </c>
      <c r="J281" s="989">
        <v>9</v>
      </c>
      <c r="K281" s="989">
        <v>3</v>
      </c>
      <c r="L281" s="983" t="s">
        <v>571</v>
      </c>
      <c r="M281" s="987" t="s">
        <v>609</v>
      </c>
      <c r="N281" s="993" t="s">
        <v>2191</v>
      </c>
    </row>
    <row r="282" spans="1:14" ht="15" customHeight="1" x14ac:dyDescent="0.25">
      <c r="A282" s="987" t="s">
        <v>582</v>
      </c>
      <c r="B282" s="987" t="s">
        <v>609</v>
      </c>
      <c r="C282" s="981" t="s">
        <v>1734</v>
      </c>
      <c r="D282" s="1005" t="s">
        <v>654</v>
      </c>
      <c r="E282" s="985">
        <v>0</v>
      </c>
      <c r="F282" s="1015">
        <v>1000000</v>
      </c>
      <c r="G282" s="1005" t="s">
        <v>1021</v>
      </c>
      <c r="H282" s="1005" t="s">
        <v>208</v>
      </c>
      <c r="I282" s="1005" t="s">
        <v>112</v>
      </c>
      <c r="J282" s="989">
        <v>9</v>
      </c>
      <c r="K282" s="989">
        <v>3</v>
      </c>
      <c r="L282" s="983" t="s">
        <v>571</v>
      </c>
      <c r="M282" s="987" t="s">
        <v>609</v>
      </c>
      <c r="N282" s="993" t="s">
        <v>2192</v>
      </c>
    </row>
    <row r="283" spans="1:14" ht="15" customHeight="1" x14ac:dyDescent="0.25">
      <c r="A283" s="987" t="s">
        <v>582</v>
      </c>
      <c r="B283" s="987" t="s">
        <v>609</v>
      </c>
      <c r="C283" s="981" t="s">
        <v>1735</v>
      </c>
      <c r="D283" s="1005" t="s">
        <v>655</v>
      </c>
      <c r="E283" s="985">
        <v>0</v>
      </c>
      <c r="F283" s="1015">
        <v>1000000</v>
      </c>
      <c r="G283" s="1005" t="s">
        <v>637</v>
      </c>
      <c r="H283" s="1005" t="s">
        <v>208</v>
      </c>
      <c r="I283" s="1005" t="s">
        <v>112</v>
      </c>
      <c r="J283" s="989">
        <v>9</v>
      </c>
      <c r="K283" s="989">
        <v>3</v>
      </c>
      <c r="L283" s="983" t="s">
        <v>571</v>
      </c>
      <c r="M283" s="987" t="s">
        <v>609</v>
      </c>
      <c r="N283" s="993" t="s">
        <v>2193</v>
      </c>
    </row>
    <row r="284" spans="1:14" ht="15" customHeight="1" x14ac:dyDescent="0.25">
      <c r="A284" s="987" t="s">
        <v>582</v>
      </c>
      <c r="B284" s="987" t="s">
        <v>609</v>
      </c>
      <c r="C284" s="981" t="s">
        <v>1736</v>
      </c>
      <c r="D284" s="993" t="s">
        <v>735</v>
      </c>
      <c r="E284" s="985">
        <v>0</v>
      </c>
      <c r="F284" s="1008"/>
      <c r="G284" s="1005" t="s">
        <v>586</v>
      </c>
      <c r="H284" s="1005" t="s">
        <v>208</v>
      </c>
      <c r="I284" s="1005" t="s">
        <v>112</v>
      </c>
      <c r="J284" s="989">
        <v>9</v>
      </c>
      <c r="K284" s="989">
        <v>3</v>
      </c>
      <c r="L284" s="983" t="s">
        <v>571</v>
      </c>
      <c r="M284" s="987" t="s">
        <v>609</v>
      </c>
      <c r="N284" s="993" t="s">
        <v>2194</v>
      </c>
    </row>
    <row r="285" spans="1:14" ht="15" customHeight="1" x14ac:dyDescent="0.25">
      <c r="A285" s="987" t="s">
        <v>582</v>
      </c>
      <c r="B285" s="987" t="s">
        <v>609</v>
      </c>
      <c r="C285" s="981" t="s">
        <v>1737</v>
      </c>
      <c r="D285" s="993" t="s">
        <v>736</v>
      </c>
      <c r="E285" s="985">
        <v>0</v>
      </c>
      <c r="F285" s="1008"/>
      <c r="G285" s="1005" t="s">
        <v>586</v>
      </c>
      <c r="H285" s="1005" t="s">
        <v>208</v>
      </c>
      <c r="I285" s="1005" t="s">
        <v>112</v>
      </c>
      <c r="J285" s="989">
        <v>9</v>
      </c>
      <c r="K285" s="989">
        <v>3</v>
      </c>
      <c r="L285" s="983" t="s">
        <v>571</v>
      </c>
      <c r="M285" s="987" t="s">
        <v>609</v>
      </c>
      <c r="N285" s="993" t="s">
        <v>2195</v>
      </c>
    </row>
    <row r="286" spans="1:14" ht="15" customHeight="1" x14ac:dyDescent="0.25">
      <c r="A286" s="987" t="s">
        <v>582</v>
      </c>
      <c r="B286" s="987" t="s">
        <v>609</v>
      </c>
      <c r="C286" s="981" t="s">
        <v>1738</v>
      </c>
      <c r="D286" s="993" t="s">
        <v>737</v>
      </c>
      <c r="E286" s="985">
        <v>0</v>
      </c>
      <c r="F286" s="1008"/>
      <c r="G286" s="1005" t="s">
        <v>513</v>
      </c>
      <c r="H286" s="1005" t="s">
        <v>208</v>
      </c>
      <c r="I286" s="1005" t="s">
        <v>112</v>
      </c>
      <c r="J286" s="989">
        <v>9</v>
      </c>
      <c r="K286" s="989">
        <v>3</v>
      </c>
      <c r="L286" s="983" t="s">
        <v>571</v>
      </c>
      <c r="M286" s="987" t="s">
        <v>609</v>
      </c>
      <c r="N286" s="993" t="s">
        <v>2196</v>
      </c>
    </row>
    <row r="287" spans="1:14" ht="15" customHeight="1" x14ac:dyDescent="0.25">
      <c r="A287" s="987" t="s">
        <v>582</v>
      </c>
      <c r="B287" s="987" t="s">
        <v>609</v>
      </c>
      <c r="C287" s="981" t="s">
        <v>1740</v>
      </c>
      <c r="D287" s="993" t="s">
        <v>738</v>
      </c>
      <c r="E287" s="985">
        <v>0</v>
      </c>
      <c r="F287" s="1008"/>
      <c r="G287" s="1005" t="s">
        <v>512</v>
      </c>
      <c r="H287" s="1005" t="s">
        <v>208</v>
      </c>
      <c r="I287" s="1005" t="s">
        <v>112</v>
      </c>
      <c r="J287" s="989">
        <v>9</v>
      </c>
      <c r="K287" s="989">
        <v>3</v>
      </c>
      <c r="L287" s="983" t="s">
        <v>571</v>
      </c>
      <c r="M287" s="987" t="s">
        <v>609</v>
      </c>
      <c r="N287" s="993" t="s">
        <v>2197</v>
      </c>
    </row>
    <row r="288" spans="1:14" ht="15" customHeight="1" x14ac:dyDescent="0.25">
      <c r="A288" s="987" t="s">
        <v>582</v>
      </c>
      <c r="B288" s="987" t="s">
        <v>609</v>
      </c>
      <c r="C288" s="981" t="s">
        <v>1741</v>
      </c>
      <c r="D288" s="993" t="s">
        <v>739</v>
      </c>
      <c r="E288" s="985">
        <v>0</v>
      </c>
      <c r="F288" s="1008"/>
      <c r="G288" s="1014" t="s">
        <v>2367</v>
      </c>
      <c r="H288" s="1005" t="s">
        <v>208</v>
      </c>
      <c r="I288" s="1005" t="s">
        <v>112</v>
      </c>
      <c r="J288" s="989">
        <v>9</v>
      </c>
      <c r="K288" s="989">
        <v>3</v>
      </c>
      <c r="L288" s="983" t="s">
        <v>571</v>
      </c>
      <c r="M288" s="987" t="s">
        <v>609</v>
      </c>
      <c r="N288" s="993" t="s">
        <v>2198</v>
      </c>
    </row>
    <row r="289" spans="1:14" ht="15" customHeight="1" x14ac:dyDescent="0.25">
      <c r="A289" s="987" t="s">
        <v>582</v>
      </c>
      <c r="B289" s="987" t="s">
        <v>609</v>
      </c>
      <c r="C289" s="981" t="s">
        <v>1742</v>
      </c>
      <c r="D289" s="993" t="s">
        <v>740</v>
      </c>
      <c r="E289" s="985">
        <v>0</v>
      </c>
      <c r="F289" s="1008">
        <v>1000</v>
      </c>
      <c r="G289" s="1014" t="s">
        <v>388</v>
      </c>
      <c r="H289" s="1005" t="s">
        <v>208</v>
      </c>
      <c r="I289" s="1005" t="s">
        <v>112</v>
      </c>
      <c r="J289" s="989">
        <v>9</v>
      </c>
      <c r="K289" s="989">
        <v>3</v>
      </c>
      <c r="L289" s="983" t="s">
        <v>571</v>
      </c>
      <c r="M289" s="987" t="s">
        <v>609</v>
      </c>
      <c r="N289" s="993" t="s">
        <v>2199</v>
      </c>
    </row>
    <row r="290" spans="1:14" ht="15" customHeight="1" x14ac:dyDescent="0.25">
      <c r="A290" s="987" t="s">
        <v>582</v>
      </c>
      <c r="B290" s="987" t="s">
        <v>609</v>
      </c>
      <c r="C290" s="981" t="s">
        <v>1743</v>
      </c>
      <c r="D290" s="993" t="s">
        <v>741</v>
      </c>
      <c r="E290" s="985">
        <v>0</v>
      </c>
      <c r="F290" s="1008">
        <v>1000</v>
      </c>
      <c r="G290" s="1005" t="s">
        <v>1019</v>
      </c>
      <c r="H290" s="1005" t="s">
        <v>208</v>
      </c>
      <c r="I290" s="1005" t="s">
        <v>112</v>
      </c>
      <c r="J290" s="989">
        <v>9</v>
      </c>
      <c r="K290" s="989">
        <v>3</v>
      </c>
      <c r="L290" s="983" t="s">
        <v>571</v>
      </c>
      <c r="M290" s="987" t="s">
        <v>609</v>
      </c>
      <c r="N290" s="993" t="s">
        <v>2200</v>
      </c>
    </row>
    <row r="291" spans="1:14" ht="15" customHeight="1" x14ac:dyDescent="0.25">
      <c r="A291" s="987" t="s">
        <v>582</v>
      </c>
      <c r="B291" s="987" t="s">
        <v>609</v>
      </c>
      <c r="C291" s="981" t="s">
        <v>1744</v>
      </c>
      <c r="D291" s="1005" t="s">
        <v>742</v>
      </c>
      <c r="E291" s="985">
        <v>0</v>
      </c>
      <c r="F291" s="1008">
        <v>1000</v>
      </c>
      <c r="G291" s="1005" t="s">
        <v>1019</v>
      </c>
      <c r="H291" s="1005" t="s">
        <v>208</v>
      </c>
      <c r="I291" s="1005" t="s">
        <v>112</v>
      </c>
      <c r="J291" s="989">
        <v>9</v>
      </c>
      <c r="K291" s="989">
        <v>3</v>
      </c>
      <c r="L291" s="983" t="s">
        <v>571</v>
      </c>
      <c r="M291" s="987" t="s">
        <v>609</v>
      </c>
      <c r="N291" s="993" t="s">
        <v>2201</v>
      </c>
    </row>
    <row r="292" spans="1:14" ht="15" customHeight="1" x14ac:dyDescent="0.25">
      <c r="A292" s="987" t="s">
        <v>582</v>
      </c>
      <c r="B292" s="987" t="s">
        <v>609</v>
      </c>
      <c r="C292" s="981" t="s">
        <v>1745</v>
      </c>
      <c r="D292" s="1005" t="s">
        <v>743</v>
      </c>
      <c r="E292" s="985">
        <v>0</v>
      </c>
      <c r="F292" s="1015">
        <v>1000000</v>
      </c>
      <c r="G292" s="1005" t="s">
        <v>1021</v>
      </c>
      <c r="H292" s="1005" t="s">
        <v>208</v>
      </c>
      <c r="I292" s="1005" t="s">
        <v>112</v>
      </c>
      <c r="J292" s="989">
        <v>9</v>
      </c>
      <c r="K292" s="989">
        <v>3</v>
      </c>
      <c r="L292" s="983" t="s">
        <v>571</v>
      </c>
      <c r="M292" s="987" t="s">
        <v>609</v>
      </c>
      <c r="N292" s="993" t="s">
        <v>2202</v>
      </c>
    </row>
    <row r="293" spans="1:14" ht="15" customHeight="1" x14ac:dyDescent="0.25">
      <c r="A293" s="987" t="s">
        <v>582</v>
      </c>
      <c r="B293" s="987" t="s">
        <v>609</v>
      </c>
      <c r="C293" s="981" t="s">
        <v>1746</v>
      </c>
      <c r="D293" s="1005" t="s">
        <v>744</v>
      </c>
      <c r="E293" s="985">
        <v>0</v>
      </c>
      <c r="F293" s="1015">
        <v>1000000</v>
      </c>
      <c r="G293" s="1005" t="s">
        <v>637</v>
      </c>
      <c r="H293" s="1005" t="s">
        <v>208</v>
      </c>
      <c r="I293" s="1005" t="s">
        <v>112</v>
      </c>
      <c r="J293" s="989">
        <v>9</v>
      </c>
      <c r="K293" s="989">
        <v>3</v>
      </c>
      <c r="L293" s="983" t="s">
        <v>571</v>
      </c>
      <c r="M293" s="987" t="s">
        <v>609</v>
      </c>
      <c r="N293" s="993" t="s">
        <v>2203</v>
      </c>
    </row>
    <row r="294" spans="1:14" ht="15" customHeight="1" x14ac:dyDescent="0.25">
      <c r="A294" s="999" t="s">
        <v>571</v>
      </c>
      <c r="B294" s="999" t="s">
        <v>571</v>
      </c>
      <c r="C294" s="999" t="s">
        <v>571</v>
      </c>
      <c r="D294" s="999" t="s">
        <v>571</v>
      </c>
      <c r="E294" s="999" t="s">
        <v>571</v>
      </c>
      <c r="F294" s="999" t="s">
        <v>571</v>
      </c>
      <c r="G294" s="999" t="s">
        <v>571</v>
      </c>
      <c r="H294" s="999" t="s">
        <v>571</v>
      </c>
      <c r="I294" s="999" t="s">
        <v>571</v>
      </c>
      <c r="J294" s="991" t="s">
        <v>571</v>
      </c>
      <c r="K294" s="991" t="s">
        <v>571</v>
      </c>
      <c r="L294" s="991" t="s">
        <v>571</v>
      </c>
      <c r="M294" s="999" t="s">
        <v>571</v>
      </c>
      <c r="N294" s="999" t="s">
        <v>571</v>
      </c>
    </row>
    <row r="295" spans="1:14" ht="15" customHeight="1" x14ac:dyDescent="0.25">
      <c r="A295" s="987" t="s">
        <v>582</v>
      </c>
      <c r="B295" s="987" t="s">
        <v>610</v>
      </c>
      <c r="C295" s="981" t="s">
        <v>1637</v>
      </c>
      <c r="D295" s="1005" t="s">
        <v>578</v>
      </c>
      <c r="E295" s="993" t="s">
        <v>565</v>
      </c>
      <c r="F295" s="993" t="s">
        <v>566</v>
      </c>
      <c r="G295" s="993" t="s">
        <v>196</v>
      </c>
      <c r="H295" s="985" t="s">
        <v>206</v>
      </c>
      <c r="I295" s="1005" t="s">
        <v>621</v>
      </c>
      <c r="J295" s="983" t="s">
        <v>571</v>
      </c>
      <c r="K295" s="983" t="s">
        <v>571</v>
      </c>
      <c r="L295" s="989">
        <v>63999</v>
      </c>
      <c r="M295" s="987" t="s">
        <v>610</v>
      </c>
      <c r="N295" s="993" t="s">
        <v>154</v>
      </c>
    </row>
    <row r="296" spans="1:14" ht="15" customHeight="1" x14ac:dyDescent="0.25">
      <c r="A296" s="987" t="s">
        <v>582</v>
      </c>
      <c r="B296" s="987" t="s">
        <v>610</v>
      </c>
      <c r="C296" s="981" t="s">
        <v>35</v>
      </c>
      <c r="D296" s="1005" t="s">
        <v>35</v>
      </c>
      <c r="E296" s="1007">
        <v>1</v>
      </c>
      <c r="F296" s="1007">
        <f ca="1">TODAY()</f>
        <v>42879</v>
      </c>
      <c r="G296" s="1005" t="s">
        <v>116</v>
      </c>
      <c r="H296" s="1005" t="s">
        <v>206</v>
      </c>
      <c r="I296" s="1005" t="s">
        <v>569</v>
      </c>
      <c r="J296" s="983" t="s">
        <v>571</v>
      </c>
      <c r="K296" s="983" t="s">
        <v>571</v>
      </c>
      <c r="L296" s="983" t="s">
        <v>571</v>
      </c>
      <c r="M296" s="987" t="s">
        <v>610</v>
      </c>
      <c r="N296" s="993" t="s">
        <v>35</v>
      </c>
    </row>
    <row r="297" spans="1:14" ht="15" customHeight="1" x14ac:dyDescent="0.25">
      <c r="A297" s="987" t="s">
        <v>582</v>
      </c>
      <c r="B297" s="987" t="s">
        <v>610</v>
      </c>
      <c r="C297" s="981" t="s">
        <v>1598</v>
      </c>
      <c r="D297" s="1005" t="s">
        <v>229</v>
      </c>
      <c r="E297" s="993" t="s">
        <v>565</v>
      </c>
      <c r="F297" s="993" t="s">
        <v>566</v>
      </c>
      <c r="G297" s="993" t="s">
        <v>196</v>
      </c>
      <c r="H297" s="1005" t="s">
        <v>208</v>
      </c>
      <c r="I297" s="1005" t="s">
        <v>621</v>
      </c>
      <c r="J297" s="983" t="s">
        <v>571</v>
      </c>
      <c r="K297" s="983" t="s">
        <v>571</v>
      </c>
      <c r="L297" s="989">
        <v>63999</v>
      </c>
      <c r="M297" s="987" t="s">
        <v>610</v>
      </c>
      <c r="N297" s="993" t="s">
        <v>152</v>
      </c>
    </row>
    <row r="298" spans="1:14" ht="15" customHeight="1" x14ac:dyDescent="0.25">
      <c r="A298" s="987" t="s">
        <v>582</v>
      </c>
      <c r="B298" s="987" t="s">
        <v>610</v>
      </c>
      <c r="C298" s="981" t="s">
        <v>1747</v>
      </c>
      <c r="D298" s="1005" t="s">
        <v>657</v>
      </c>
      <c r="E298" s="993" t="s">
        <v>565</v>
      </c>
      <c r="F298" s="993" t="s">
        <v>566</v>
      </c>
      <c r="G298" s="993" t="s">
        <v>196</v>
      </c>
      <c r="H298" s="1005" t="s">
        <v>208</v>
      </c>
      <c r="I298" s="1005" t="s">
        <v>621</v>
      </c>
      <c r="J298" s="983" t="s">
        <v>571</v>
      </c>
      <c r="K298" s="983" t="s">
        <v>571</v>
      </c>
      <c r="L298" s="989">
        <v>63999</v>
      </c>
      <c r="M298" s="987" t="s">
        <v>610</v>
      </c>
      <c r="N298" s="993" t="s">
        <v>509</v>
      </c>
    </row>
    <row r="299" spans="1:14" ht="15" customHeight="1" x14ac:dyDescent="0.25">
      <c r="A299" s="987" t="s">
        <v>582</v>
      </c>
      <c r="B299" s="987" t="s">
        <v>610</v>
      </c>
      <c r="C299" s="981" t="s">
        <v>77</v>
      </c>
      <c r="D299" s="1005" t="s">
        <v>267</v>
      </c>
      <c r="E299" s="993" t="s">
        <v>565</v>
      </c>
      <c r="F299" s="993" t="s">
        <v>566</v>
      </c>
      <c r="G299" s="993" t="s">
        <v>196</v>
      </c>
      <c r="H299" s="1005" t="s">
        <v>208</v>
      </c>
      <c r="I299" s="1005" t="s">
        <v>621</v>
      </c>
      <c r="J299" s="983" t="s">
        <v>571</v>
      </c>
      <c r="K299" s="983" t="s">
        <v>571</v>
      </c>
      <c r="L299" s="989">
        <v>63999</v>
      </c>
      <c r="M299" s="987" t="s">
        <v>610</v>
      </c>
      <c r="N299" s="993" t="s">
        <v>77</v>
      </c>
    </row>
    <row r="300" spans="1:14" ht="15" customHeight="1" x14ac:dyDescent="0.25">
      <c r="A300" s="987" t="s">
        <v>582</v>
      </c>
      <c r="B300" s="987" t="s">
        <v>610</v>
      </c>
      <c r="C300" s="981" t="s">
        <v>1748</v>
      </c>
      <c r="D300" s="1005" t="s">
        <v>656</v>
      </c>
      <c r="E300" s="985">
        <v>0</v>
      </c>
      <c r="F300" s="985">
        <v>100</v>
      </c>
      <c r="G300" s="1005" t="s">
        <v>40</v>
      </c>
      <c r="H300" s="1006" t="s">
        <v>208</v>
      </c>
      <c r="I300" s="1005" t="s">
        <v>620</v>
      </c>
      <c r="J300" s="983" t="s">
        <v>571</v>
      </c>
      <c r="K300" s="983" t="s">
        <v>571</v>
      </c>
      <c r="L300" s="983" t="s">
        <v>571</v>
      </c>
      <c r="M300" s="987" t="s">
        <v>610</v>
      </c>
      <c r="N300" s="993" t="s">
        <v>2204</v>
      </c>
    </row>
    <row r="301" spans="1:14" ht="15" customHeight="1" x14ac:dyDescent="0.25">
      <c r="A301" s="999" t="s">
        <v>571</v>
      </c>
      <c r="B301" s="999" t="s">
        <v>571</v>
      </c>
      <c r="C301" s="999" t="s">
        <v>571</v>
      </c>
      <c r="D301" s="999" t="s">
        <v>571</v>
      </c>
      <c r="E301" s="999" t="s">
        <v>571</v>
      </c>
      <c r="F301" s="999" t="s">
        <v>571</v>
      </c>
      <c r="G301" s="999" t="s">
        <v>571</v>
      </c>
      <c r="H301" s="999" t="s">
        <v>571</v>
      </c>
      <c r="I301" s="999" t="s">
        <v>571</v>
      </c>
      <c r="J301" s="991" t="s">
        <v>571</v>
      </c>
      <c r="K301" s="991" t="s">
        <v>571</v>
      </c>
      <c r="L301" s="991" t="s">
        <v>571</v>
      </c>
      <c r="M301" s="999" t="s">
        <v>571</v>
      </c>
      <c r="N301" s="999" t="s">
        <v>571</v>
      </c>
    </row>
    <row r="302" spans="1:14" ht="15" customHeight="1" x14ac:dyDescent="0.25">
      <c r="A302" s="987" t="s">
        <v>582</v>
      </c>
      <c r="B302" s="987" t="s">
        <v>611</v>
      </c>
      <c r="C302" s="981" t="s">
        <v>1637</v>
      </c>
      <c r="D302" s="1005" t="s">
        <v>578</v>
      </c>
      <c r="E302" s="993" t="s">
        <v>565</v>
      </c>
      <c r="F302" s="993" t="s">
        <v>566</v>
      </c>
      <c r="G302" s="993" t="s">
        <v>196</v>
      </c>
      <c r="H302" s="985" t="s">
        <v>206</v>
      </c>
      <c r="I302" s="1005" t="s">
        <v>621</v>
      </c>
      <c r="J302" s="983" t="s">
        <v>571</v>
      </c>
      <c r="K302" s="983" t="s">
        <v>571</v>
      </c>
      <c r="L302" s="989">
        <v>63999</v>
      </c>
      <c r="M302" s="987" t="s">
        <v>611</v>
      </c>
      <c r="N302" s="993" t="s">
        <v>154</v>
      </c>
    </row>
    <row r="303" spans="1:14" ht="15" customHeight="1" x14ac:dyDescent="0.25">
      <c r="A303" s="987" t="s">
        <v>582</v>
      </c>
      <c r="B303" s="987" t="s">
        <v>611</v>
      </c>
      <c r="C303" s="981" t="s">
        <v>35</v>
      </c>
      <c r="D303" s="1005" t="s">
        <v>35</v>
      </c>
      <c r="E303" s="1007">
        <v>1</v>
      </c>
      <c r="F303" s="1007">
        <f ca="1">TODAY()</f>
        <v>42879</v>
      </c>
      <c r="G303" s="1005" t="s">
        <v>116</v>
      </c>
      <c r="H303" s="1005" t="s">
        <v>206</v>
      </c>
      <c r="I303" s="1005" t="s">
        <v>569</v>
      </c>
      <c r="J303" s="983" t="s">
        <v>571</v>
      </c>
      <c r="K303" s="983" t="s">
        <v>571</v>
      </c>
      <c r="L303" s="983" t="s">
        <v>571</v>
      </c>
      <c r="M303" s="987" t="s">
        <v>611</v>
      </c>
      <c r="N303" s="993" t="s">
        <v>35</v>
      </c>
    </row>
    <row r="304" spans="1:14" ht="15" customHeight="1" x14ac:dyDescent="0.25">
      <c r="A304" s="987" t="s">
        <v>582</v>
      </c>
      <c r="B304" s="987" t="s">
        <v>611</v>
      </c>
      <c r="C304" s="981" t="s">
        <v>198</v>
      </c>
      <c r="D304" s="1005" t="s">
        <v>658</v>
      </c>
      <c r="E304" s="982">
        <v>6.9444444444444447E-4</v>
      </c>
      <c r="F304" s="982">
        <v>0.99998842592592585</v>
      </c>
      <c r="G304" s="1005" t="s">
        <v>587</v>
      </c>
      <c r="H304" s="1005" t="s">
        <v>208</v>
      </c>
      <c r="I304" s="1005" t="s">
        <v>569</v>
      </c>
      <c r="J304" s="983" t="s">
        <v>571</v>
      </c>
      <c r="K304" s="983" t="s">
        <v>571</v>
      </c>
      <c r="L304" s="989">
        <v>63999</v>
      </c>
      <c r="M304" s="987" t="s">
        <v>611</v>
      </c>
      <c r="N304" s="993" t="s">
        <v>198</v>
      </c>
    </row>
    <row r="305" spans="1:14" ht="15" customHeight="1" x14ac:dyDescent="0.25">
      <c r="A305" s="987" t="s">
        <v>582</v>
      </c>
      <c r="B305" s="987" t="s">
        <v>611</v>
      </c>
      <c r="C305" s="981" t="s">
        <v>1598</v>
      </c>
      <c r="D305" s="1005" t="s">
        <v>229</v>
      </c>
      <c r="E305" s="993" t="s">
        <v>565</v>
      </c>
      <c r="F305" s="993" t="s">
        <v>566</v>
      </c>
      <c r="G305" s="993" t="s">
        <v>196</v>
      </c>
      <c r="H305" s="1005" t="s">
        <v>208</v>
      </c>
      <c r="I305" s="1005" t="s">
        <v>621</v>
      </c>
      <c r="J305" s="983" t="s">
        <v>571</v>
      </c>
      <c r="K305" s="983" t="s">
        <v>571</v>
      </c>
      <c r="L305" s="989">
        <v>63999</v>
      </c>
      <c r="M305" s="987" t="s">
        <v>611</v>
      </c>
      <c r="N305" s="993" t="s">
        <v>152</v>
      </c>
    </row>
    <row r="306" spans="1:14" ht="15" customHeight="1" x14ac:dyDescent="0.25">
      <c r="A306" s="987" t="s">
        <v>582</v>
      </c>
      <c r="B306" s="987" t="s">
        <v>611</v>
      </c>
      <c r="C306" s="981" t="s">
        <v>77</v>
      </c>
      <c r="D306" s="1005" t="s">
        <v>267</v>
      </c>
      <c r="E306" s="993" t="s">
        <v>565</v>
      </c>
      <c r="F306" s="993" t="s">
        <v>566</v>
      </c>
      <c r="G306" s="993" t="s">
        <v>196</v>
      </c>
      <c r="H306" s="1005" t="s">
        <v>208</v>
      </c>
      <c r="I306" s="1005" t="s">
        <v>621</v>
      </c>
      <c r="J306" s="983" t="s">
        <v>571</v>
      </c>
      <c r="K306" s="983" t="s">
        <v>571</v>
      </c>
      <c r="L306" s="989">
        <v>63999</v>
      </c>
      <c r="M306" s="987" t="s">
        <v>611</v>
      </c>
      <c r="N306" s="993" t="s">
        <v>77</v>
      </c>
    </row>
    <row r="307" spans="1:14" ht="15" customHeight="1" x14ac:dyDescent="0.25">
      <c r="A307" s="987" t="s">
        <v>582</v>
      </c>
      <c r="B307" s="987" t="s">
        <v>611</v>
      </c>
      <c r="C307" s="981" t="s">
        <v>1749</v>
      </c>
      <c r="D307" s="1005" t="s">
        <v>312</v>
      </c>
      <c r="E307" s="993" t="s">
        <v>565</v>
      </c>
      <c r="F307" s="993" t="s">
        <v>566</v>
      </c>
      <c r="G307" s="993" t="s">
        <v>196</v>
      </c>
      <c r="H307" s="1006" t="s">
        <v>208</v>
      </c>
      <c r="I307" s="1005" t="s">
        <v>621</v>
      </c>
      <c r="J307" s="983" t="s">
        <v>571</v>
      </c>
      <c r="K307" s="983" t="s">
        <v>571</v>
      </c>
      <c r="L307" s="989">
        <v>63999</v>
      </c>
      <c r="M307" s="987" t="s">
        <v>611</v>
      </c>
      <c r="N307" s="993" t="s">
        <v>166</v>
      </c>
    </row>
    <row r="308" spans="1:14" ht="15" customHeight="1" x14ac:dyDescent="0.35">
      <c r="A308" s="987" t="s">
        <v>582</v>
      </c>
      <c r="B308" s="987" t="s">
        <v>611</v>
      </c>
      <c r="C308" s="981" t="s">
        <v>1926</v>
      </c>
      <c r="D308" s="1005" t="s">
        <v>1042</v>
      </c>
      <c r="E308" s="993">
        <v>-100</v>
      </c>
      <c r="F308" s="988">
        <v>10000</v>
      </c>
      <c r="G308" s="1005" t="s">
        <v>1026</v>
      </c>
      <c r="H308" s="1006" t="s">
        <v>208</v>
      </c>
      <c r="I308" s="1005" t="s">
        <v>112</v>
      </c>
      <c r="J308" s="989">
        <v>9</v>
      </c>
      <c r="K308" s="989">
        <v>3</v>
      </c>
      <c r="L308" s="983" t="s">
        <v>571</v>
      </c>
      <c r="M308" s="987" t="s">
        <v>611</v>
      </c>
      <c r="N308" s="993" t="s">
        <v>2205</v>
      </c>
    </row>
    <row r="309" spans="1:14" ht="15" customHeight="1" x14ac:dyDescent="0.35">
      <c r="A309" s="987" t="s">
        <v>582</v>
      </c>
      <c r="B309" s="987" t="s">
        <v>611</v>
      </c>
      <c r="C309" s="981" t="s">
        <v>2370</v>
      </c>
      <c r="D309" s="1005" t="s">
        <v>982</v>
      </c>
      <c r="E309" s="988">
        <v>0</v>
      </c>
      <c r="F309" s="988">
        <v>1</v>
      </c>
      <c r="G309" s="1005" t="s">
        <v>196</v>
      </c>
      <c r="H309" s="1006" t="s">
        <v>208</v>
      </c>
      <c r="I309" s="1008" t="s">
        <v>620</v>
      </c>
      <c r="J309" s="983" t="s">
        <v>571</v>
      </c>
      <c r="K309" s="983" t="s">
        <v>571</v>
      </c>
      <c r="L309" s="983" t="s">
        <v>571</v>
      </c>
      <c r="M309" s="987" t="s">
        <v>611</v>
      </c>
      <c r="N309" s="993" t="s">
        <v>2206</v>
      </c>
    </row>
    <row r="310" spans="1:14" ht="15" customHeight="1" x14ac:dyDescent="0.35">
      <c r="A310" s="987" t="s">
        <v>582</v>
      </c>
      <c r="B310" s="987" t="s">
        <v>611</v>
      </c>
      <c r="C310" s="981" t="s">
        <v>1928</v>
      </c>
      <c r="D310" s="1005" t="s">
        <v>1043</v>
      </c>
      <c r="E310" s="993">
        <v>-100</v>
      </c>
      <c r="F310" s="988">
        <v>10000</v>
      </c>
      <c r="G310" s="1005" t="s">
        <v>1027</v>
      </c>
      <c r="H310" s="1006" t="s">
        <v>208</v>
      </c>
      <c r="I310" s="1005" t="s">
        <v>112</v>
      </c>
      <c r="J310" s="989">
        <v>9</v>
      </c>
      <c r="K310" s="989">
        <v>3</v>
      </c>
      <c r="L310" s="983" t="s">
        <v>571</v>
      </c>
      <c r="M310" s="987" t="s">
        <v>611</v>
      </c>
      <c r="N310" s="993" t="s">
        <v>2207</v>
      </c>
    </row>
    <row r="311" spans="1:14" ht="15" customHeight="1" x14ac:dyDescent="0.35">
      <c r="A311" s="987" t="s">
        <v>582</v>
      </c>
      <c r="B311" s="987" t="s">
        <v>611</v>
      </c>
      <c r="C311" s="981" t="s">
        <v>1929</v>
      </c>
      <c r="D311" s="1005" t="s">
        <v>983</v>
      </c>
      <c r="E311" s="988">
        <v>0</v>
      </c>
      <c r="F311" s="988">
        <v>1</v>
      </c>
      <c r="G311" s="1005" t="s">
        <v>196</v>
      </c>
      <c r="H311" s="1006" t="s">
        <v>208</v>
      </c>
      <c r="I311" s="1008" t="s">
        <v>620</v>
      </c>
      <c r="J311" s="983" t="s">
        <v>571</v>
      </c>
      <c r="K311" s="983" t="s">
        <v>571</v>
      </c>
      <c r="L311" s="983" t="s">
        <v>571</v>
      </c>
      <c r="M311" s="987" t="s">
        <v>611</v>
      </c>
      <c r="N311" s="993" t="s">
        <v>2208</v>
      </c>
    </row>
    <row r="312" spans="1:14" ht="15" customHeight="1" x14ac:dyDescent="0.35">
      <c r="A312" s="987" t="s">
        <v>582</v>
      </c>
      <c r="B312" s="987" t="s">
        <v>611</v>
      </c>
      <c r="C312" s="981" t="s">
        <v>1930</v>
      </c>
      <c r="D312" s="1005" t="s">
        <v>1044</v>
      </c>
      <c r="E312" s="988">
        <v>-10000</v>
      </c>
      <c r="F312" s="988">
        <v>10000</v>
      </c>
      <c r="G312" s="1005" t="s">
        <v>1027</v>
      </c>
      <c r="H312" s="1006" t="s">
        <v>208</v>
      </c>
      <c r="I312" s="1005" t="s">
        <v>112</v>
      </c>
      <c r="J312" s="989">
        <v>9</v>
      </c>
      <c r="K312" s="989">
        <v>3</v>
      </c>
      <c r="L312" s="983" t="s">
        <v>571</v>
      </c>
      <c r="M312" s="987" t="s">
        <v>611</v>
      </c>
      <c r="N312" s="993" t="s">
        <v>2209</v>
      </c>
    </row>
    <row r="313" spans="1:14" ht="15" customHeight="1" x14ac:dyDescent="0.35">
      <c r="A313" s="987" t="s">
        <v>582</v>
      </c>
      <c r="B313" s="987" t="s">
        <v>611</v>
      </c>
      <c r="C313" s="981" t="s">
        <v>1931</v>
      </c>
      <c r="D313" s="1005" t="s">
        <v>984</v>
      </c>
      <c r="E313" s="988">
        <v>0</v>
      </c>
      <c r="F313" s="988">
        <v>1</v>
      </c>
      <c r="G313" s="1005" t="s">
        <v>196</v>
      </c>
      <c r="H313" s="1006" t="s">
        <v>208</v>
      </c>
      <c r="I313" s="1008" t="s">
        <v>620</v>
      </c>
      <c r="J313" s="983" t="s">
        <v>571</v>
      </c>
      <c r="K313" s="983" t="s">
        <v>571</v>
      </c>
      <c r="L313" s="983" t="s">
        <v>571</v>
      </c>
      <c r="M313" s="987" t="s">
        <v>611</v>
      </c>
      <c r="N313" s="993" t="s">
        <v>2210</v>
      </c>
    </row>
    <row r="314" spans="1:14" ht="15" customHeight="1" x14ac:dyDescent="0.25">
      <c r="A314" s="987" t="s">
        <v>582</v>
      </c>
      <c r="B314" s="987" t="s">
        <v>611</v>
      </c>
      <c r="C314" s="981" t="s">
        <v>1750</v>
      </c>
      <c r="D314" s="1005" t="s">
        <v>313</v>
      </c>
      <c r="E314" s="993">
        <v>-20</v>
      </c>
      <c r="F314" s="993">
        <v>40</v>
      </c>
      <c r="G314" s="1005" t="s">
        <v>1013</v>
      </c>
      <c r="H314" s="1006" t="s">
        <v>208</v>
      </c>
      <c r="I314" s="1005" t="s">
        <v>112</v>
      </c>
      <c r="J314" s="989">
        <v>9</v>
      </c>
      <c r="K314" s="989">
        <v>3</v>
      </c>
      <c r="L314" s="983" t="s">
        <v>571</v>
      </c>
      <c r="M314" s="987" t="s">
        <v>611</v>
      </c>
      <c r="N314" s="993" t="s">
        <v>2211</v>
      </c>
    </row>
    <row r="315" spans="1:14" ht="15" customHeight="1" x14ac:dyDescent="0.25">
      <c r="A315" s="987" t="s">
        <v>582</v>
      </c>
      <c r="B315" s="987" t="s">
        <v>611</v>
      </c>
      <c r="C315" s="981" t="s">
        <v>1751</v>
      </c>
      <c r="D315" s="1005" t="s">
        <v>314</v>
      </c>
      <c r="E315" s="993">
        <v>-20</v>
      </c>
      <c r="F315" s="993">
        <v>40</v>
      </c>
      <c r="G315" s="1005" t="s">
        <v>1013</v>
      </c>
      <c r="H315" s="1006" t="s">
        <v>208</v>
      </c>
      <c r="I315" s="1005" t="s">
        <v>112</v>
      </c>
      <c r="J315" s="989">
        <v>9</v>
      </c>
      <c r="K315" s="989">
        <v>3</v>
      </c>
      <c r="L315" s="983" t="s">
        <v>571</v>
      </c>
      <c r="M315" s="987" t="s">
        <v>611</v>
      </c>
      <c r="N315" s="993" t="s">
        <v>2212</v>
      </c>
    </row>
    <row r="316" spans="1:14" ht="15" customHeight="1" x14ac:dyDescent="0.25">
      <c r="A316" s="987" t="s">
        <v>582</v>
      </c>
      <c r="B316" s="987" t="s">
        <v>611</v>
      </c>
      <c r="C316" s="981" t="s">
        <v>1752</v>
      </c>
      <c r="D316" s="1005" t="s">
        <v>659</v>
      </c>
      <c r="E316" s="993">
        <v>1</v>
      </c>
      <c r="F316" s="993">
        <v>100</v>
      </c>
      <c r="G316" s="1005" t="s">
        <v>245</v>
      </c>
      <c r="H316" s="1006" t="s">
        <v>208</v>
      </c>
      <c r="I316" s="1005" t="s">
        <v>112</v>
      </c>
      <c r="J316" s="989">
        <v>9</v>
      </c>
      <c r="K316" s="989">
        <v>3</v>
      </c>
      <c r="L316" s="983" t="s">
        <v>571</v>
      </c>
      <c r="M316" s="987" t="s">
        <v>611</v>
      </c>
      <c r="N316" s="993" t="s">
        <v>2213</v>
      </c>
    </row>
    <row r="317" spans="1:14" ht="15" customHeight="1" x14ac:dyDescent="0.25">
      <c r="A317" s="987" t="s">
        <v>582</v>
      </c>
      <c r="B317" s="987" t="s">
        <v>611</v>
      </c>
      <c r="C317" s="981" t="s">
        <v>1753</v>
      </c>
      <c r="D317" s="1005" t="s">
        <v>315</v>
      </c>
      <c r="E317" s="993">
        <v>0</v>
      </c>
      <c r="F317" s="993">
        <v>100</v>
      </c>
      <c r="G317" s="1005" t="s">
        <v>46</v>
      </c>
      <c r="H317" s="1006" t="s">
        <v>208</v>
      </c>
      <c r="I317" s="1005" t="s">
        <v>112</v>
      </c>
      <c r="J317" s="989">
        <v>9</v>
      </c>
      <c r="K317" s="989">
        <v>3</v>
      </c>
      <c r="L317" s="983" t="s">
        <v>571</v>
      </c>
      <c r="M317" s="987" t="s">
        <v>611</v>
      </c>
      <c r="N317" s="993" t="s">
        <v>2214</v>
      </c>
    </row>
    <row r="318" spans="1:14" ht="15" customHeight="1" x14ac:dyDescent="0.35">
      <c r="A318" s="987" t="s">
        <v>582</v>
      </c>
      <c r="B318" s="987" t="s">
        <v>611</v>
      </c>
      <c r="C318" s="981" t="s">
        <v>1932</v>
      </c>
      <c r="D318" s="1005" t="s">
        <v>1045</v>
      </c>
      <c r="E318" s="993">
        <v>-100</v>
      </c>
      <c r="F318" s="988">
        <v>10000</v>
      </c>
      <c r="G318" s="1005" t="s">
        <v>1026</v>
      </c>
      <c r="H318" s="1006" t="s">
        <v>208</v>
      </c>
      <c r="I318" s="1005" t="s">
        <v>112</v>
      </c>
      <c r="J318" s="983" t="s">
        <v>571</v>
      </c>
      <c r="K318" s="983" t="s">
        <v>571</v>
      </c>
      <c r="L318" s="983" t="s">
        <v>571</v>
      </c>
      <c r="M318" s="987" t="s">
        <v>611</v>
      </c>
      <c r="N318" s="993" t="s">
        <v>2215</v>
      </c>
    </row>
    <row r="319" spans="1:14" ht="15" customHeight="1" x14ac:dyDescent="0.35">
      <c r="A319" s="987" t="s">
        <v>582</v>
      </c>
      <c r="B319" s="987" t="s">
        <v>611</v>
      </c>
      <c r="C319" s="981" t="s">
        <v>1933</v>
      </c>
      <c r="D319" s="1005" t="s">
        <v>1046</v>
      </c>
      <c r="E319" s="993">
        <v>-100</v>
      </c>
      <c r="F319" s="988">
        <v>10000</v>
      </c>
      <c r="G319" s="1005" t="s">
        <v>1027</v>
      </c>
      <c r="H319" s="1006" t="s">
        <v>208</v>
      </c>
      <c r="I319" s="1005" t="s">
        <v>112</v>
      </c>
      <c r="J319" s="983" t="s">
        <v>571</v>
      </c>
      <c r="K319" s="983" t="s">
        <v>571</v>
      </c>
      <c r="L319" s="983" t="s">
        <v>571</v>
      </c>
      <c r="M319" s="987" t="s">
        <v>611</v>
      </c>
      <c r="N319" s="993" t="s">
        <v>2216</v>
      </c>
    </row>
    <row r="320" spans="1:14" ht="15" customHeight="1" x14ac:dyDescent="0.35">
      <c r="A320" s="987" t="s">
        <v>582</v>
      </c>
      <c r="B320" s="987" t="s">
        <v>611</v>
      </c>
      <c r="C320" s="981" t="s">
        <v>1934</v>
      </c>
      <c r="D320" s="1005" t="s">
        <v>1047</v>
      </c>
      <c r="E320" s="988">
        <v>-10000</v>
      </c>
      <c r="F320" s="988">
        <v>10000</v>
      </c>
      <c r="G320" s="1005" t="s">
        <v>1027</v>
      </c>
      <c r="H320" s="1006" t="s">
        <v>208</v>
      </c>
      <c r="I320" s="1005" t="s">
        <v>112</v>
      </c>
      <c r="J320" s="983" t="s">
        <v>571</v>
      </c>
      <c r="K320" s="983" t="s">
        <v>571</v>
      </c>
      <c r="L320" s="983" t="s">
        <v>571</v>
      </c>
      <c r="M320" s="987" t="s">
        <v>611</v>
      </c>
      <c r="N320" s="993" t="s">
        <v>2217</v>
      </c>
    </row>
    <row r="321" spans="1:14" ht="15" customHeight="1" x14ac:dyDescent="0.25">
      <c r="A321" s="987" t="s">
        <v>582</v>
      </c>
      <c r="B321" s="987" t="s">
        <v>611</v>
      </c>
      <c r="C321" s="981" t="s">
        <v>1754</v>
      </c>
      <c r="D321" s="1005" t="s">
        <v>678</v>
      </c>
      <c r="E321" s="993">
        <v>-20</v>
      </c>
      <c r="F321" s="993">
        <v>40</v>
      </c>
      <c r="G321" s="1005" t="s">
        <v>1013</v>
      </c>
      <c r="H321" s="1006" t="s">
        <v>208</v>
      </c>
      <c r="I321" s="1005" t="s">
        <v>112</v>
      </c>
      <c r="J321" s="989">
        <v>9</v>
      </c>
      <c r="K321" s="989">
        <v>3</v>
      </c>
      <c r="L321" s="983" t="s">
        <v>571</v>
      </c>
      <c r="M321" s="987" t="s">
        <v>611</v>
      </c>
      <c r="N321" s="993" t="s">
        <v>2218</v>
      </c>
    </row>
    <row r="322" spans="1:14" ht="15" customHeight="1" x14ac:dyDescent="0.25">
      <c r="A322" s="987" t="s">
        <v>582</v>
      </c>
      <c r="B322" s="987" t="s">
        <v>611</v>
      </c>
      <c r="C322" s="981" t="s">
        <v>1755</v>
      </c>
      <c r="D322" s="1005" t="s">
        <v>679</v>
      </c>
      <c r="E322" s="993">
        <v>-20</v>
      </c>
      <c r="F322" s="993">
        <v>40</v>
      </c>
      <c r="G322" s="1005" t="s">
        <v>1013</v>
      </c>
      <c r="H322" s="1006" t="s">
        <v>208</v>
      </c>
      <c r="I322" s="1005" t="s">
        <v>112</v>
      </c>
      <c r="J322" s="989">
        <v>9</v>
      </c>
      <c r="K322" s="989">
        <v>3</v>
      </c>
      <c r="L322" s="983" t="s">
        <v>571</v>
      </c>
      <c r="M322" s="987" t="s">
        <v>611</v>
      </c>
      <c r="N322" s="993" t="s">
        <v>2219</v>
      </c>
    </row>
    <row r="323" spans="1:14" ht="15" customHeight="1" x14ac:dyDescent="0.25">
      <c r="A323" s="987" t="s">
        <v>582</v>
      </c>
      <c r="B323" s="987" t="s">
        <v>611</v>
      </c>
      <c r="C323" s="981" t="s">
        <v>1756</v>
      </c>
      <c r="D323" s="1005" t="s">
        <v>777</v>
      </c>
      <c r="E323" s="993">
        <v>1</v>
      </c>
      <c r="F323" s="993">
        <v>100</v>
      </c>
      <c r="G323" s="1005" t="s">
        <v>245</v>
      </c>
      <c r="H323" s="1006" t="s">
        <v>208</v>
      </c>
      <c r="I323" s="1005" t="s">
        <v>112</v>
      </c>
      <c r="J323" s="989">
        <v>9</v>
      </c>
      <c r="K323" s="989">
        <v>3</v>
      </c>
      <c r="L323" s="983" t="s">
        <v>571</v>
      </c>
      <c r="M323" s="987" t="s">
        <v>611</v>
      </c>
      <c r="N323" s="993" t="s">
        <v>2220</v>
      </c>
    </row>
    <row r="324" spans="1:14" ht="15" customHeight="1" x14ac:dyDescent="0.25">
      <c r="A324" s="999" t="s">
        <v>571</v>
      </c>
      <c r="B324" s="999" t="s">
        <v>571</v>
      </c>
      <c r="C324" s="999" t="s">
        <v>571</v>
      </c>
      <c r="D324" s="999" t="s">
        <v>571</v>
      </c>
      <c r="E324" s="999" t="s">
        <v>571</v>
      </c>
      <c r="F324" s="999" t="s">
        <v>571</v>
      </c>
      <c r="G324" s="999" t="s">
        <v>571</v>
      </c>
      <c r="H324" s="999" t="s">
        <v>571</v>
      </c>
      <c r="I324" s="999" t="s">
        <v>571</v>
      </c>
      <c r="J324" s="991" t="s">
        <v>571</v>
      </c>
      <c r="K324" s="991" t="s">
        <v>571</v>
      </c>
      <c r="L324" s="991" t="s">
        <v>571</v>
      </c>
      <c r="M324" s="999" t="s">
        <v>571</v>
      </c>
      <c r="N324" s="999" t="s">
        <v>571</v>
      </c>
    </row>
    <row r="325" spans="1:14" ht="15" customHeight="1" x14ac:dyDescent="0.25">
      <c r="A325" s="987" t="s">
        <v>582</v>
      </c>
      <c r="B325" s="987" t="s">
        <v>2028</v>
      </c>
      <c r="C325" s="981" t="s">
        <v>1637</v>
      </c>
      <c r="D325" s="1005" t="s">
        <v>578</v>
      </c>
      <c r="E325" s="993" t="s">
        <v>565</v>
      </c>
      <c r="F325" s="993" t="s">
        <v>566</v>
      </c>
      <c r="G325" s="993" t="s">
        <v>196</v>
      </c>
      <c r="H325" s="1005" t="s">
        <v>206</v>
      </c>
      <c r="I325" s="1005" t="s">
        <v>621</v>
      </c>
      <c r="J325" s="983" t="s">
        <v>571</v>
      </c>
      <c r="K325" s="983" t="s">
        <v>571</v>
      </c>
      <c r="L325" s="989">
        <v>63999</v>
      </c>
      <c r="M325" s="987" t="s">
        <v>2031</v>
      </c>
      <c r="N325" s="993" t="s">
        <v>154</v>
      </c>
    </row>
    <row r="326" spans="1:14" ht="15" customHeight="1" x14ac:dyDescent="0.25">
      <c r="A326" s="987" t="s">
        <v>582</v>
      </c>
      <c r="B326" s="987" t="s">
        <v>2028</v>
      </c>
      <c r="C326" s="981" t="s">
        <v>35</v>
      </c>
      <c r="D326" s="1005" t="s">
        <v>35</v>
      </c>
      <c r="E326" s="1007">
        <v>1</v>
      </c>
      <c r="F326" s="1007">
        <f ca="1">TODAY()</f>
        <v>42879</v>
      </c>
      <c r="G326" s="1005" t="s">
        <v>116</v>
      </c>
      <c r="H326" s="1005" t="s">
        <v>206</v>
      </c>
      <c r="I326" s="1005" t="s">
        <v>569</v>
      </c>
      <c r="J326" s="983" t="s">
        <v>571</v>
      </c>
      <c r="K326" s="983" t="s">
        <v>571</v>
      </c>
      <c r="L326" s="983" t="s">
        <v>571</v>
      </c>
      <c r="M326" s="987" t="s">
        <v>2031</v>
      </c>
      <c r="N326" s="993" t="s">
        <v>35</v>
      </c>
    </row>
    <row r="327" spans="1:14" ht="15" customHeight="1" x14ac:dyDescent="0.25">
      <c r="A327" s="987" t="s">
        <v>582</v>
      </c>
      <c r="B327" s="987" t="s">
        <v>2028</v>
      </c>
      <c r="C327" s="981" t="s">
        <v>1598</v>
      </c>
      <c r="D327" s="1005" t="s">
        <v>229</v>
      </c>
      <c r="E327" s="993" t="s">
        <v>565</v>
      </c>
      <c r="F327" s="993" t="s">
        <v>566</v>
      </c>
      <c r="G327" s="993" t="s">
        <v>196</v>
      </c>
      <c r="H327" s="1005" t="s">
        <v>208</v>
      </c>
      <c r="I327" s="1005" t="s">
        <v>621</v>
      </c>
      <c r="J327" s="983" t="s">
        <v>571</v>
      </c>
      <c r="K327" s="983" t="s">
        <v>571</v>
      </c>
      <c r="L327" s="989">
        <v>63999</v>
      </c>
      <c r="M327" s="987" t="s">
        <v>2031</v>
      </c>
      <c r="N327" s="993" t="s">
        <v>152</v>
      </c>
    </row>
    <row r="328" spans="1:14" ht="15" customHeight="1" x14ac:dyDescent="0.25">
      <c r="A328" s="987" t="s">
        <v>582</v>
      </c>
      <c r="B328" s="987" t="s">
        <v>2028</v>
      </c>
      <c r="C328" s="981" t="s">
        <v>1659</v>
      </c>
      <c r="D328" s="1005" t="s">
        <v>295</v>
      </c>
      <c r="E328" s="993" t="s">
        <v>565</v>
      </c>
      <c r="F328" s="993" t="s">
        <v>566</v>
      </c>
      <c r="G328" s="993" t="s">
        <v>196</v>
      </c>
      <c r="H328" s="1005" t="s">
        <v>208</v>
      </c>
      <c r="I328" s="1005" t="s">
        <v>621</v>
      </c>
      <c r="J328" s="983" t="s">
        <v>571</v>
      </c>
      <c r="K328" s="983" t="s">
        <v>571</v>
      </c>
      <c r="L328" s="989">
        <v>63999</v>
      </c>
      <c r="M328" s="987" t="s">
        <v>2031</v>
      </c>
      <c r="N328" s="993" t="s">
        <v>76</v>
      </c>
    </row>
    <row r="329" spans="1:14" ht="15" customHeight="1" x14ac:dyDescent="0.25">
      <c r="A329" s="987" t="s">
        <v>582</v>
      </c>
      <c r="B329" s="987" t="s">
        <v>2028</v>
      </c>
      <c r="C329" s="981" t="s">
        <v>77</v>
      </c>
      <c r="D329" s="1005" t="s">
        <v>267</v>
      </c>
      <c r="E329" s="993" t="s">
        <v>565</v>
      </c>
      <c r="F329" s="993" t="s">
        <v>566</v>
      </c>
      <c r="G329" s="993" t="s">
        <v>196</v>
      </c>
      <c r="H329" s="1005" t="s">
        <v>208</v>
      </c>
      <c r="I329" s="1005" t="s">
        <v>621</v>
      </c>
      <c r="J329" s="983" t="s">
        <v>571</v>
      </c>
      <c r="K329" s="983" t="s">
        <v>571</v>
      </c>
      <c r="L329" s="989">
        <v>63999</v>
      </c>
      <c r="M329" s="987" t="s">
        <v>2031</v>
      </c>
      <c r="N329" s="993" t="s">
        <v>77</v>
      </c>
    </row>
    <row r="330" spans="1:14" ht="15" customHeight="1" x14ac:dyDescent="0.25">
      <c r="A330" s="987" t="s">
        <v>582</v>
      </c>
      <c r="B330" s="987" t="s">
        <v>2028</v>
      </c>
      <c r="C330" s="981" t="s">
        <v>1760</v>
      </c>
      <c r="D330" s="1005" t="s">
        <v>494</v>
      </c>
      <c r="E330" s="993" t="s">
        <v>565</v>
      </c>
      <c r="F330" s="993" t="s">
        <v>566</v>
      </c>
      <c r="G330" s="993" t="s">
        <v>196</v>
      </c>
      <c r="H330" s="1006" t="s">
        <v>208</v>
      </c>
      <c r="I330" s="1005" t="s">
        <v>621</v>
      </c>
      <c r="J330" s="983" t="s">
        <v>571</v>
      </c>
      <c r="K330" s="983" t="s">
        <v>571</v>
      </c>
      <c r="L330" s="989">
        <v>63999</v>
      </c>
      <c r="M330" s="987" t="s">
        <v>2031</v>
      </c>
      <c r="N330" s="993" t="s">
        <v>395</v>
      </c>
    </row>
    <row r="331" spans="1:14" ht="15" customHeight="1" x14ac:dyDescent="0.25">
      <c r="A331" s="987" t="s">
        <v>582</v>
      </c>
      <c r="B331" s="987" t="s">
        <v>2028</v>
      </c>
      <c r="C331" s="981" t="s">
        <v>1759</v>
      </c>
      <c r="D331" s="1005" t="s">
        <v>317</v>
      </c>
      <c r="E331" s="993">
        <v>0</v>
      </c>
      <c r="F331" s="988">
        <v>50000</v>
      </c>
      <c r="G331" s="1005" t="s">
        <v>46</v>
      </c>
      <c r="H331" s="1006" t="s">
        <v>208</v>
      </c>
      <c r="I331" s="1005" t="s">
        <v>112</v>
      </c>
      <c r="J331" s="989">
        <v>9</v>
      </c>
      <c r="K331" s="989">
        <v>3</v>
      </c>
      <c r="L331" s="983" t="s">
        <v>571</v>
      </c>
      <c r="M331" s="987" t="s">
        <v>2031</v>
      </c>
      <c r="N331" s="993" t="s">
        <v>2221</v>
      </c>
    </row>
    <row r="332" spans="1:14" s="981" customFormat="1" ht="15" customHeight="1" x14ac:dyDescent="0.25">
      <c r="A332" s="987" t="s">
        <v>582</v>
      </c>
      <c r="B332" s="987" t="s">
        <v>2028</v>
      </c>
      <c r="C332" s="981" t="s">
        <v>1761</v>
      </c>
      <c r="D332" s="1005" t="s">
        <v>318</v>
      </c>
      <c r="E332" s="993">
        <v>0</v>
      </c>
      <c r="F332" s="988">
        <v>50000</v>
      </c>
      <c r="G332" s="1005" t="s">
        <v>118</v>
      </c>
      <c r="H332" s="1006" t="s">
        <v>208</v>
      </c>
      <c r="I332" s="1005" t="s">
        <v>112</v>
      </c>
      <c r="J332" s="989">
        <v>9</v>
      </c>
      <c r="K332" s="989">
        <v>3</v>
      </c>
      <c r="L332" s="983" t="s">
        <v>571</v>
      </c>
      <c r="M332" s="987" t="s">
        <v>2031</v>
      </c>
      <c r="N332" s="993" t="s">
        <v>2222</v>
      </c>
    </row>
    <row r="333" spans="1:14" ht="15" customHeight="1" x14ac:dyDescent="0.25">
      <c r="A333" s="987" t="s">
        <v>582</v>
      </c>
      <c r="B333" s="987" t="s">
        <v>2028</v>
      </c>
      <c r="C333" s="981" t="s">
        <v>1762</v>
      </c>
      <c r="D333" s="1005" t="s">
        <v>778</v>
      </c>
      <c r="E333" s="993">
        <v>0</v>
      </c>
      <c r="F333" s="993">
        <v>1000</v>
      </c>
      <c r="G333" s="1005" t="s">
        <v>138</v>
      </c>
      <c r="H333" s="1006" t="s">
        <v>208</v>
      </c>
      <c r="I333" s="1005" t="s">
        <v>112</v>
      </c>
      <c r="J333" s="989">
        <v>9</v>
      </c>
      <c r="K333" s="989">
        <v>3</v>
      </c>
      <c r="L333" s="983" t="s">
        <v>571</v>
      </c>
      <c r="M333" s="987" t="s">
        <v>2031</v>
      </c>
      <c r="N333" s="993" t="s">
        <v>2223</v>
      </c>
    </row>
    <row r="334" spans="1:14" ht="15" customHeight="1" x14ac:dyDescent="0.25">
      <c r="A334" s="987" t="s">
        <v>582</v>
      </c>
      <c r="B334" s="987" t="s">
        <v>2028</v>
      </c>
      <c r="C334" s="981" t="s">
        <v>1763</v>
      </c>
      <c r="D334" s="1005" t="s">
        <v>320</v>
      </c>
      <c r="E334" s="993">
        <v>0</v>
      </c>
      <c r="F334" s="988">
        <v>50000</v>
      </c>
      <c r="G334" s="1005" t="s">
        <v>118</v>
      </c>
      <c r="H334" s="1006" t="s">
        <v>208</v>
      </c>
      <c r="I334" s="1005" t="s">
        <v>112</v>
      </c>
      <c r="J334" s="989">
        <v>9</v>
      </c>
      <c r="K334" s="989">
        <v>3</v>
      </c>
      <c r="L334" s="983" t="s">
        <v>571</v>
      </c>
      <c r="M334" s="987" t="s">
        <v>2031</v>
      </c>
      <c r="N334" s="993" t="s">
        <v>2224</v>
      </c>
    </row>
    <row r="335" spans="1:14" ht="15" customHeight="1" x14ac:dyDescent="0.25">
      <c r="A335" s="987" t="s">
        <v>582</v>
      </c>
      <c r="B335" s="987" t="s">
        <v>2028</v>
      </c>
      <c r="C335" s="981" t="s">
        <v>1764</v>
      </c>
      <c r="D335" s="1005" t="s">
        <v>322</v>
      </c>
      <c r="E335" s="993">
        <v>0</v>
      </c>
      <c r="F335" s="993">
        <v>100</v>
      </c>
      <c r="G335" s="1005" t="s">
        <v>40</v>
      </c>
      <c r="H335" s="1006" t="s">
        <v>208</v>
      </c>
      <c r="I335" s="1005" t="s">
        <v>112</v>
      </c>
      <c r="J335" s="989">
        <v>9</v>
      </c>
      <c r="K335" s="989">
        <v>3</v>
      </c>
      <c r="L335" s="983" t="s">
        <v>571</v>
      </c>
      <c r="M335" s="987" t="s">
        <v>2031</v>
      </c>
      <c r="N335" s="993" t="s">
        <v>2225</v>
      </c>
    </row>
    <row r="336" spans="1:14" ht="15" customHeight="1" x14ac:dyDescent="0.25">
      <c r="A336" s="987" t="s">
        <v>582</v>
      </c>
      <c r="B336" s="987" t="s">
        <v>2028</v>
      </c>
      <c r="C336" s="981" t="s">
        <v>1765</v>
      </c>
      <c r="D336" s="1005" t="s">
        <v>324</v>
      </c>
      <c r="E336" s="993">
        <v>0</v>
      </c>
      <c r="F336" s="988">
        <v>25000</v>
      </c>
      <c r="G336" s="1005" t="s">
        <v>119</v>
      </c>
      <c r="H336" s="1006" t="s">
        <v>208</v>
      </c>
      <c r="I336" s="1005" t="s">
        <v>112</v>
      </c>
      <c r="J336" s="989">
        <v>9</v>
      </c>
      <c r="K336" s="989">
        <v>3</v>
      </c>
      <c r="L336" s="983" t="s">
        <v>571</v>
      </c>
      <c r="M336" s="987" t="s">
        <v>2031</v>
      </c>
      <c r="N336" s="993" t="s">
        <v>2226</v>
      </c>
    </row>
    <row r="337" spans="1:14" ht="15" customHeight="1" x14ac:dyDescent="0.25">
      <c r="A337" s="987" t="s">
        <v>582</v>
      </c>
      <c r="B337" s="987" t="s">
        <v>2028</v>
      </c>
      <c r="C337" s="981" t="s">
        <v>1766</v>
      </c>
      <c r="D337" s="1005" t="s">
        <v>326</v>
      </c>
      <c r="E337" s="993">
        <v>0</v>
      </c>
      <c r="F337" s="988">
        <v>10000</v>
      </c>
      <c r="G337" s="1005" t="s">
        <v>91</v>
      </c>
      <c r="H337" s="1006" t="s">
        <v>208</v>
      </c>
      <c r="I337" s="1005" t="s">
        <v>112</v>
      </c>
      <c r="J337" s="989">
        <v>9</v>
      </c>
      <c r="K337" s="989">
        <v>3</v>
      </c>
      <c r="L337" s="983" t="s">
        <v>571</v>
      </c>
      <c r="M337" s="987" t="s">
        <v>2031</v>
      </c>
      <c r="N337" s="993" t="s">
        <v>2227</v>
      </c>
    </row>
    <row r="338" spans="1:14" ht="15" customHeight="1" x14ac:dyDescent="0.25">
      <c r="A338" s="987" t="s">
        <v>582</v>
      </c>
      <c r="B338" s="987" t="s">
        <v>2028</v>
      </c>
      <c r="C338" s="981" t="s">
        <v>1992</v>
      </c>
      <c r="D338" s="1005" t="s">
        <v>987</v>
      </c>
      <c r="E338" s="993">
        <v>0</v>
      </c>
      <c r="F338" s="988">
        <v>50000</v>
      </c>
      <c r="G338" s="1005" t="s">
        <v>118</v>
      </c>
      <c r="H338" s="1006" t="s">
        <v>208</v>
      </c>
      <c r="I338" s="1005" t="s">
        <v>112</v>
      </c>
      <c r="J338" s="989">
        <v>9</v>
      </c>
      <c r="K338" s="989">
        <v>3</v>
      </c>
      <c r="L338" s="983" t="s">
        <v>571</v>
      </c>
      <c r="M338" s="987" t="s">
        <v>2031</v>
      </c>
      <c r="N338" s="993" t="s">
        <v>2228</v>
      </c>
    </row>
    <row r="339" spans="1:14" ht="15" customHeight="1" x14ac:dyDescent="0.25">
      <c r="A339" s="987" t="s">
        <v>582</v>
      </c>
      <c r="B339" s="987" t="s">
        <v>2028</v>
      </c>
      <c r="C339" s="981" t="s">
        <v>1767</v>
      </c>
      <c r="D339" s="1005" t="s">
        <v>329</v>
      </c>
      <c r="E339" s="993">
        <v>0</v>
      </c>
      <c r="F339" s="993">
        <v>100</v>
      </c>
      <c r="G339" s="1005" t="s">
        <v>40</v>
      </c>
      <c r="H339" s="1006" t="s">
        <v>208</v>
      </c>
      <c r="I339" s="1005" t="s">
        <v>112</v>
      </c>
      <c r="J339" s="989">
        <v>9</v>
      </c>
      <c r="K339" s="989">
        <v>3</v>
      </c>
      <c r="L339" s="983" t="s">
        <v>571</v>
      </c>
      <c r="M339" s="987" t="s">
        <v>2031</v>
      </c>
      <c r="N339" s="993" t="s">
        <v>2229</v>
      </c>
    </row>
    <row r="340" spans="1:14" ht="15" customHeight="1" x14ac:dyDescent="0.25">
      <c r="A340" s="987" t="s">
        <v>582</v>
      </c>
      <c r="B340" s="987" t="s">
        <v>2028</v>
      </c>
      <c r="C340" s="981" t="s">
        <v>1768</v>
      </c>
      <c r="D340" s="1005" t="s">
        <v>985</v>
      </c>
      <c r="E340" s="993">
        <v>0</v>
      </c>
      <c r="F340" s="988">
        <v>25000</v>
      </c>
      <c r="G340" s="1005" t="s">
        <v>119</v>
      </c>
      <c r="H340" s="1006" t="s">
        <v>208</v>
      </c>
      <c r="I340" s="1005" t="s">
        <v>112</v>
      </c>
      <c r="J340" s="989">
        <v>9</v>
      </c>
      <c r="K340" s="989">
        <v>3</v>
      </c>
      <c r="L340" s="983" t="s">
        <v>571</v>
      </c>
      <c r="M340" s="987" t="s">
        <v>2031</v>
      </c>
      <c r="N340" s="993" t="s">
        <v>2230</v>
      </c>
    </row>
    <row r="341" spans="1:14" ht="15" customHeight="1" x14ac:dyDescent="0.25">
      <c r="A341" s="987" t="s">
        <v>582</v>
      </c>
      <c r="B341" s="987" t="s">
        <v>2028</v>
      </c>
      <c r="C341" s="981" t="s">
        <v>1769</v>
      </c>
      <c r="D341" s="1005" t="s">
        <v>989</v>
      </c>
      <c r="E341" s="993">
        <v>0</v>
      </c>
      <c r="F341" s="988">
        <v>25000</v>
      </c>
      <c r="G341" s="1005" t="s">
        <v>91</v>
      </c>
      <c r="H341" s="1005" t="s">
        <v>208</v>
      </c>
      <c r="I341" s="1005" t="s">
        <v>112</v>
      </c>
      <c r="J341" s="989">
        <v>9</v>
      </c>
      <c r="K341" s="989">
        <v>3</v>
      </c>
      <c r="L341" s="983" t="s">
        <v>571</v>
      </c>
      <c r="M341" s="987" t="s">
        <v>2031</v>
      </c>
      <c r="N341" s="993" t="s">
        <v>2231</v>
      </c>
    </row>
    <row r="342" spans="1:14" ht="15" customHeight="1" x14ac:dyDescent="0.25">
      <c r="A342" s="987" t="s">
        <v>582</v>
      </c>
      <c r="B342" s="987" t="s">
        <v>2028</v>
      </c>
      <c r="C342" s="981" t="s">
        <v>1993</v>
      </c>
      <c r="D342" s="1005" t="s">
        <v>988</v>
      </c>
      <c r="E342" s="993">
        <v>0</v>
      </c>
      <c r="F342" s="988">
        <v>5000</v>
      </c>
      <c r="G342" s="1005" t="s">
        <v>118</v>
      </c>
      <c r="H342" s="1006" t="s">
        <v>208</v>
      </c>
      <c r="I342" s="1005" t="s">
        <v>112</v>
      </c>
      <c r="J342" s="989">
        <v>9</v>
      </c>
      <c r="K342" s="989">
        <v>3</v>
      </c>
      <c r="L342" s="983" t="s">
        <v>571</v>
      </c>
      <c r="M342" s="987" t="s">
        <v>2031</v>
      </c>
      <c r="N342" s="993" t="s">
        <v>2232</v>
      </c>
    </row>
    <row r="343" spans="1:14" ht="15" customHeight="1" x14ac:dyDescent="0.25">
      <c r="A343" s="987" t="s">
        <v>582</v>
      </c>
      <c r="B343" s="987" t="s">
        <v>2028</v>
      </c>
      <c r="C343" s="981" t="s">
        <v>1999</v>
      </c>
      <c r="D343" s="1005" t="s">
        <v>329</v>
      </c>
      <c r="E343" s="993">
        <v>0</v>
      </c>
      <c r="F343" s="993">
        <v>100</v>
      </c>
      <c r="G343" s="1005" t="s">
        <v>40</v>
      </c>
      <c r="H343" s="1006" t="s">
        <v>208</v>
      </c>
      <c r="I343" s="1005" t="s">
        <v>112</v>
      </c>
      <c r="J343" s="989">
        <v>9</v>
      </c>
      <c r="K343" s="989">
        <v>3</v>
      </c>
      <c r="L343" s="983" t="s">
        <v>571</v>
      </c>
      <c r="M343" s="987" t="s">
        <v>2031</v>
      </c>
      <c r="N343" s="993" t="s">
        <v>2233</v>
      </c>
    </row>
    <row r="344" spans="1:14" ht="15" customHeight="1" x14ac:dyDescent="0.25">
      <c r="A344" s="987" t="s">
        <v>582</v>
      </c>
      <c r="B344" s="987" t="s">
        <v>2028</v>
      </c>
      <c r="C344" s="981" t="s">
        <v>2000</v>
      </c>
      <c r="D344" s="1005" t="s">
        <v>986</v>
      </c>
      <c r="E344" s="993">
        <v>0</v>
      </c>
      <c r="F344" s="988">
        <v>25000</v>
      </c>
      <c r="G344" s="1005" t="s">
        <v>119</v>
      </c>
      <c r="H344" s="1006" t="s">
        <v>208</v>
      </c>
      <c r="I344" s="1005" t="s">
        <v>112</v>
      </c>
      <c r="J344" s="989">
        <v>9</v>
      </c>
      <c r="K344" s="989">
        <v>3</v>
      </c>
      <c r="L344" s="983" t="s">
        <v>571</v>
      </c>
      <c r="M344" s="987" t="s">
        <v>2031</v>
      </c>
      <c r="N344" s="993" t="s">
        <v>2234</v>
      </c>
    </row>
    <row r="345" spans="1:14" ht="15" customHeight="1" x14ac:dyDescent="0.25">
      <c r="A345" s="987" t="s">
        <v>582</v>
      </c>
      <c r="B345" s="987" t="s">
        <v>2028</v>
      </c>
      <c r="C345" s="981" t="s">
        <v>1998</v>
      </c>
      <c r="D345" s="1005" t="s">
        <v>990</v>
      </c>
      <c r="E345" s="993">
        <v>0</v>
      </c>
      <c r="F345" s="988">
        <v>10000</v>
      </c>
      <c r="G345" s="1005" t="s">
        <v>91</v>
      </c>
      <c r="H345" s="1006" t="s">
        <v>208</v>
      </c>
      <c r="I345" s="1005" t="s">
        <v>112</v>
      </c>
      <c r="J345" s="989">
        <v>9</v>
      </c>
      <c r="K345" s="989">
        <v>3</v>
      </c>
      <c r="L345" s="983" t="s">
        <v>571</v>
      </c>
      <c r="M345" s="987" t="s">
        <v>2031</v>
      </c>
      <c r="N345" s="993" t="s">
        <v>2235</v>
      </c>
    </row>
    <row r="346" spans="1:14" ht="15" customHeight="1" x14ac:dyDescent="0.25">
      <c r="A346" s="987" t="s">
        <v>582</v>
      </c>
      <c r="B346" s="987" t="s">
        <v>2028</v>
      </c>
      <c r="C346" s="981" t="s">
        <v>1770</v>
      </c>
      <c r="D346" s="1005" t="s">
        <v>333</v>
      </c>
      <c r="E346" s="993">
        <v>0</v>
      </c>
      <c r="F346" s="988">
        <v>50000</v>
      </c>
      <c r="G346" s="1005" t="s">
        <v>118</v>
      </c>
      <c r="H346" s="1006" t="s">
        <v>208</v>
      </c>
      <c r="I346" s="1005" t="s">
        <v>112</v>
      </c>
      <c r="J346" s="989">
        <v>9</v>
      </c>
      <c r="K346" s="989">
        <v>3</v>
      </c>
      <c r="L346" s="983" t="s">
        <v>571</v>
      </c>
      <c r="M346" s="987" t="s">
        <v>2031</v>
      </c>
      <c r="N346" s="993" t="s">
        <v>2236</v>
      </c>
    </row>
    <row r="347" spans="1:14" ht="15" customHeight="1" x14ac:dyDescent="0.25">
      <c r="A347" s="987" t="s">
        <v>582</v>
      </c>
      <c r="B347" s="987" t="s">
        <v>2028</v>
      </c>
      <c r="C347" s="981" t="s">
        <v>1771</v>
      </c>
      <c r="D347" s="1005" t="s">
        <v>334</v>
      </c>
      <c r="E347" s="993">
        <v>0</v>
      </c>
      <c r="F347" s="993">
        <v>100</v>
      </c>
      <c r="G347" s="1005" t="s">
        <v>40</v>
      </c>
      <c r="H347" s="1006" t="s">
        <v>208</v>
      </c>
      <c r="I347" s="1005" t="s">
        <v>112</v>
      </c>
      <c r="J347" s="989">
        <v>9</v>
      </c>
      <c r="K347" s="989">
        <v>3</v>
      </c>
      <c r="L347" s="983" t="s">
        <v>571</v>
      </c>
      <c r="M347" s="987" t="s">
        <v>2031</v>
      </c>
      <c r="N347" s="993" t="s">
        <v>2237</v>
      </c>
    </row>
    <row r="348" spans="1:14" ht="15" customHeight="1" x14ac:dyDescent="0.25">
      <c r="A348" s="987" t="s">
        <v>582</v>
      </c>
      <c r="B348" s="987" t="s">
        <v>2028</v>
      </c>
      <c r="C348" s="981" t="s">
        <v>1772</v>
      </c>
      <c r="D348" s="1005" t="s">
        <v>336</v>
      </c>
      <c r="E348" s="993">
        <v>0</v>
      </c>
      <c r="F348" s="988">
        <v>25000</v>
      </c>
      <c r="G348" s="1005" t="s">
        <v>119</v>
      </c>
      <c r="H348" s="1006" t="s">
        <v>208</v>
      </c>
      <c r="I348" s="1005" t="s">
        <v>112</v>
      </c>
      <c r="J348" s="989">
        <v>9</v>
      </c>
      <c r="K348" s="989">
        <v>3</v>
      </c>
      <c r="L348" s="983" t="s">
        <v>571</v>
      </c>
      <c r="M348" s="987" t="s">
        <v>2031</v>
      </c>
      <c r="N348" s="993" t="s">
        <v>2238</v>
      </c>
    </row>
    <row r="349" spans="1:14" ht="15" customHeight="1" x14ac:dyDescent="0.25">
      <c r="A349" s="987" t="s">
        <v>582</v>
      </c>
      <c r="B349" s="987" t="s">
        <v>2028</v>
      </c>
      <c r="C349" s="981" t="s">
        <v>1773</v>
      </c>
      <c r="D349" s="1005" t="s">
        <v>0</v>
      </c>
      <c r="E349" s="993">
        <v>0</v>
      </c>
      <c r="F349" s="988">
        <v>10000</v>
      </c>
      <c r="G349" s="1005" t="s">
        <v>91</v>
      </c>
      <c r="H349" s="1006" t="s">
        <v>208</v>
      </c>
      <c r="I349" s="1005" t="s">
        <v>112</v>
      </c>
      <c r="J349" s="989">
        <v>9</v>
      </c>
      <c r="K349" s="989">
        <v>3</v>
      </c>
      <c r="L349" s="983" t="s">
        <v>571</v>
      </c>
      <c r="M349" s="987" t="s">
        <v>2031</v>
      </c>
      <c r="N349" s="993" t="s">
        <v>2239</v>
      </c>
    </row>
    <row r="350" spans="1:14" ht="15" customHeight="1" x14ac:dyDescent="0.25">
      <c r="A350" s="987" t="s">
        <v>582</v>
      </c>
      <c r="B350" s="987" t="s">
        <v>2028</v>
      </c>
      <c r="C350" s="981" t="s">
        <v>1774</v>
      </c>
      <c r="D350" s="1005" t="s">
        <v>588</v>
      </c>
      <c r="E350" s="993">
        <v>0</v>
      </c>
      <c r="F350" s="988">
        <v>50000</v>
      </c>
      <c r="G350" s="1005" t="s">
        <v>46</v>
      </c>
      <c r="H350" s="1005" t="s">
        <v>208</v>
      </c>
      <c r="I350" s="1005" t="s">
        <v>112</v>
      </c>
      <c r="J350" s="989">
        <v>9</v>
      </c>
      <c r="K350" s="989">
        <v>3</v>
      </c>
      <c r="L350" s="983" t="s">
        <v>571</v>
      </c>
      <c r="M350" s="987" t="s">
        <v>2031</v>
      </c>
      <c r="N350" s="993" t="s">
        <v>2240</v>
      </c>
    </row>
    <row r="351" spans="1:14" ht="15" customHeight="1" x14ac:dyDescent="0.25">
      <c r="A351" s="987" t="s">
        <v>582</v>
      </c>
      <c r="B351" s="987" t="s">
        <v>2028</v>
      </c>
      <c r="C351" s="981" t="s">
        <v>1775</v>
      </c>
      <c r="D351" s="1005" t="s">
        <v>660</v>
      </c>
      <c r="E351" s="993">
        <v>0</v>
      </c>
      <c r="F351" s="988">
        <v>50000</v>
      </c>
      <c r="G351" s="1005" t="s">
        <v>118</v>
      </c>
      <c r="H351" s="1006" t="s">
        <v>208</v>
      </c>
      <c r="I351" s="1005" t="s">
        <v>112</v>
      </c>
      <c r="J351" s="989">
        <v>9</v>
      </c>
      <c r="K351" s="989">
        <v>3</v>
      </c>
      <c r="L351" s="983" t="s">
        <v>571</v>
      </c>
      <c r="M351" s="987" t="s">
        <v>2031</v>
      </c>
      <c r="N351" s="993" t="s">
        <v>2241</v>
      </c>
    </row>
    <row r="352" spans="1:14" ht="15" customHeight="1" x14ac:dyDescent="0.25">
      <c r="A352" s="987" t="s">
        <v>582</v>
      </c>
      <c r="B352" s="987" t="s">
        <v>2028</v>
      </c>
      <c r="C352" s="981" t="s">
        <v>1776</v>
      </c>
      <c r="D352" s="1005" t="s">
        <v>319</v>
      </c>
      <c r="E352" s="993">
        <v>0</v>
      </c>
      <c r="F352" s="993">
        <v>1000</v>
      </c>
      <c r="G352" s="1005" t="s">
        <v>138</v>
      </c>
      <c r="H352" s="1006" t="s">
        <v>208</v>
      </c>
      <c r="I352" s="1005" t="s">
        <v>112</v>
      </c>
      <c r="J352" s="989">
        <v>9</v>
      </c>
      <c r="K352" s="989">
        <v>3</v>
      </c>
      <c r="L352" s="983" t="s">
        <v>571</v>
      </c>
      <c r="M352" s="987" t="s">
        <v>2031</v>
      </c>
      <c r="N352" s="993" t="s">
        <v>2242</v>
      </c>
    </row>
    <row r="353" spans="1:14" ht="15" customHeight="1" x14ac:dyDescent="0.25">
      <c r="A353" s="987" t="s">
        <v>582</v>
      </c>
      <c r="B353" s="987" t="s">
        <v>2028</v>
      </c>
      <c r="C353" s="981" t="s">
        <v>1777</v>
      </c>
      <c r="D353" s="1005" t="s">
        <v>321</v>
      </c>
      <c r="E353" s="993">
        <v>0</v>
      </c>
      <c r="F353" s="988">
        <v>50000</v>
      </c>
      <c r="G353" s="1005" t="s">
        <v>118</v>
      </c>
      <c r="H353" s="1006" t="s">
        <v>208</v>
      </c>
      <c r="I353" s="1005" t="s">
        <v>112</v>
      </c>
      <c r="J353" s="989">
        <v>9</v>
      </c>
      <c r="K353" s="989">
        <v>3</v>
      </c>
      <c r="L353" s="983" t="s">
        <v>571</v>
      </c>
      <c r="M353" s="987" t="s">
        <v>2031</v>
      </c>
      <c r="N353" s="993" t="s">
        <v>2243</v>
      </c>
    </row>
    <row r="354" spans="1:14" ht="15" customHeight="1" x14ac:dyDescent="0.25">
      <c r="A354" s="987" t="s">
        <v>582</v>
      </c>
      <c r="B354" s="987" t="s">
        <v>2028</v>
      </c>
      <c r="C354" s="981" t="s">
        <v>1778</v>
      </c>
      <c r="D354" s="1005" t="s">
        <v>323</v>
      </c>
      <c r="E354" s="993">
        <v>0</v>
      </c>
      <c r="F354" s="993">
        <v>100</v>
      </c>
      <c r="G354" s="1005" t="s">
        <v>40</v>
      </c>
      <c r="H354" s="1006" t="s">
        <v>208</v>
      </c>
      <c r="I354" s="1005" t="s">
        <v>112</v>
      </c>
      <c r="J354" s="989">
        <v>9</v>
      </c>
      <c r="K354" s="989">
        <v>3</v>
      </c>
      <c r="L354" s="983" t="s">
        <v>571</v>
      </c>
      <c r="M354" s="987" t="s">
        <v>2031</v>
      </c>
      <c r="N354" s="993" t="s">
        <v>2244</v>
      </c>
    </row>
    <row r="355" spans="1:14" ht="15" customHeight="1" x14ac:dyDescent="0.25">
      <c r="A355" s="987" t="s">
        <v>582</v>
      </c>
      <c r="B355" s="987" t="s">
        <v>2028</v>
      </c>
      <c r="C355" s="981" t="s">
        <v>1779</v>
      </c>
      <c r="D355" s="1005" t="s">
        <v>325</v>
      </c>
      <c r="E355" s="993">
        <v>0</v>
      </c>
      <c r="F355" s="988">
        <v>25000</v>
      </c>
      <c r="G355" s="1005" t="s">
        <v>119</v>
      </c>
      <c r="H355" s="1006" t="s">
        <v>208</v>
      </c>
      <c r="I355" s="1005" t="s">
        <v>112</v>
      </c>
      <c r="J355" s="989">
        <v>9</v>
      </c>
      <c r="K355" s="989">
        <v>3</v>
      </c>
      <c r="L355" s="983" t="s">
        <v>571</v>
      </c>
      <c r="M355" s="987" t="s">
        <v>2031</v>
      </c>
      <c r="N355" s="993" t="s">
        <v>2245</v>
      </c>
    </row>
    <row r="356" spans="1:14" ht="15" customHeight="1" x14ac:dyDescent="0.25">
      <c r="A356" s="987" t="s">
        <v>582</v>
      </c>
      <c r="B356" s="987" t="s">
        <v>2028</v>
      </c>
      <c r="C356" s="981" t="s">
        <v>1780</v>
      </c>
      <c r="D356" s="1005" t="s">
        <v>327</v>
      </c>
      <c r="E356" s="993">
        <v>0</v>
      </c>
      <c r="F356" s="988">
        <v>10000</v>
      </c>
      <c r="G356" s="1005" t="s">
        <v>91</v>
      </c>
      <c r="H356" s="1006" t="s">
        <v>208</v>
      </c>
      <c r="I356" s="1005" t="s">
        <v>112</v>
      </c>
      <c r="J356" s="989">
        <v>9</v>
      </c>
      <c r="K356" s="989">
        <v>3</v>
      </c>
      <c r="L356" s="983" t="s">
        <v>571</v>
      </c>
      <c r="M356" s="987" t="s">
        <v>2031</v>
      </c>
      <c r="N356" s="993" t="s">
        <v>2246</v>
      </c>
    </row>
    <row r="357" spans="1:14" ht="15" customHeight="1" x14ac:dyDescent="0.25">
      <c r="A357" s="987" t="s">
        <v>582</v>
      </c>
      <c r="B357" s="987" t="s">
        <v>2028</v>
      </c>
      <c r="C357" s="981" t="s">
        <v>1991</v>
      </c>
      <c r="D357" s="1005" t="s">
        <v>991</v>
      </c>
      <c r="E357" s="993">
        <v>0</v>
      </c>
      <c r="F357" s="988">
        <v>50000</v>
      </c>
      <c r="G357" s="1005" t="s">
        <v>118</v>
      </c>
      <c r="H357" s="1006" t="s">
        <v>208</v>
      </c>
      <c r="I357" s="1005" t="s">
        <v>112</v>
      </c>
      <c r="J357" s="989">
        <v>9</v>
      </c>
      <c r="K357" s="989">
        <v>3</v>
      </c>
      <c r="L357" s="983" t="s">
        <v>571</v>
      </c>
      <c r="M357" s="987" t="s">
        <v>2031</v>
      </c>
      <c r="N357" s="993" t="s">
        <v>2247</v>
      </c>
    </row>
    <row r="358" spans="1:14" ht="15" customHeight="1" x14ac:dyDescent="0.25">
      <c r="A358" s="987" t="s">
        <v>582</v>
      </c>
      <c r="B358" s="987" t="s">
        <v>2028</v>
      </c>
      <c r="C358" s="981" t="s">
        <v>1781</v>
      </c>
      <c r="D358" s="1005" t="s">
        <v>330</v>
      </c>
      <c r="E358" s="993">
        <v>0</v>
      </c>
      <c r="F358" s="993">
        <v>100</v>
      </c>
      <c r="G358" s="1005" t="s">
        <v>40</v>
      </c>
      <c r="H358" s="1006" t="s">
        <v>208</v>
      </c>
      <c r="I358" s="1005" t="s">
        <v>112</v>
      </c>
      <c r="J358" s="989">
        <v>9</v>
      </c>
      <c r="K358" s="989">
        <v>3</v>
      </c>
      <c r="L358" s="983" t="s">
        <v>571</v>
      </c>
      <c r="M358" s="987" t="s">
        <v>2031</v>
      </c>
      <c r="N358" s="993" t="s">
        <v>2248</v>
      </c>
    </row>
    <row r="359" spans="1:14" ht="15" customHeight="1" x14ac:dyDescent="0.25">
      <c r="A359" s="987" t="s">
        <v>582</v>
      </c>
      <c r="B359" s="987" t="s">
        <v>2028</v>
      </c>
      <c r="C359" s="981" t="s">
        <v>1782</v>
      </c>
      <c r="D359" s="1005" t="s">
        <v>992</v>
      </c>
      <c r="E359" s="993">
        <v>0</v>
      </c>
      <c r="F359" s="988">
        <v>25000</v>
      </c>
      <c r="G359" s="1005" t="s">
        <v>119</v>
      </c>
      <c r="H359" s="1006" t="s">
        <v>208</v>
      </c>
      <c r="I359" s="1005" t="s">
        <v>112</v>
      </c>
      <c r="J359" s="989">
        <v>9</v>
      </c>
      <c r="K359" s="989">
        <v>3</v>
      </c>
      <c r="L359" s="983" t="s">
        <v>571</v>
      </c>
      <c r="M359" s="987" t="s">
        <v>2031</v>
      </c>
      <c r="N359" s="993" t="s">
        <v>2249</v>
      </c>
    </row>
    <row r="360" spans="1:14" ht="15" customHeight="1" x14ac:dyDescent="0.25">
      <c r="A360" s="987" t="s">
        <v>582</v>
      </c>
      <c r="B360" s="987" t="s">
        <v>2028</v>
      </c>
      <c r="C360" s="981" t="s">
        <v>1783</v>
      </c>
      <c r="D360" s="1005" t="s">
        <v>993</v>
      </c>
      <c r="E360" s="993">
        <v>0</v>
      </c>
      <c r="F360" s="988">
        <v>25000</v>
      </c>
      <c r="G360" s="1005" t="s">
        <v>91</v>
      </c>
      <c r="H360" s="1006" t="s">
        <v>208</v>
      </c>
      <c r="I360" s="1005" t="s">
        <v>112</v>
      </c>
      <c r="J360" s="989">
        <v>9</v>
      </c>
      <c r="K360" s="989">
        <v>3</v>
      </c>
      <c r="L360" s="983" t="s">
        <v>571</v>
      </c>
      <c r="M360" s="987" t="s">
        <v>2031</v>
      </c>
      <c r="N360" s="993" t="s">
        <v>2250</v>
      </c>
    </row>
    <row r="361" spans="1:14" ht="15" customHeight="1" x14ac:dyDescent="0.25">
      <c r="A361" s="987" t="s">
        <v>582</v>
      </c>
      <c r="B361" s="987" t="s">
        <v>2028</v>
      </c>
      <c r="C361" s="981" t="s">
        <v>1994</v>
      </c>
      <c r="D361" s="1005" t="s">
        <v>328</v>
      </c>
      <c r="E361" s="993">
        <v>0</v>
      </c>
      <c r="F361" s="988">
        <v>5000</v>
      </c>
      <c r="G361" s="1005" t="s">
        <v>118</v>
      </c>
      <c r="H361" s="1006" t="s">
        <v>208</v>
      </c>
      <c r="I361" s="1005" t="s">
        <v>112</v>
      </c>
      <c r="J361" s="989">
        <v>9</v>
      </c>
      <c r="K361" s="989">
        <v>3</v>
      </c>
      <c r="L361" s="983" t="s">
        <v>571</v>
      </c>
      <c r="M361" s="987" t="s">
        <v>2031</v>
      </c>
      <c r="N361" s="993" t="s">
        <v>2251</v>
      </c>
    </row>
    <row r="362" spans="1:14" ht="15" customHeight="1" x14ac:dyDescent="0.25">
      <c r="A362" s="987" t="s">
        <v>582</v>
      </c>
      <c r="B362" s="987" t="s">
        <v>2028</v>
      </c>
      <c r="C362" s="981" t="s">
        <v>1995</v>
      </c>
      <c r="D362" s="1005" t="s">
        <v>330</v>
      </c>
      <c r="E362" s="993">
        <v>0</v>
      </c>
      <c r="F362" s="993">
        <v>100</v>
      </c>
      <c r="G362" s="1005" t="s">
        <v>40</v>
      </c>
      <c r="H362" s="1006" t="s">
        <v>208</v>
      </c>
      <c r="I362" s="1005" t="s">
        <v>112</v>
      </c>
      <c r="J362" s="989">
        <v>9</v>
      </c>
      <c r="K362" s="989">
        <v>3</v>
      </c>
      <c r="L362" s="983" t="s">
        <v>571</v>
      </c>
      <c r="M362" s="987" t="s">
        <v>2031</v>
      </c>
      <c r="N362" s="993" t="s">
        <v>2252</v>
      </c>
    </row>
    <row r="363" spans="1:14" ht="15" customHeight="1" x14ac:dyDescent="0.25">
      <c r="A363" s="987" t="s">
        <v>582</v>
      </c>
      <c r="B363" s="987" t="s">
        <v>2028</v>
      </c>
      <c r="C363" s="981" t="s">
        <v>1996</v>
      </c>
      <c r="D363" s="1005" t="s">
        <v>331</v>
      </c>
      <c r="E363" s="993">
        <v>0</v>
      </c>
      <c r="F363" s="988">
        <v>25000</v>
      </c>
      <c r="G363" s="1005" t="s">
        <v>119</v>
      </c>
      <c r="H363" s="1006" t="s">
        <v>208</v>
      </c>
      <c r="I363" s="1005" t="s">
        <v>112</v>
      </c>
      <c r="J363" s="989">
        <v>9</v>
      </c>
      <c r="K363" s="989">
        <v>3</v>
      </c>
      <c r="L363" s="983" t="s">
        <v>571</v>
      </c>
      <c r="M363" s="987" t="s">
        <v>2031</v>
      </c>
      <c r="N363" s="993" t="s">
        <v>2253</v>
      </c>
    </row>
    <row r="364" spans="1:14" ht="15" customHeight="1" x14ac:dyDescent="0.25">
      <c r="A364" s="987" t="s">
        <v>582</v>
      </c>
      <c r="B364" s="987" t="s">
        <v>2028</v>
      </c>
      <c r="C364" s="981" t="s">
        <v>1997</v>
      </c>
      <c r="D364" s="1005" t="s">
        <v>332</v>
      </c>
      <c r="E364" s="993">
        <v>0</v>
      </c>
      <c r="F364" s="988">
        <v>10000</v>
      </c>
      <c r="G364" s="1005" t="s">
        <v>91</v>
      </c>
      <c r="H364" s="1006" t="s">
        <v>208</v>
      </c>
      <c r="I364" s="1005" t="s">
        <v>112</v>
      </c>
      <c r="J364" s="989">
        <v>9</v>
      </c>
      <c r="K364" s="989">
        <v>3</v>
      </c>
      <c r="L364" s="983" t="s">
        <v>571</v>
      </c>
      <c r="M364" s="987" t="s">
        <v>2031</v>
      </c>
      <c r="N364" s="993" t="s">
        <v>2254</v>
      </c>
    </row>
    <row r="365" spans="1:14" ht="15" customHeight="1" x14ac:dyDescent="0.25">
      <c r="A365" s="987" t="s">
        <v>582</v>
      </c>
      <c r="B365" s="987" t="s">
        <v>2028</v>
      </c>
      <c r="C365" s="981" t="s">
        <v>1784</v>
      </c>
      <c r="D365" s="1005" t="s">
        <v>680</v>
      </c>
      <c r="E365" s="993">
        <v>0</v>
      </c>
      <c r="F365" s="988">
        <v>50000</v>
      </c>
      <c r="G365" s="1005" t="s">
        <v>118</v>
      </c>
      <c r="H365" s="1006" t="s">
        <v>208</v>
      </c>
      <c r="I365" s="1005" t="s">
        <v>112</v>
      </c>
      <c r="J365" s="989">
        <v>9</v>
      </c>
      <c r="K365" s="989">
        <v>3</v>
      </c>
      <c r="L365" s="983" t="s">
        <v>571</v>
      </c>
      <c r="M365" s="987" t="s">
        <v>2031</v>
      </c>
      <c r="N365" s="993" t="s">
        <v>2255</v>
      </c>
    </row>
    <row r="366" spans="1:14" ht="15" customHeight="1" x14ac:dyDescent="0.25">
      <c r="A366" s="987" t="s">
        <v>582</v>
      </c>
      <c r="B366" s="987" t="s">
        <v>2028</v>
      </c>
      <c r="C366" s="981" t="s">
        <v>1785</v>
      </c>
      <c r="D366" s="1005" t="s">
        <v>335</v>
      </c>
      <c r="E366" s="993">
        <v>0</v>
      </c>
      <c r="F366" s="993">
        <v>100</v>
      </c>
      <c r="G366" s="1005" t="s">
        <v>40</v>
      </c>
      <c r="H366" s="1006" t="s">
        <v>208</v>
      </c>
      <c r="I366" s="1005" t="s">
        <v>112</v>
      </c>
      <c r="J366" s="989">
        <v>9</v>
      </c>
      <c r="K366" s="989">
        <v>3</v>
      </c>
      <c r="L366" s="983" t="s">
        <v>571</v>
      </c>
      <c r="M366" s="987" t="s">
        <v>2031</v>
      </c>
      <c r="N366" s="993" t="s">
        <v>2256</v>
      </c>
    </row>
    <row r="367" spans="1:14" ht="15" customHeight="1" x14ac:dyDescent="0.25">
      <c r="A367" s="987" t="s">
        <v>582</v>
      </c>
      <c r="B367" s="987" t="s">
        <v>2028</v>
      </c>
      <c r="C367" s="981" t="s">
        <v>1786</v>
      </c>
      <c r="D367" s="1005" t="s">
        <v>337</v>
      </c>
      <c r="E367" s="993">
        <v>0</v>
      </c>
      <c r="F367" s="988">
        <v>25000</v>
      </c>
      <c r="G367" s="1005" t="s">
        <v>119</v>
      </c>
      <c r="H367" s="1006" t="s">
        <v>208</v>
      </c>
      <c r="I367" s="1005" t="s">
        <v>112</v>
      </c>
      <c r="J367" s="989">
        <v>9</v>
      </c>
      <c r="K367" s="989">
        <v>3</v>
      </c>
      <c r="L367" s="983" t="s">
        <v>571</v>
      </c>
      <c r="M367" s="987" t="s">
        <v>2031</v>
      </c>
      <c r="N367" s="993" t="s">
        <v>2257</v>
      </c>
    </row>
    <row r="368" spans="1:14" ht="15" customHeight="1" x14ac:dyDescent="0.25">
      <c r="A368" s="987" t="s">
        <v>582</v>
      </c>
      <c r="B368" s="987" t="s">
        <v>2028</v>
      </c>
      <c r="C368" s="981" t="s">
        <v>1787</v>
      </c>
      <c r="D368" s="1005" t="s">
        <v>1</v>
      </c>
      <c r="E368" s="993">
        <v>0</v>
      </c>
      <c r="F368" s="988">
        <v>10000</v>
      </c>
      <c r="G368" s="1005" t="s">
        <v>91</v>
      </c>
      <c r="H368" s="1006" t="s">
        <v>208</v>
      </c>
      <c r="I368" s="1005" t="s">
        <v>112</v>
      </c>
      <c r="J368" s="989">
        <v>9</v>
      </c>
      <c r="K368" s="989">
        <v>3</v>
      </c>
      <c r="L368" s="983" t="s">
        <v>571</v>
      </c>
      <c r="M368" s="987" t="s">
        <v>2031</v>
      </c>
      <c r="N368" s="993" t="s">
        <v>2258</v>
      </c>
    </row>
    <row r="369" spans="1:14" ht="15" customHeight="1" x14ac:dyDescent="0.25">
      <c r="A369" s="999" t="s">
        <v>571</v>
      </c>
      <c r="B369" s="999" t="s">
        <v>571</v>
      </c>
      <c r="C369" s="999" t="s">
        <v>571</v>
      </c>
      <c r="D369" s="999" t="s">
        <v>571</v>
      </c>
      <c r="E369" s="999" t="s">
        <v>571</v>
      </c>
      <c r="F369" s="999" t="s">
        <v>571</v>
      </c>
      <c r="G369" s="999" t="s">
        <v>571</v>
      </c>
      <c r="H369" s="999" t="s">
        <v>571</v>
      </c>
      <c r="I369" s="999" t="s">
        <v>571</v>
      </c>
      <c r="J369" s="991" t="s">
        <v>571</v>
      </c>
      <c r="K369" s="991" t="s">
        <v>571</v>
      </c>
      <c r="L369" s="991" t="s">
        <v>571</v>
      </c>
      <c r="M369" s="999" t="s">
        <v>571</v>
      </c>
      <c r="N369" s="999" t="s">
        <v>571</v>
      </c>
    </row>
    <row r="370" spans="1:14" ht="15" customHeight="1" x14ac:dyDescent="0.25">
      <c r="A370" s="987" t="s">
        <v>582</v>
      </c>
      <c r="B370" s="987" t="s">
        <v>1990</v>
      </c>
      <c r="C370" s="981" t="s">
        <v>1637</v>
      </c>
      <c r="D370" s="1005" t="s">
        <v>578</v>
      </c>
      <c r="E370" s="993" t="s">
        <v>565</v>
      </c>
      <c r="F370" s="993" t="s">
        <v>566</v>
      </c>
      <c r="G370" s="993" t="s">
        <v>196</v>
      </c>
      <c r="H370" s="1005" t="s">
        <v>206</v>
      </c>
      <c r="I370" s="1005" t="s">
        <v>621</v>
      </c>
      <c r="J370" s="983" t="s">
        <v>571</v>
      </c>
      <c r="K370" s="983" t="s">
        <v>571</v>
      </c>
      <c r="L370" s="989">
        <v>63999</v>
      </c>
      <c r="M370" s="987" t="s">
        <v>2363</v>
      </c>
      <c r="N370" s="993" t="s">
        <v>154</v>
      </c>
    </row>
    <row r="371" spans="1:14" ht="15" customHeight="1" x14ac:dyDescent="0.25">
      <c r="A371" s="987" t="s">
        <v>582</v>
      </c>
      <c r="B371" s="987" t="s">
        <v>1990</v>
      </c>
      <c r="C371" s="981" t="s">
        <v>1788</v>
      </c>
      <c r="D371" s="1005" t="s">
        <v>35</v>
      </c>
      <c r="E371" s="1007">
        <v>1</v>
      </c>
      <c r="F371" s="1007">
        <f ca="1">TODAY()</f>
        <v>42879</v>
      </c>
      <c r="G371" s="1005" t="s">
        <v>116</v>
      </c>
      <c r="H371" s="1005" t="s">
        <v>206</v>
      </c>
      <c r="I371" s="1005" t="s">
        <v>569</v>
      </c>
      <c r="J371" s="983" t="s">
        <v>571</v>
      </c>
      <c r="K371" s="983" t="s">
        <v>571</v>
      </c>
      <c r="L371" s="983" t="s">
        <v>571</v>
      </c>
      <c r="M371" s="987" t="s">
        <v>2363</v>
      </c>
      <c r="N371" s="993" t="s">
        <v>2259</v>
      </c>
    </row>
    <row r="372" spans="1:14" ht="15" customHeight="1" x14ac:dyDescent="0.25">
      <c r="A372" s="987" t="s">
        <v>582</v>
      </c>
      <c r="B372" s="987" t="s">
        <v>1990</v>
      </c>
      <c r="C372" s="981" t="s">
        <v>1598</v>
      </c>
      <c r="D372" s="1005" t="s">
        <v>229</v>
      </c>
      <c r="E372" s="993" t="s">
        <v>565</v>
      </c>
      <c r="F372" s="993" t="s">
        <v>566</v>
      </c>
      <c r="G372" s="993" t="s">
        <v>196</v>
      </c>
      <c r="H372" s="1005" t="s">
        <v>208</v>
      </c>
      <c r="I372" s="1005" t="s">
        <v>621</v>
      </c>
      <c r="J372" s="983" t="s">
        <v>571</v>
      </c>
      <c r="K372" s="983" t="s">
        <v>571</v>
      </c>
      <c r="L372" s="989">
        <v>63999</v>
      </c>
      <c r="M372" s="987" t="s">
        <v>2363</v>
      </c>
      <c r="N372" s="993" t="s">
        <v>152</v>
      </c>
    </row>
    <row r="373" spans="1:14" ht="15" customHeight="1" x14ac:dyDescent="0.25">
      <c r="A373" s="987" t="s">
        <v>582</v>
      </c>
      <c r="B373" s="987" t="s">
        <v>1990</v>
      </c>
      <c r="C373" s="981" t="s">
        <v>1659</v>
      </c>
      <c r="D373" s="1005" t="s">
        <v>295</v>
      </c>
      <c r="E373" s="993" t="s">
        <v>565</v>
      </c>
      <c r="F373" s="993" t="s">
        <v>566</v>
      </c>
      <c r="G373" s="993" t="s">
        <v>196</v>
      </c>
      <c r="H373" s="1005" t="s">
        <v>208</v>
      </c>
      <c r="I373" s="1005" t="s">
        <v>621</v>
      </c>
      <c r="J373" s="983" t="s">
        <v>571</v>
      </c>
      <c r="K373" s="983" t="s">
        <v>571</v>
      </c>
      <c r="L373" s="989">
        <v>63999</v>
      </c>
      <c r="M373" s="987" t="s">
        <v>2363</v>
      </c>
      <c r="N373" s="993" t="s">
        <v>76</v>
      </c>
    </row>
    <row r="374" spans="1:14" ht="15" customHeight="1" x14ac:dyDescent="0.25">
      <c r="A374" s="987" t="s">
        <v>582</v>
      </c>
      <c r="B374" s="987" t="s">
        <v>1990</v>
      </c>
      <c r="C374" s="981" t="s">
        <v>77</v>
      </c>
      <c r="D374" s="1005" t="s">
        <v>267</v>
      </c>
      <c r="E374" s="993" t="s">
        <v>565</v>
      </c>
      <c r="F374" s="993" t="s">
        <v>566</v>
      </c>
      <c r="G374" s="993" t="s">
        <v>196</v>
      </c>
      <c r="H374" s="1005" t="s">
        <v>208</v>
      </c>
      <c r="I374" s="1005" t="s">
        <v>621</v>
      </c>
      <c r="J374" s="983" t="s">
        <v>571</v>
      </c>
      <c r="K374" s="983" t="s">
        <v>571</v>
      </c>
      <c r="L374" s="989">
        <v>63999</v>
      </c>
      <c r="M374" s="987" t="s">
        <v>2363</v>
      </c>
      <c r="N374" s="993" t="s">
        <v>77</v>
      </c>
    </row>
    <row r="375" spans="1:14" ht="15" customHeight="1" x14ac:dyDescent="0.25">
      <c r="A375" s="987" t="s">
        <v>582</v>
      </c>
      <c r="B375" s="987" t="s">
        <v>1990</v>
      </c>
      <c r="C375" s="981" t="s">
        <v>1789</v>
      </c>
      <c r="D375" s="1005" t="s">
        <v>589</v>
      </c>
      <c r="E375" s="993" t="s">
        <v>565</v>
      </c>
      <c r="F375" s="993" t="s">
        <v>566</v>
      </c>
      <c r="G375" s="993" t="s">
        <v>196</v>
      </c>
      <c r="H375" s="1005" t="s">
        <v>208</v>
      </c>
      <c r="I375" s="1005" t="s">
        <v>621</v>
      </c>
      <c r="J375" s="983" t="s">
        <v>571</v>
      </c>
      <c r="K375" s="983" t="s">
        <v>571</v>
      </c>
      <c r="L375" s="989">
        <v>63999</v>
      </c>
      <c r="M375" s="987" t="s">
        <v>2363</v>
      </c>
      <c r="N375" s="993" t="s">
        <v>384</v>
      </c>
    </row>
    <row r="376" spans="1:14" ht="15" customHeight="1" x14ac:dyDescent="0.25">
      <c r="A376" s="987" t="s">
        <v>582</v>
      </c>
      <c r="B376" s="987" t="s">
        <v>1990</v>
      </c>
      <c r="C376" s="981" t="s">
        <v>1790</v>
      </c>
      <c r="D376" s="1005" t="s">
        <v>661</v>
      </c>
      <c r="E376" s="985">
        <v>0</v>
      </c>
      <c r="F376" s="985">
        <v>50000</v>
      </c>
      <c r="G376" s="1005" t="s">
        <v>275</v>
      </c>
      <c r="H376" s="1005" t="s">
        <v>208</v>
      </c>
      <c r="I376" s="1005" t="s">
        <v>112</v>
      </c>
      <c r="J376" s="989">
        <v>9</v>
      </c>
      <c r="K376" s="989">
        <v>3</v>
      </c>
      <c r="L376" s="983" t="s">
        <v>571</v>
      </c>
      <c r="M376" s="987" t="s">
        <v>2363</v>
      </c>
      <c r="N376" s="993" t="s">
        <v>2260</v>
      </c>
    </row>
    <row r="377" spans="1:14" ht="15" customHeight="1" x14ac:dyDescent="0.25">
      <c r="A377" s="987" t="s">
        <v>582</v>
      </c>
      <c r="B377" s="987" t="s">
        <v>1990</v>
      </c>
      <c r="C377" s="981" t="s">
        <v>1791</v>
      </c>
      <c r="D377" s="1005" t="s">
        <v>662</v>
      </c>
      <c r="E377" s="985">
        <v>0</v>
      </c>
      <c r="F377" s="985">
        <v>100</v>
      </c>
      <c r="G377" s="1005" t="s">
        <v>40</v>
      </c>
      <c r="H377" s="1005" t="s">
        <v>208</v>
      </c>
      <c r="I377" s="1005" t="s">
        <v>112</v>
      </c>
      <c r="J377" s="989">
        <v>9</v>
      </c>
      <c r="K377" s="989">
        <v>3</v>
      </c>
      <c r="L377" s="983" t="s">
        <v>571</v>
      </c>
      <c r="M377" s="987" t="s">
        <v>2363</v>
      </c>
      <c r="N377" s="993" t="s">
        <v>2261</v>
      </c>
    </row>
    <row r="378" spans="1:14" x14ac:dyDescent="0.25">
      <c r="A378" s="987" t="s">
        <v>582</v>
      </c>
      <c r="B378" s="987" t="s">
        <v>1990</v>
      </c>
      <c r="C378" s="981" t="s">
        <v>1792</v>
      </c>
      <c r="D378" s="1005" t="s">
        <v>663</v>
      </c>
      <c r="E378" s="985">
        <v>0</v>
      </c>
      <c r="F378" s="988">
        <v>25000</v>
      </c>
      <c r="G378" s="1005" t="s">
        <v>119</v>
      </c>
      <c r="H378" s="1005" t="s">
        <v>208</v>
      </c>
      <c r="I378" s="1005" t="s">
        <v>112</v>
      </c>
      <c r="J378" s="989">
        <v>9</v>
      </c>
      <c r="K378" s="989">
        <v>3</v>
      </c>
      <c r="L378" s="983" t="s">
        <v>571</v>
      </c>
      <c r="M378" s="987" t="s">
        <v>2363</v>
      </c>
      <c r="N378" s="993" t="s">
        <v>2262</v>
      </c>
    </row>
    <row r="379" spans="1:14" ht="15" customHeight="1" x14ac:dyDescent="0.25">
      <c r="A379" s="987" t="s">
        <v>582</v>
      </c>
      <c r="B379" s="987" t="s">
        <v>1990</v>
      </c>
      <c r="C379" s="981" t="s">
        <v>1793</v>
      </c>
      <c r="D379" s="1005" t="s">
        <v>664</v>
      </c>
      <c r="E379" s="985">
        <v>0</v>
      </c>
      <c r="F379" s="988">
        <v>10000</v>
      </c>
      <c r="G379" s="1005" t="s">
        <v>91</v>
      </c>
      <c r="H379" s="1005" t="s">
        <v>208</v>
      </c>
      <c r="I379" s="1005" t="s">
        <v>112</v>
      </c>
      <c r="J379" s="989">
        <v>9</v>
      </c>
      <c r="K379" s="989">
        <v>3</v>
      </c>
      <c r="L379" s="983" t="s">
        <v>571</v>
      </c>
      <c r="M379" s="987" t="s">
        <v>2363</v>
      </c>
      <c r="N379" s="993" t="s">
        <v>2263</v>
      </c>
    </row>
    <row r="380" spans="1:14" ht="15" customHeight="1" x14ac:dyDescent="0.25">
      <c r="A380" s="987" t="s">
        <v>582</v>
      </c>
      <c r="B380" s="987" t="s">
        <v>1990</v>
      </c>
      <c r="C380" s="981" t="s">
        <v>1799</v>
      </c>
      <c r="D380" s="1005" t="s">
        <v>1971</v>
      </c>
      <c r="E380" s="985">
        <v>0</v>
      </c>
      <c r="F380" s="988">
        <v>1000</v>
      </c>
      <c r="G380" s="1005" t="s">
        <v>1970</v>
      </c>
      <c r="H380" s="1005" t="s">
        <v>208</v>
      </c>
      <c r="I380" s="1005" t="s">
        <v>112</v>
      </c>
      <c r="J380" s="989">
        <v>9</v>
      </c>
      <c r="K380" s="989">
        <v>3</v>
      </c>
      <c r="L380" s="983" t="s">
        <v>571</v>
      </c>
      <c r="M380" s="987" t="s">
        <v>2363</v>
      </c>
      <c r="N380" s="993" t="s">
        <v>2223</v>
      </c>
    </row>
    <row r="381" spans="1:14" ht="15" customHeight="1" x14ac:dyDescent="0.25">
      <c r="A381" s="987" t="s">
        <v>582</v>
      </c>
      <c r="B381" s="987" t="s">
        <v>1990</v>
      </c>
      <c r="C381" s="981" t="s">
        <v>1794</v>
      </c>
      <c r="D381" s="1005" t="s">
        <v>745</v>
      </c>
      <c r="E381" s="985">
        <v>0</v>
      </c>
      <c r="F381" s="985">
        <v>50000</v>
      </c>
      <c r="G381" s="1005" t="s">
        <v>275</v>
      </c>
      <c r="H381" s="1005" t="s">
        <v>208</v>
      </c>
      <c r="I381" s="1005" t="s">
        <v>112</v>
      </c>
      <c r="J381" s="989">
        <v>9</v>
      </c>
      <c r="K381" s="989">
        <v>3</v>
      </c>
      <c r="L381" s="983" t="s">
        <v>571</v>
      </c>
      <c r="M381" s="987" t="s">
        <v>2363</v>
      </c>
      <c r="N381" s="993" t="s">
        <v>2264</v>
      </c>
    </row>
    <row r="382" spans="1:14" ht="15" customHeight="1" x14ac:dyDescent="0.25">
      <c r="A382" s="987" t="s">
        <v>582</v>
      </c>
      <c r="B382" s="987" t="s">
        <v>1990</v>
      </c>
      <c r="C382" s="981" t="s">
        <v>1795</v>
      </c>
      <c r="D382" s="1005" t="s">
        <v>746</v>
      </c>
      <c r="E382" s="985">
        <v>0</v>
      </c>
      <c r="F382" s="985">
        <v>100</v>
      </c>
      <c r="G382" s="1005" t="s">
        <v>40</v>
      </c>
      <c r="H382" s="1005" t="s">
        <v>208</v>
      </c>
      <c r="I382" s="1005" t="s">
        <v>112</v>
      </c>
      <c r="J382" s="989">
        <v>9</v>
      </c>
      <c r="K382" s="989">
        <v>3</v>
      </c>
      <c r="L382" s="983" t="s">
        <v>571</v>
      </c>
      <c r="M382" s="987" t="s">
        <v>2363</v>
      </c>
      <c r="N382" s="993" t="s">
        <v>2265</v>
      </c>
    </row>
    <row r="383" spans="1:14" ht="15" customHeight="1" x14ac:dyDescent="0.25">
      <c r="A383" s="987" t="s">
        <v>582</v>
      </c>
      <c r="B383" s="987" t="s">
        <v>1990</v>
      </c>
      <c r="C383" s="981" t="s">
        <v>1796</v>
      </c>
      <c r="D383" s="1005" t="s">
        <v>747</v>
      </c>
      <c r="E383" s="985">
        <v>0</v>
      </c>
      <c r="F383" s="988">
        <v>25000</v>
      </c>
      <c r="G383" s="1005" t="s">
        <v>119</v>
      </c>
      <c r="H383" s="1005" t="s">
        <v>208</v>
      </c>
      <c r="I383" s="1005" t="s">
        <v>112</v>
      </c>
      <c r="J383" s="989">
        <v>9</v>
      </c>
      <c r="K383" s="989">
        <v>3</v>
      </c>
      <c r="L383" s="983" t="s">
        <v>571</v>
      </c>
      <c r="M383" s="987" t="s">
        <v>2363</v>
      </c>
      <c r="N383" s="993" t="s">
        <v>2266</v>
      </c>
    </row>
    <row r="384" spans="1:14" ht="15" customHeight="1" x14ac:dyDescent="0.25">
      <c r="A384" s="987" t="s">
        <v>582</v>
      </c>
      <c r="B384" s="987" t="s">
        <v>1990</v>
      </c>
      <c r="C384" s="981" t="s">
        <v>1797</v>
      </c>
      <c r="D384" s="1005" t="s">
        <v>748</v>
      </c>
      <c r="E384" s="985">
        <v>0</v>
      </c>
      <c r="F384" s="988">
        <v>10000</v>
      </c>
      <c r="G384" s="1005" t="s">
        <v>91</v>
      </c>
      <c r="H384" s="1005" t="s">
        <v>208</v>
      </c>
      <c r="I384" s="1005" t="s">
        <v>112</v>
      </c>
      <c r="J384" s="989">
        <v>9</v>
      </c>
      <c r="K384" s="989">
        <v>3</v>
      </c>
      <c r="L384" s="983" t="s">
        <v>571</v>
      </c>
      <c r="M384" s="987" t="s">
        <v>2363</v>
      </c>
      <c r="N384" s="993" t="s">
        <v>2267</v>
      </c>
    </row>
    <row r="385" spans="1:14" ht="15" customHeight="1" x14ac:dyDescent="0.25">
      <c r="A385" s="987" t="s">
        <v>582</v>
      </c>
      <c r="B385" s="987" t="s">
        <v>1990</v>
      </c>
      <c r="C385" s="981" t="s">
        <v>1798</v>
      </c>
      <c r="D385" s="1005" t="s">
        <v>1972</v>
      </c>
      <c r="E385" s="985">
        <v>0</v>
      </c>
      <c r="F385" s="988">
        <v>1000</v>
      </c>
      <c r="G385" s="1005" t="s">
        <v>1970</v>
      </c>
      <c r="H385" s="1005" t="s">
        <v>208</v>
      </c>
      <c r="I385" s="1005" t="s">
        <v>112</v>
      </c>
      <c r="J385" s="989">
        <v>9</v>
      </c>
      <c r="K385" s="989">
        <v>3</v>
      </c>
      <c r="L385" s="983" t="s">
        <v>571</v>
      </c>
      <c r="M385" s="987" t="s">
        <v>2363</v>
      </c>
      <c r="N385" s="993" t="s">
        <v>2242</v>
      </c>
    </row>
    <row r="386" spans="1:14" ht="15" customHeight="1" x14ac:dyDescent="0.25">
      <c r="A386" s="999" t="s">
        <v>571</v>
      </c>
      <c r="B386" s="999" t="s">
        <v>571</v>
      </c>
      <c r="C386" s="999" t="s">
        <v>571</v>
      </c>
      <c r="D386" s="999" t="s">
        <v>571</v>
      </c>
      <c r="E386" s="999" t="s">
        <v>571</v>
      </c>
      <c r="F386" s="999" t="s">
        <v>571</v>
      </c>
      <c r="G386" s="999" t="s">
        <v>571</v>
      </c>
      <c r="H386" s="999" t="s">
        <v>571</v>
      </c>
      <c r="I386" s="999" t="s">
        <v>571</v>
      </c>
      <c r="J386" s="991" t="s">
        <v>571</v>
      </c>
      <c r="K386" s="991" t="s">
        <v>571</v>
      </c>
      <c r="L386" s="991" t="s">
        <v>571</v>
      </c>
      <c r="M386" s="999" t="s">
        <v>571</v>
      </c>
      <c r="N386" s="999" t="s">
        <v>571</v>
      </c>
    </row>
    <row r="387" spans="1:14" ht="15" customHeight="1" x14ac:dyDescent="0.25">
      <c r="A387" s="987" t="s">
        <v>582</v>
      </c>
      <c r="B387" s="987" t="s">
        <v>612</v>
      </c>
      <c r="C387" s="981" t="s">
        <v>1637</v>
      </c>
      <c r="D387" s="1005" t="s">
        <v>578</v>
      </c>
      <c r="E387" s="993" t="s">
        <v>565</v>
      </c>
      <c r="F387" s="993" t="s">
        <v>566</v>
      </c>
      <c r="G387" s="993" t="s">
        <v>196</v>
      </c>
      <c r="H387" s="1005" t="s">
        <v>206</v>
      </c>
      <c r="I387" s="1005" t="s">
        <v>621</v>
      </c>
      <c r="J387" s="983" t="s">
        <v>571</v>
      </c>
      <c r="K387" s="983" t="s">
        <v>571</v>
      </c>
      <c r="L387" s="989">
        <v>63999</v>
      </c>
      <c r="M387" s="987" t="s">
        <v>612</v>
      </c>
      <c r="N387" s="993" t="s">
        <v>154</v>
      </c>
    </row>
    <row r="388" spans="1:14" ht="15" customHeight="1" x14ac:dyDescent="0.25">
      <c r="A388" s="987" t="s">
        <v>582</v>
      </c>
      <c r="B388" s="987" t="s">
        <v>612</v>
      </c>
      <c r="C388" s="981" t="s">
        <v>35</v>
      </c>
      <c r="D388" s="1005" t="s">
        <v>35</v>
      </c>
      <c r="E388" s="1007">
        <v>1</v>
      </c>
      <c r="F388" s="1007">
        <f ca="1">TODAY()</f>
        <v>42879</v>
      </c>
      <c r="G388" s="1005" t="s">
        <v>116</v>
      </c>
      <c r="H388" s="1005" t="s">
        <v>206</v>
      </c>
      <c r="I388" s="1005" t="s">
        <v>569</v>
      </c>
      <c r="J388" s="983" t="s">
        <v>571</v>
      </c>
      <c r="K388" s="983" t="s">
        <v>571</v>
      </c>
      <c r="L388" s="983" t="s">
        <v>571</v>
      </c>
      <c r="M388" s="987" t="s">
        <v>612</v>
      </c>
      <c r="N388" s="993" t="s">
        <v>35</v>
      </c>
    </row>
    <row r="389" spans="1:14" ht="15" customHeight="1" x14ac:dyDescent="0.25">
      <c r="A389" s="987" t="s">
        <v>582</v>
      </c>
      <c r="B389" s="987" t="s">
        <v>612</v>
      </c>
      <c r="C389" s="981" t="s">
        <v>1598</v>
      </c>
      <c r="D389" s="1005" t="s">
        <v>229</v>
      </c>
      <c r="E389" s="993" t="s">
        <v>565</v>
      </c>
      <c r="F389" s="993" t="s">
        <v>566</v>
      </c>
      <c r="G389" s="993" t="s">
        <v>196</v>
      </c>
      <c r="H389" s="1005" t="s">
        <v>208</v>
      </c>
      <c r="I389" s="1005" t="s">
        <v>621</v>
      </c>
      <c r="J389" s="983" t="s">
        <v>571</v>
      </c>
      <c r="K389" s="983" t="s">
        <v>571</v>
      </c>
      <c r="L389" s="989">
        <v>63999</v>
      </c>
      <c r="M389" s="987" t="s">
        <v>612</v>
      </c>
      <c r="N389" s="993" t="s">
        <v>152</v>
      </c>
    </row>
    <row r="390" spans="1:14" ht="15" customHeight="1" x14ac:dyDescent="0.25">
      <c r="A390" s="987" t="s">
        <v>582</v>
      </c>
      <c r="B390" s="987" t="s">
        <v>612</v>
      </c>
      <c r="C390" s="981" t="s">
        <v>1659</v>
      </c>
      <c r="D390" s="1005" t="s">
        <v>295</v>
      </c>
      <c r="E390" s="993" t="s">
        <v>565</v>
      </c>
      <c r="F390" s="993" t="s">
        <v>566</v>
      </c>
      <c r="G390" s="993" t="s">
        <v>196</v>
      </c>
      <c r="H390" s="1005" t="s">
        <v>208</v>
      </c>
      <c r="I390" s="1005" t="s">
        <v>621</v>
      </c>
      <c r="J390" s="983" t="s">
        <v>571</v>
      </c>
      <c r="K390" s="983" t="s">
        <v>571</v>
      </c>
      <c r="L390" s="989">
        <v>63999</v>
      </c>
      <c r="M390" s="987" t="s">
        <v>612</v>
      </c>
      <c r="N390" s="993" t="s">
        <v>76</v>
      </c>
    </row>
    <row r="391" spans="1:14" ht="15" customHeight="1" x14ac:dyDescent="0.25">
      <c r="A391" s="987" t="s">
        <v>582</v>
      </c>
      <c r="B391" s="987" t="s">
        <v>612</v>
      </c>
      <c r="C391" s="981" t="s">
        <v>77</v>
      </c>
      <c r="D391" s="1005" t="s">
        <v>267</v>
      </c>
      <c r="E391" s="993" t="s">
        <v>565</v>
      </c>
      <c r="F391" s="993" t="s">
        <v>566</v>
      </c>
      <c r="G391" s="993" t="s">
        <v>196</v>
      </c>
      <c r="H391" s="1005" t="s">
        <v>208</v>
      </c>
      <c r="I391" s="1005" t="s">
        <v>621</v>
      </c>
      <c r="J391" s="983" t="s">
        <v>571</v>
      </c>
      <c r="K391" s="983" t="s">
        <v>571</v>
      </c>
      <c r="L391" s="989">
        <v>63999</v>
      </c>
      <c r="M391" s="987" t="s">
        <v>612</v>
      </c>
      <c r="N391" s="993" t="s">
        <v>77</v>
      </c>
    </row>
    <row r="392" spans="1:14" ht="15" customHeight="1" x14ac:dyDescent="0.25">
      <c r="A392" s="987" t="s">
        <v>582</v>
      </c>
      <c r="B392" s="987" t="s">
        <v>612</v>
      </c>
      <c r="C392" s="981" t="s">
        <v>1789</v>
      </c>
      <c r="D392" s="1005" t="s">
        <v>589</v>
      </c>
      <c r="E392" s="993" t="s">
        <v>565</v>
      </c>
      <c r="F392" s="993" t="s">
        <v>566</v>
      </c>
      <c r="G392" s="993" t="s">
        <v>196</v>
      </c>
      <c r="H392" s="1005" t="s">
        <v>208</v>
      </c>
      <c r="I392" s="1005" t="s">
        <v>621</v>
      </c>
      <c r="J392" s="983" t="s">
        <v>571</v>
      </c>
      <c r="K392" s="983" t="s">
        <v>571</v>
      </c>
      <c r="L392" s="989">
        <v>63999</v>
      </c>
      <c r="M392" s="987" t="s">
        <v>612</v>
      </c>
      <c r="N392" s="993" t="s">
        <v>384</v>
      </c>
    </row>
    <row r="393" spans="1:14" ht="15" customHeight="1" x14ac:dyDescent="0.25">
      <c r="A393" s="987" t="s">
        <v>582</v>
      </c>
      <c r="B393" s="987" t="s">
        <v>612</v>
      </c>
      <c r="C393" s="981" t="s">
        <v>1800</v>
      </c>
      <c r="D393" s="993" t="s">
        <v>665</v>
      </c>
      <c r="E393" s="985">
        <v>0</v>
      </c>
      <c r="F393" s="1009">
        <v>1000</v>
      </c>
      <c r="G393" s="1005" t="s">
        <v>388</v>
      </c>
      <c r="H393" s="1005" t="s">
        <v>208</v>
      </c>
      <c r="I393" s="1005" t="s">
        <v>112</v>
      </c>
      <c r="J393" s="989">
        <v>9</v>
      </c>
      <c r="K393" s="989">
        <v>3</v>
      </c>
      <c r="L393" s="983" t="s">
        <v>571</v>
      </c>
      <c r="M393" s="987" t="s">
        <v>612</v>
      </c>
      <c r="N393" s="993" t="s">
        <v>2268</v>
      </c>
    </row>
    <row r="394" spans="1:14" ht="15" customHeight="1" x14ac:dyDescent="0.25">
      <c r="A394" s="987" t="s">
        <v>582</v>
      </c>
      <c r="B394" s="987" t="s">
        <v>612</v>
      </c>
      <c r="C394" s="981" t="s">
        <v>1801</v>
      </c>
      <c r="D394" s="993" t="s">
        <v>666</v>
      </c>
      <c r="E394" s="985">
        <v>0</v>
      </c>
      <c r="F394" s="1009">
        <v>1000</v>
      </c>
      <c r="G394" s="1005" t="s">
        <v>388</v>
      </c>
      <c r="H394" s="1005" t="s">
        <v>208</v>
      </c>
      <c r="I394" s="1005" t="s">
        <v>112</v>
      </c>
      <c r="J394" s="989">
        <v>9</v>
      </c>
      <c r="K394" s="989">
        <v>3</v>
      </c>
      <c r="L394" s="983" t="s">
        <v>571</v>
      </c>
      <c r="M394" s="987" t="s">
        <v>612</v>
      </c>
      <c r="N394" s="993" t="s">
        <v>2269</v>
      </c>
    </row>
    <row r="395" spans="1:14" ht="15" customHeight="1" x14ac:dyDescent="0.25">
      <c r="A395" s="987" t="s">
        <v>582</v>
      </c>
      <c r="B395" s="987" t="s">
        <v>612</v>
      </c>
      <c r="C395" s="981" t="s">
        <v>1802</v>
      </c>
      <c r="D395" s="993" t="s">
        <v>667</v>
      </c>
      <c r="E395" s="985">
        <v>0</v>
      </c>
      <c r="F395" s="1009">
        <v>1000</v>
      </c>
      <c r="G395" s="1005" t="s">
        <v>388</v>
      </c>
      <c r="H395" s="1005" t="s">
        <v>208</v>
      </c>
      <c r="I395" s="1005" t="s">
        <v>112</v>
      </c>
      <c r="J395" s="989">
        <v>9</v>
      </c>
      <c r="K395" s="989">
        <v>3</v>
      </c>
      <c r="L395" s="983" t="s">
        <v>571</v>
      </c>
      <c r="M395" s="987" t="s">
        <v>612</v>
      </c>
      <c r="N395" s="993" t="s">
        <v>2270</v>
      </c>
    </row>
    <row r="396" spans="1:14" ht="15" customHeight="1" x14ac:dyDescent="0.25">
      <c r="A396" s="987" t="s">
        <v>582</v>
      </c>
      <c r="B396" s="987" t="s">
        <v>612</v>
      </c>
      <c r="C396" s="981" t="s">
        <v>1803</v>
      </c>
      <c r="D396" s="993" t="s">
        <v>668</v>
      </c>
      <c r="E396" s="985">
        <v>0</v>
      </c>
      <c r="F396" s="1009">
        <v>1000</v>
      </c>
      <c r="G396" s="1005" t="s">
        <v>388</v>
      </c>
      <c r="H396" s="1005" t="s">
        <v>208</v>
      </c>
      <c r="I396" s="1005" t="s">
        <v>112</v>
      </c>
      <c r="J396" s="989">
        <v>9</v>
      </c>
      <c r="K396" s="989">
        <v>3</v>
      </c>
      <c r="L396" s="983" t="s">
        <v>571</v>
      </c>
      <c r="M396" s="987" t="s">
        <v>612</v>
      </c>
      <c r="N396" s="993" t="s">
        <v>2271</v>
      </c>
    </row>
    <row r="397" spans="1:14" ht="15" customHeight="1" x14ac:dyDescent="0.25">
      <c r="A397" s="987" t="s">
        <v>582</v>
      </c>
      <c r="B397" s="987" t="s">
        <v>612</v>
      </c>
      <c r="C397" s="981" t="s">
        <v>1804</v>
      </c>
      <c r="D397" s="993" t="s">
        <v>669</v>
      </c>
      <c r="E397" s="985">
        <v>0</v>
      </c>
      <c r="F397" s="1009">
        <v>1000</v>
      </c>
      <c r="G397" s="1005" t="s">
        <v>388</v>
      </c>
      <c r="H397" s="1005" t="s">
        <v>208</v>
      </c>
      <c r="I397" s="1005" t="s">
        <v>112</v>
      </c>
      <c r="J397" s="989">
        <v>9</v>
      </c>
      <c r="K397" s="989">
        <v>3</v>
      </c>
      <c r="L397" s="983" t="s">
        <v>571</v>
      </c>
      <c r="M397" s="987" t="s">
        <v>612</v>
      </c>
      <c r="N397" s="993" t="s">
        <v>2272</v>
      </c>
    </row>
    <row r="398" spans="1:14" ht="15" customHeight="1" x14ac:dyDescent="0.25">
      <c r="A398" s="987" t="s">
        <v>582</v>
      </c>
      <c r="B398" s="987" t="s">
        <v>612</v>
      </c>
      <c r="C398" s="981" t="s">
        <v>1805</v>
      </c>
      <c r="D398" s="993" t="s">
        <v>670</v>
      </c>
      <c r="E398" s="985">
        <v>0</v>
      </c>
      <c r="F398" s="1009">
        <v>1000</v>
      </c>
      <c r="G398" s="1005" t="s">
        <v>388</v>
      </c>
      <c r="H398" s="1005" t="s">
        <v>208</v>
      </c>
      <c r="I398" s="1005" t="s">
        <v>112</v>
      </c>
      <c r="J398" s="989">
        <v>9</v>
      </c>
      <c r="K398" s="989">
        <v>3</v>
      </c>
      <c r="L398" s="983" t="s">
        <v>571</v>
      </c>
      <c r="M398" s="987" t="s">
        <v>612</v>
      </c>
      <c r="N398" s="993" t="s">
        <v>2273</v>
      </c>
    </row>
    <row r="399" spans="1:14" ht="15" customHeight="1" x14ac:dyDescent="0.25">
      <c r="A399" s="987" t="s">
        <v>582</v>
      </c>
      <c r="B399" s="987" t="s">
        <v>612</v>
      </c>
      <c r="C399" s="981" t="s">
        <v>1806</v>
      </c>
      <c r="D399" s="993" t="s">
        <v>672</v>
      </c>
      <c r="E399" s="985">
        <v>0</v>
      </c>
      <c r="F399" s="1009">
        <v>1000</v>
      </c>
      <c r="G399" s="1005" t="s">
        <v>388</v>
      </c>
      <c r="H399" s="1005" t="s">
        <v>208</v>
      </c>
      <c r="I399" s="1005" t="s">
        <v>112</v>
      </c>
      <c r="J399" s="989">
        <v>9</v>
      </c>
      <c r="K399" s="989">
        <v>3</v>
      </c>
      <c r="L399" s="983" t="s">
        <v>571</v>
      </c>
      <c r="M399" s="987" t="s">
        <v>612</v>
      </c>
      <c r="N399" s="993" t="s">
        <v>2274</v>
      </c>
    </row>
    <row r="400" spans="1:14" ht="15" customHeight="1" x14ac:dyDescent="0.25">
      <c r="A400" s="987" t="s">
        <v>582</v>
      </c>
      <c r="B400" s="987" t="s">
        <v>612</v>
      </c>
      <c r="C400" s="981" t="s">
        <v>1807</v>
      </c>
      <c r="D400" s="993" t="s">
        <v>673</v>
      </c>
      <c r="E400" s="985">
        <v>0</v>
      </c>
      <c r="F400" s="1009">
        <v>1000</v>
      </c>
      <c r="G400" s="1005" t="s">
        <v>388</v>
      </c>
      <c r="H400" s="1005" t="s">
        <v>208</v>
      </c>
      <c r="I400" s="1005" t="s">
        <v>112</v>
      </c>
      <c r="J400" s="989">
        <v>9</v>
      </c>
      <c r="K400" s="989">
        <v>3</v>
      </c>
      <c r="L400" s="983" t="s">
        <v>571</v>
      </c>
      <c r="M400" s="987" t="s">
        <v>612</v>
      </c>
      <c r="N400" s="993" t="s">
        <v>2275</v>
      </c>
    </row>
    <row r="401" spans="1:14" ht="15" customHeight="1" x14ac:dyDescent="0.25">
      <c r="A401" s="987" t="s">
        <v>582</v>
      </c>
      <c r="B401" s="987" t="s">
        <v>612</v>
      </c>
      <c r="C401" s="981" t="s">
        <v>1821</v>
      </c>
      <c r="D401" s="993" t="s">
        <v>674</v>
      </c>
      <c r="E401" s="985">
        <v>0</v>
      </c>
      <c r="F401" s="1009">
        <v>1000</v>
      </c>
      <c r="G401" s="1005" t="s">
        <v>388</v>
      </c>
      <c r="H401" s="1005" t="s">
        <v>208</v>
      </c>
      <c r="I401" s="1005" t="s">
        <v>112</v>
      </c>
      <c r="J401" s="989">
        <v>9</v>
      </c>
      <c r="K401" s="989">
        <v>3</v>
      </c>
      <c r="L401" s="983" t="s">
        <v>571</v>
      </c>
      <c r="M401" s="987" t="s">
        <v>612</v>
      </c>
      <c r="N401" s="993" t="s">
        <v>2276</v>
      </c>
    </row>
    <row r="402" spans="1:14" ht="15" customHeight="1" x14ac:dyDescent="0.25">
      <c r="A402" s="987" t="s">
        <v>582</v>
      </c>
      <c r="B402" s="987" t="s">
        <v>612</v>
      </c>
      <c r="C402" s="981" t="s">
        <v>1808</v>
      </c>
      <c r="D402" s="993" t="s">
        <v>675</v>
      </c>
      <c r="E402" s="985">
        <v>0</v>
      </c>
      <c r="F402" s="1009">
        <v>1000</v>
      </c>
      <c r="G402" s="1005" t="s">
        <v>388</v>
      </c>
      <c r="H402" s="1005" t="s">
        <v>208</v>
      </c>
      <c r="I402" s="1005" t="s">
        <v>112</v>
      </c>
      <c r="J402" s="989">
        <v>9</v>
      </c>
      <c r="K402" s="989">
        <v>3</v>
      </c>
      <c r="L402" s="983" t="s">
        <v>571</v>
      </c>
      <c r="M402" s="987" t="s">
        <v>612</v>
      </c>
      <c r="N402" s="993" t="s">
        <v>2277</v>
      </c>
    </row>
    <row r="403" spans="1:14" ht="15" customHeight="1" x14ac:dyDescent="0.25">
      <c r="A403" s="987" t="s">
        <v>582</v>
      </c>
      <c r="B403" s="987" t="s">
        <v>612</v>
      </c>
      <c r="C403" s="981" t="s">
        <v>1809</v>
      </c>
      <c r="D403" s="993" t="s">
        <v>676</v>
      </c>
      <c r="E403" s="985">
        <v>0</v>
      </c>
      <c r="F403" s="1009">
        <v>1000</v>
      </c>
      <c r="G403" s="1005" t="s">
        <v>388</v>
      </c>
      <c r="H403" s="1005" t="s">
        <v>208</v>
      </c>
      <c r="I403" s="1005" t="s">
        <v>112</v>
      </c>
      <c r="J403" s="989">
        <v>9</v>
      </c>
      <c r="K403" s="989">
        <v>3</v>
      </c>
      <c r="L403" s="983" t="s">
        <v>571</v>
      </c>
      <c r="M403" s="987" t="s">
        <v>612</v>
      </c>
      <c r="N403" s="993" t="s">
        <v>2278</v>
      </c>
    </row>
    <row r="404" spans="1:14" ht="15" customHeight="1" x14ac:dyDescent="0.25">
      <c r="A404" s="987" t="s">
        <v>582</v>
      </c>
      <c r="B404" s="987" t="s">
        <v>612</v>
      </c>
      <c r="C404" s="981" t="s">
        <v>1810</v>
      </c>
      <c r="D404" s="993" t="s">
        <v>677</v>
      </c>
      <c r="E404" s="985">
        <v>0</v>
      </c>
      <c r="F404" s="1009">
        <v>1000</v>
      </c>
      <c r="G404" s="1005" t="s">
        <v>388</v>
      </c>
      <c r="H404" s="1005" t="s">
        <v>208</v>
      </c>
      <c r="I404" s="1005" t="s">
        <v>112</v>
      </c>
      <c r="J404" s="989">
        <v>9</v>
      </c>
      <c r="K404" s="989">
        <v>3</v>
      </c>
      <c r="L404" s="983" t="s">
        <v>571</v>
      </c>
      <c r="M404" s="987" t="s">
        <v>612</v>
      </c>
      <c r="N404" s="993" t="s">
        <v>2279</v>
      </c>
    </row>
    <row r="405" spans="1:14" ht="15" customHeight="1" x14ac:dyDescent="0.25">
      <c r="A405" s="987" t="s">
        <v>582</v>
      </c>
      <c r="B405" s="987" t="s">
        <v>612</v>
      </c>
      <c r="C405" s="981" t="s">
        <v>1811</v>
      </c>
      <c r="D405" s="993" t="s">
        <v>671</v>
      </c>
      <c r="E405" s="985">
        <v>0</v>
      </c>
      <c r="F405" s="1009">
        <v>1000</v>
      </c>
      <c r="G405" s="1005" t="s">
        <v>388</v>
      </c>
      <c r="H405" s="1005" t="s">
        <v>208</v>
      </c>
      <c r="I405" s="1005" t="s">
        <v>112</v>
      </c>
      <c r="J405" s="989">
        <v>9</v>
      </c>
      <c r="K405" s="989">
        <v>3</v>
      </c>
      <c r="L405" s="983" t="s">
        <v>571</v>
      </c>
      <c r="M405" s="987" t="s">
        <v>612</v>
      </c>
      <c r="N405" s="993" t="s">
        <v>2280</v>
      </c>
    </row>
    <row r="406" spans="1:14" ht="15" customHeight="1" x14ac:dyDescent="0.25">
      <c r="A406" s="987" t="s">
        <v>582</v>
      </c>
      <c r="B406" s="987" t="s">
        <v>612</v>
      </c>
      <c r="C406" s="981" t="s">
        <v>1812</v>
      </c>
      <c r="D406" s="993" t="s">
        <v>749</v>
      </c>
      <c r="E406" s="985">
        <v>0</v>
      </c>
      <c r="F406" s="1009">
        <v>1000</v>
      </c>
      <c r="G406" s="1005" t="s">
        <v>388</v>
      </c>
      <c r="H406" s="1005" t="s">
        <v>208</v>
      </c>
      <c r="I406" s="1005" t="s">
        <v>112</v>
      </c>
      <c r="J406" s="989">
        <v>9</v>
      </c>
      <c r="K406" s="989">
        <v>3</v>
      </c>
      <c r="L406" s="983" t="s">
        <v>571</v>
      </c>
      <c r="M406" s="987" t="s">
        <v>612</v>
      </c>
      <c r="N406" s="993" t="s">
        <v>2281</v>
      </c>
    </row>
    <row r="407" spans="1:14" ht="15" customHeight="1" x14ac:dyDescent="0.25">
      <c r="A407" s="987" t="s">
        <v>582</v>
      </c>
      <c r="B407" s="987" t="s">
        <v>612</v>
      </c>
      <c r="C407" s="981" t="s">
        <v>1813</v>
      </c>
      <c r="D407" s="993" t="s">
        <v>750</v>
      </c>
      <c r="E407" s="985">
        <v>0</v>
      </c>
      <c r="F407" s="1009">
        <v>1000</v>
      </c>
      <c r="G407" s="1005" t="s">
        <v>388</v>
      </c>
      <c r="H407" s="1005" t="s">
        <v>208</v>
      </c>
      <c r="I407" s="1005" t="s">
        <v>112</v>
      </c>
      <c r="J407" s="989">
        <v>9</v>
      </c>
      <c r="K407" s="989">
        <v>3</v>
      </c>
      <c r="L407" s="983" t="s">
        <v>571</v>
      </c>
      <c r="M407" s="987" t="s">
        <v>612</v>
      </c>
      <c r="N407" s="993" t="s">
        <v>2282</v>
      </c>
    </row>
    <row r="408" spans="1:14" ht="15" customHeight="1" x14ac:dyDescent="0.25">
      <c r="A408" s="987" t="s">
        <v>582</v>
      </c>
      <c r="B408" s="987" t="s">
        <v>612</v>
      </c>
      <c r="C408" s="981" t="s">
        <v>1814</v>
      </c>
      <c r="D408" s="993" t="s">
        <v>751</v>
      </c>
      <c r="E408" s="985">
        <v>0</v>
      </c>
      <c r="F408" s="1009">
        <v>1000</v>
      </c>
      <c r="G408" s="1005" t="s">
        <v>388</v>
      </c>
      <c r="H408" s="1005" t="s">
        <v>208</v>
      </c>
      <c r="I408" s="1005" t="s">
        <v>112</v>
      </c>
      <c r="J408" s="989">
        <v>9</v>
      </c>
      <c r="K408" s="989">
        <v>3</v>
      </c>
      <c r="L408" s="983" t="s">
        <v>571</v>
      </c>
      <c r="M408" s="987" t="s">
        <v>612</v>
      </c>
      <c r="N408" s="993" t="s">
        <v>2283</v>
      </c>
    </row>
    <row r="409" spans="1:14" ht="15" customHeight="1" x14ac:dyDescent="0.25">
      <c r="A409" s="987" t="s">
        <v>582</v>
      </c>
      <c r="B409" s="987" t="s">
        <v>612</v>
      </c>
      <c r="C409" s="981" t="s">
        <v>1815</v>
      </c>
      <c r="D409" s="993" t="s">
        <v>752</v>
      </c>
      <c r="E409" s="985">
        <v>0</v>
      </c>
      <c r="F409" s="1009">
        <v>1000</v>
      </c>
      <c r="G409" s="1005" t="s">
        <v>388</v>
      </c>
      <c r="H409" s="1005" t="s">
        <v>208</v>
      </c>
      <c r="I409" s="1005" t="s">
        <v>112</v>
      </c>
      <c r="J409" s="989">
        <v>9</v>
      </c>
      <c r="K409" s="989">
        <v>3</v>
      </c>
      <c r="L409" s="983" t="s">
        <v>571</v>
      </c>
      <c r="M409" s="987" t="s">
        <v>612</v>
      </c>
      <c r="N409" s="993" t="s">
        <v>2284</v>
      </c>
    </row>
    <row r="410" spans="1:14" ht="15" customHeight="1" x14ac:dyDescent="0.25">
      <c r="A410" s="987" t="s">
        <v>582</v>
      </c>
      <c r="B410" s="987" t="s">
        <v>612</v>
      </c>
      <c r="C410" s="981" t="s">
        <v>1816</v>
      </c>
      <c r="D410" s="993" t="s">
        <v>753</v>
      </c>
      <c r="E410" s="985">
        <v>0</v>
      </c>
      <c r="F410" s="1009">
        <v>1000</v>
      </c>
      <c r="G410" s="1005" t="s">
        <v>388</v>
      </c>
      <c r="H410" s="1005" t="s">
        <v>208</v>
      </c>
      <c r="I410" s="1005" t="s">
        <v>112</v>
      </c>
      <c r="J410" s="989">
        <v>9</v>
      </c>
      <c r="K410" s="989">
        <v>3</v>
      </c>
      <c r="L410" s="983" t="s">
        <v>571</v>
      </c>
      <c r="M410" s="987" t="s">
        <v>612</v>
      </c>
      <c r="N410" s="993" t="s">
        <v>2285</v>
      </c>
    </row>
    <row r="411" spans="1:14" ht="15" customHeight="1" x14ac:dyDescent="0.25">
      <c r="A411" s="987" t="s">
        <v>582</v>
      </c>
      <c r="B411" s="987" t="s">
        <v>612</v>
      </c>
      <c r="C411" s="981" t="s">
        <v>1817</v>
      </c>
      <c r="D411" s="993" t="s">
        <v>754</v>
      </c>
      <c r="E411" s="985">
        <v>0</v>
      </c>
      <c r="F411" s="1009">
        <v>1000</v>
      </c>
      <c r="G411" s="1005" t="s">
        <v>388</v>
      </c>
      <c r="H411" s="1005" t="s">
        <v>208</v>
      </c>
      <c r="I411" s="1005" t="s">
        <v>112</v>
      </c>
      <c r="J411" s="989">
        <v>9</v>
      </c>
      <c r="K411" s="989">
        <v>3</v>
      </c>
      <c r="L411" s="983" t="s">
        <v>571</v>
      </c>
      <c r="M411" s="987" t="s">
        <v>612</v>
      </c>
      <c r="N411" s="993" t="s">
        <v>2286</v>
      </c>
    </row>
    <row r="412" spans="1:14" ht="15" customHeight="1" x14ac:dyDescent="0.25">
      <c r="A412" s="987" t="s">
        <v>582</v>
      </c>
      <c r="B412" s="987" t="s">
        <v>612</v>
      </c>
      <c r="C412" s="981" t="s">
        <v>1818</v>
      </c>
      <c r="D412" s="993" t="s">
        <v>755</v>
      </c>
      <c r="E412" s="985">
        <v>0</v>
      </c>
      <c r="F412" s="1009">
        <v>1000</v>
      </c>
      <c r="G412" s="1005" t="s">
        <v>388</v>
      </c>
      <c r="H412" s="1005" t="s">
        <v>208</v>
      </c>
      <c r="I412" s="1005" t="s">
        <v>112</v>
      </c>
      <c r="J412" s="989">
        <v>9</v>
      </c>
      <c r="K412" s="989">
        <v>3</v>
      </c>
      <c r="L412" s="983" t="s">
        <v>571</v>
      </c>
      <c r="M412" s="987" t="s">
        <v>612</v>
      </c>
      <c r="N412" s="993" t="s">
        <v>2287</v>
      </c>
    </row>
    <row r="413" spans="1:14" ht="15" customHeight="1" x14ac:dyDescent="0.25">
      <c r="A413" s="987" t="s">
        <v>582</v>
      </c>
      <c r="B413" s="987" t="s">
        <v>612</v>
      </c>
      <c r="C413" s="981" t="s">
        <v>1819</v>
      </c>
      <c r="D413" s="993" t="s">
        <v>756</v>
      </c>
      <c r="E413" s="985">
        <v>0</v>
      </c>
      <c r="F413" s="1009">
        <v>1000</v>
      </c>
      <c r="G413" s="1005" t="s">
        <v>388</v>
      </c>
      <c r="H413" s="1005" t="s">
        <v>208</v>
      </c>
      <c r="I413" s="1005" t="s">
        <v>112</v>
      </c>
      <c r="J413" s="989">
        <v>9</v>
      </c>
      <c r="K413" s="989">
        <v>3</v>
      </c>
      <c r="L413" s="983" t="s">
        <v>571</v>
      </c>
      <c r="M413" s="987" t="s">
        <v>612</v>
      </c>
      <c r="N413" s="993" t="s">
        <v>2288</v>
      </c>
    </row>
    <row r="414" spans="1:14" ht="15" customHeight="1" x14ac:dyDescent="0.25">
      <c r="A414" s="987" t="s">
        <v>582</v>
      </c>
      <c r="B414" s="987" t="s">
        <v>612</v>
      </c>
      <c r="C414" s="981" t="s">
        <v>1820</v>
      </c>
      <c r="D414" s="993" t="s">
        <v>757</v>
      </c>
      <c r="E414" s="985">
        <v>0</v>
      </c>
      <c r="F414" s="1009">
        <v>1000</v>
      </c>
      <c r="G414" s="1005" t="s">
        <v>388</v>
      </c>
      <c r="H414" s="1005" t="s">
        <v>208</v>
      </c>
      <c r="I414" s="1005" t="s">
        <v>112</v>
      </c>
      <c r="J414" s="989">
        <v>9</v>
      </c>
      <c r="K414" s="989">
        <v>3</v>
      </c>
      <c r="L414" s="983" t="s">
        <v>571</v>
      </c>
      <c r="M414" s="987" t="s">
        <v>612</v>
      </c>
      <c r="N414" s="993" t="s">
        <v>2289</v>
      </c>
    </row>
    <row r="415" spans="1:14" ht="15" customHeight="1" x14ac:dyDescent="0.25">
      <c r="A415" s="987" t="s">
        <v>582</v>
      </c>
      <c r="B415" s="987" t="s">
        <v>612</v>
      </c>
      <c r="C415" s="981" t="s">
        <v>1822</v>
      </c>
      <c r="D415" s="993" t="s">
        <v>758</v>
      </c>
      <c r="E415" s="985">
        <v>0</v>
      </c>
      <c r="F415" s="1009">
        <v>1000</v>
      </c>
      <c r="G415" s="1005" t="s">
        <v>388</v>
      </c>
      <c r="H415" s="1005" t="s">
        <v>208</v>
      </c>
      <c r="I415" s="1005" t="s">
        <v>112</v>
      </c>
      <c r="J415" s="989">
        <v>9</v>
      </c>
      <c r="K415" s="989">
        <v>3</v>
      </c>
      <c r="L415" s="983" t="s">
        <v>571</v>
      </c>
      <c r="M415" s="987" t="s">
        <v>612</v>
      </c>
      <c r="N415" s="993" t="s">
        <v>2375</v>
      </c>
    </row>
    <row r="416" spans="1:14" ht="15" customHeight="1" x14ac:dyDescent="0.25">
      <c r="A416" s="987" t="s">
        <v>582</v>
      </c>
      <c r="B416" s="987" t="s">
        <v>612</v>
      </c>
      <c r="C416" s="981" t="s">
        <v>1823</v>
      </c>
      <c r="D416" s="993" t="s">
        <v>759</v>
      </c>
      <c r="E416" s="985">
        <v>0</v>
      </c>
      <c r="F416" s="1009">
        <v>1000</v>
      </c>
      <c r="G416" s="1005" t="s">
        <v>388</v>
      </c>
      <c r="H416" s="1005" t="s">
        <v>208</v>
      </c>
      <c r="I416" s="1005" t="s">
        <v>112</v>
      </c>
      <c r="J416" s="989">
        <v>9</v>
      </c>
      <c r="K416" s="989">
        <v>3</v>
      </c>
      <c r="L416" s="983" t="s">
        <v>571</v>
      </c>
      <c r="M416" s="987" t="s">
        <v>612</v>
      </c>
      <c r="N416" s="993" t="s">
        <v>2290</v>
      </c>
    </row>
    <row r="417" spans="1:14" ht="15" customHeight="1" x14ac:dyDescent="0.25">
      <c r="A417" s="987" t="s">
        <v>582</v>
      </c>
      <c r="B417" s="987" t="s">
        <v>612</v>
      </c>
      <c r="C417" s="981" t="s">
        <v>1824</v>
      </c>
      <c r="D417" s="993" t="s">
        <v>760</v>
      </c>
      <c r="E417" s="985">
        <v>0</v>
      </c>
      <c r="F417" s="1009">
        <v>1000</v>
      </c>
      <c r="G417" s="1005" t="s">
        <v>388</v>
      </c>
      <c r="H417" s="1005" t="s">
        <v>208</v>
      </c>
      <c r="I417" s="1005" t="s">
        <v>112</v>
      </c>
      <c r="J417" s="989">
        <v>9</v>
      </c>
      <c r="K417" s="989">
        <v>3</v>
      </c>
      <c r="L417" s="983" t="s">
        <v>571</v>
      </c>
      <c r="M417" s="987" t="s">
        <v>612</v>
      </c>
      <c r="N417" s="993" t="s">
        <v>2291</v>
      </c>
    </row>
    <row r="418" spans="1:14" ht="15" customHeight="1" x14ac:dyDescent="0.25">
      <c r="A418" s="987" t="s">
        <v>582</v>
      </c>
      <c r="B418" s="987" t="s">
        <v>612</v>
      </c>
      <c r="C418" s="981" t="s">
        <v>1825</v>
      </c>
      <c r="D418" s="993" t="s">
        <v>761</v>
      </c>
      <c r="E418" s="985">
        <v>0</v>
      </c>
      <c r="F418" s="1009">
        <v>1000</v>
      </c>
      <c r="G418" s="1005" t="s">
        <v>388</v>
      </c>
      <c r="H418" s="1005" t="s">
        <v>208</v>
      </c>
      <c r="I418" s="1005" t="s">
        <v>112</v>
      </c>
      <c r="J418" s="989">
        <v>9</v>
      </c>
      <c r="K418" s="989">
        <v>3</v>
      </c>
      <c r="L418" s="983" t="s">
        <v>571</v>
      </c>
      <c r="M418" s="987" t="s">
        <v>612</v>
      </c>
      <c r="N418" s="993" t="s">
        <v>2292</v>
      </c>
    </row>
    <row r="419" spans="1:14" ht="15" customHeight="1" x14ac:dyDescent="0.25">
      <c r="A419" s="999" t="s">
        <v>571</v>
      </c>
      <c r="B419" s="999" t="s">
        <v>571</v>
      </c>
      <c r="C419" s="999" t="s">
        <v>571</v>
      </c>
      <c r="D419" s="999" t="s">
        <v>571</v>
      </c>
      <c r="E419" s="999" t="s">
        <v>571</v>
      </c>
      <c r="F419" s="999" t="s">
        <v>571</v>
      </c>
      <c r="G419" s="999" t="s">
        <v>571</v>
      </c>
      <c r="H419" s="999" t="s">
        <v>571</v>
      </c>
      <c r="I419" s="999" t="s">
        <v>571</v>
      </c>
      <c r="J419" s="991" t="s">
        <v>571</v>
      </c>
      <c r="K419" s="991" t="s">
        <v>571</v>
      </c>
      <c r="L419" s="991" t="s">
        <v>571</v>
      </c>
      <c r="M419" s="999" t="s">
        <v>571</v>
      </c>
      <c r="N419" s="999" t="s">
        <v>571</v>
      </c>
    </row>
    <row r="420" spans="1:14" ht="15" customHeight="1" x14ac:dyDescent="0.25">
      <c r="A420" s="987" t="s">
        <v>582</v>
      </c>
      <c r="B420" s="987" t="s">
        <v>613</v>
      </c>
      <c r="C420" s="981" t="s">
        <v>1637</v>
      </c>
      <c r="D420" s="1005" t="s">
        <v>578</v>
      </c>
      <c r="E420" s="993" t="s">
        <v>565</v>
      </c>
      <c r="F420" s="993" t="s">
        <v>566</v>
      </c>
      <c r="G420" s="993" t="s">
        <v>196</v>
      </c>
      <c r="H420" s="985" t="s">
        <v>206</v>
      </c>
      <c r="I420" s="1005" t="s">
        <v>621</v>
      </c>
      <c r="J420" s="983" t="s">
        <v>571</v>
      </c>
      <c r="K420" s="983" t="s">
        <v>571</v>
      </c>
      <c r="L420" s="989">
        <v>63999</v>
      </c>
      <c r="M420" s="987" t="s">
        <v>613</v>
      </c>
      <c r="N420" s="993" t="s">
        <v>154</v>
      </c>
    </row>
    <row r="421" spans="1:14" ht="15" customHeight="1" x14ac:dyDescent="0.25">
      <c r="A421" s="987" t="s">
        <v>582</v>
      </c>
      <c r="B421" s="987" t="s">
        <v>613</v>
      </c>
      <c r="C421" s="981" t="s">
        <v>35</v>
      </c>
      <c r="D421" s="1005" t="s">
        <v>35</v>
      </c>
      <c r="E421" s="1007">
        <v>1</v>
      </c>
      <c r="F421" s="1007">
        <f ca="1">TODAY()</f>
        <v>42879</v>
      </c>
      <c r="G421" s="1005" t="s">
        <v>116</v>
      </c>
      <c r="H421" s="1005" t="s">
        <v>206</v>
      </c>
      <c r="I421" s="1005" t="s">
        <v>569</v>
      </c>
      <c r="J421" s="983" t="s">
        <v>571</v>
      </c>
      <c r="K421" s="983" t="s">
        <v>571</v>
      </c>
      <c r="L421" s="983" t="s">
        <v>571</v>
      </c>
      <c r="M421" s="987" t="s">
        <v>613</v>
      </c>
      <c r="N421" s="993" t="s">
        <v>35</v>
      </c>
    </row>
    <row r="422" spans="1:14" ht="15" customHeight="1" x14ac:dyDescent="0.25">
      <c r="A422" s="987" t="s">
        <v>582</v>
      </c>
      <c r="B422" s="987" t="s">
        <v>613</v>
      </c>
      <c r="C422" s="981" t="s">
        <v>1598</v>
      </c>
      <c r="D422" s="1005" t="s">
        <v>229</v>
      </c>
      <c r="E422" s="993" t="s">
        <v>565</v>
      </c>
      <c r="F422" s="993" t="s">
        <v>566</v>
      </c>
      <c r="G422" s="993" t="s">
        <v>196</v>
      </c>
      <c r="H422" s="1005" t="s">
        <v>208</v>
      </c>
      <c r="I422" s="1005" t="s">
        <v>621</v>
      </c>
      <c r="J422" s="983" t="s">
        <v>571</v>
      </c>
      <c r="K422" s="983" t="s">
        <v>571</v>
      </c>
      <c r="L422" s="989">
        <v>63999</v>
      </c>
      <c r="M422" s="987" t="s">
        <v>613</v>
      </c>
      <c r="N422" s="993" t="s">
        <v>152</v>
      </c>
    </row>
    <row r="423" spans="1:14" ht="15" customHeight="1" x14ac:dyDescent="0.25">
      <c r="A423" s="987" t="s">
        <v>582</v>
      </c>
      <c r="B423" s="987" t="s">
        <v>613</v>
      </c>
      <c r="C423" s="981" t="s">
        <v>1659</v>
      </c>
      <c r="D423" s="1005" t="s">
        <v>295</v>
      </c>
      <c r="E423" s="993" t="s">
        <v>565</v>
      </c>
      <c r="F423" s="993" t="s">
        <v>566</v>
      </c>
      <c r="G423" s="993" t="s">
        <v>196</v>
      </c>
      <c r="H423" s="1005" t="s">
        <v>208</v>
      </c>
      <c r="I423" s="1005" t="s">
        <v>621</v>
      </c>
      <c r="J423" s="983" t="s">
        <v>571</v>
      </c>
      <c r="K423" s="983" t="s">
        <v>571</v>
      </c>
      <c r="L423" s="989">
        <v>63999</v>
      </c>
      <c r="M423" s="987" t="s">
        <v>613</v>
      </c>
      <c r="N423" s="993" t="s">
        <v>76</v>
      </c>
    </row>
    <row r="424" spans="1:14" ht="15" customHeight="1" x14ac:dyDescent="0.25">
      <c r="A424" s="987" t="s">
        <v>582</v>
      </c>
      <c r="B424" s="987" t="s">
        <v>613</v>
      </c>
      <c r="C424" s="981" t="s">
        <v>77</v>
      </c>
      <c r="D424" s="1005" t="s">
        <v>267</v>
      </c>
      <c r="E424" s="993" t="s">
        <v>565</v>
      </c>
      <c r="F424" s="993" t="s">
        <v>566</v>
      </c>
      <c r="G424" s="993" t="s">
        <v>196</v>
      </c>
      <c r="H424" s="1005" t="s">
        <v>208</v>
      </c>
      <c r="I424" s="1005" t="s">
        <v>621</v>
      </c>
      <c r="J424" s="983" t="s">
        <v>571</v>
      </c>
      <c r="K424" s="983" t="s">
        <v>571</v>
      </c>
      <c r="L424" s="989">
        <v>63999</v>
      </c>
      <c r="M424" s="987" t="s">
        <v>613</v>
      </c>
      <c r="N424" s="993" t="s">
        <v>77</v>
      </c>
    </row>
    <row r="425" spans="1:14" ht="15" customHeight="1" x14ac:dyDescent="0.25">
      <c r="A425" s="987" t="s">
        <v>582</v>
      </c>
      <c r="B425" s="987" t="s">
        <v>613</v>
      </c>
      <c r="C425" s="981" t="s">
        <v>1789</v>
      </c>
      <c r="D425" s="1005" t="s">
        <v>589</v>
      </c>
      <c r="E425" s="993" t="s">
        <v>565</v>
      </c>
      <c r="F425" s="993" t="s">
        <v>566</v>
      </c>
      <c r="G425" s="993" t="s">
        <v>196</v>
      </c>
      <c r="H425" s="1005" t="s">
        <v>208</v>
      </c>
      <c r="I425" s="1005" t="s">
        <v>621</v>
      </c>
      <c r="J425" s="983" t="s">
        <v>571</v>
      </c>
      <c r="K425" s="983" t="s">
        <v>571</v>
      </c>
      <c r="L425" s="989">
        <v>63999</v>
      </c>
      <c r="M425" s="987" t="s">
        <v>613</v>
      </c>
      <c r="N425" s="993" t="s">
        <v>384</v>
      </c>
    </row>
    <row r="426" spans="1:14" ht="15" customHeight="1" x14ac:dyDescent="0.25">
      <c r="A426" s="987" t="s">
        <v>582</v>
      </c>
      <c r="B426" s="987" t="s">
        <v>613</v>
      </c>
      <c r="C426" s="981" t="s">
        <v>1826</v>
      </c>
      <c r="D426" s="993" t="s">
        <v>794</v>
      </c>
      <c r="E426" s="985">
        <v>0</v>
      </c>
      <c r="F426" s="1009">
        <v>1000</v>
      </c>
      <c r="G426" s="1005" t="s">
        <v>388</v>
      </c>
      <c r="H426" s="1005" t="s">
        <v>208</v>
      </c>
      <c r="I426" s="985" t="s">
        <v>112</v>
      </c>
      <c r="J426" s="989">
        <v>9</v>
      </c>
      <c r="K426" s="989">
        <v>3</v>
      </c>
      <c r="L426" s="983" t="s">
        <v>571</v>
      </c>
      <c r="M426" s="987" t="s">
        <v>613</v>
      </c>
      <c r="N426" s="993" t="s">
        <v>2293</v>
      </c>
    </row>
    <row r="427" spans="1:14" ht="15" customHeight="1" x14ac:dyDescent="0.25">
      <c r="A427" s="987" t="s">
        <v>582</v>
      </c>
      <c r="B427" s="987" t="s">
        <v>613</v>
      </c>
      <c r="C427" s="981" t="s">
        <v>2010</v>
      </c>
      <c r="D427" s="993" t="s">
        <v>2012</v>
      </c>
      <c r="E427" s="985">
        <v>0</v>
      </c>
      <c r="F427" s="1009">
        <v>1000</v>
      </c>
      <c r="G427" s="1005" t="s">
        <v>388</v>
      </c>
      <c r="H427" s="1005" t="s">
        <v>208</v>
      </c>
      <c r="I427" s="985" t="s">
        <v>112</v>
      </c>
      <c r="J427" s="989">
        <v>9</v>
      </c>
      <c r="K427" s="989">
        <v>3</v>
      </c>
      <c r="L427" s="983" t="s">
        <v>571</v>
      </c>
      <c r="M427" s="987" t="s">
        <v>613</v>
      </c>
      <c r="N427" s="993" t="s">
        <v>2280</v>
      </c>
    </row>
    <row r="428" spans="1:14" ht="15" customHeight="1" x14ac:dyDescent="0.25">
      <c r="A428" s="987" t="s">
        <v>582</v>
      </c>
      <c r="B428" s="987" t="s">
        <v>613</v>
      </c>
      <c r="C428" s="981" t="s">
        <v>1827</v>
      </c>
      <c r="D428" s="993" t="s">
        <v>795</v>
      </c>
      <c r="E428" s="985">
        <v>0</v>
      </c>
      <c r="F428" s="985"/>
      <c r="G428" s="1005" t="s">
        <v>539</v>
      </c>
      <c r="H428" s="1005" t="s">
        <v>208</v>
      </c>
      <c r="I428" s="985" t="s">
        <v>112</v>
      </c>
      <c r="J428" s="989">
        <v>9</v>
      </c>
      <c r="K428" s="989">
        <v>3</v>
      </c>
      <c r="L428" s="983" t="s">
        <v>571</v>
      </c>
      <c r="M428" s="987" t="s">
        <v>613</v>
      </c>
      <c r="N428" s="993" t="s">
        <v>2294</v>
      </c>
    </row>
    <row r="429" spans="1:14" ht="15" customHeight="1" x14ac:dyDescent="0.25">
      <c r="A429" s="987" t="s">
        <v>582</v>
      </c>
      <c r="B429" s="987" t="s">
        <v>613</v>
      </c>
      <c r="C429" s="981" t="s">
        <v>1828</v>
      </c>
      <c r="D429" s="993" t="s">
        <v>796</v>
      </c>
      <c r="E429" s="985">
        <v>0</v>
      </c>
      <c r="F429" s="1009">
        <v>1000</v>
      </c>
      <c r="G429" s="1005" t="s">
        <v>388</v>
      </c>
      <c r="H429" s="1005" t="s">
        <v>208</v>
      </c>
      <c r="I429" s="985" t="s">
        <v>112</v>
      </c>
      <c r="J429" s="989">
        <v>9</v>
      </c>
      <c r="K429" s="989">
        <v>3</v>
      </c>
      <c r="L429" s="983" t="s">
        <v>571</v>
      </c>
      <c r="M429" s="987" t="s">
        <v>613</v>
      </c>
      <c r="N429" s="993" t="s">
        <v>2295</v>
      </c>
    </row>
    <row r="430" spans="1:14" ht="15" customHeight="1" x14ac:dyDescent="0.25">
      <c r="A430" s="987" t="s">
        <v>582</v>
      </c>
      <c r="B430" s="987" t="s">
        <v>613</v>
      </c>
      <c r="C430" s="981" t="s">
        <v>1825</v>
      </c>
      <c r="D430" s="993" t="s">
        <v>2013</v>
      </c>
      <c r="E430" s="985">
        <v>0</v>
      </c>
      <c r="F430" s="1009">
        <v>1000</v>
      </c>
      <c r="G430" s="1005" t="s">
        <v>388</v>
      </c>
      <c r="H430" s="1005" t="s">
        <v>208</v>
      </c>
      <c r="I430" s="985" t="s">
        <v>112</v>
      </c>
      <c r="J430" s="989">
        <v>9</v>
      </c>
      <c r="K430" s="989">
        <v>3</v>
      </c>
      <c r="L430" s="983" t="s">
        <v>571</v>
      </c>
      <c r="M430" s="987" t="s">
        <v>613</v>
      </c>
      <c r="N430" s="993" t="s">
        <v>2292</v>
      </c>
    </row>
    <row r="431" spans="1:14" ht="15" customHeight="1" x14ac:dyDescent="0.25">
      <c r="A431" s="987" t="s">
        <v>582</v>
      </c>
      <c r="B431" s="987" t="s">
        <v>613</v>
      </c>
      <c r="C431" s="981" t="s">
        <v>1829</v>
      </c>
      <c r="D431" s="993" t="s">
        <v>797</v>
      </c>
      <c r="E431" s="985">
        <v>0</v>
      </c>
      <c r="F431" s="985"/>
      <c r="G431" s="1005" t="s">
        <v>539</v>
      </c>
      <c r="H431" s="1005" t="s">
        <v>208</v>
      </c>
      <c r="I431" s="985" t="s">
        <v>112</v>
      </c>
      <c r="J431" s="989">
        <v>9</v>
      </c>
      <c r="K431" s="989">
        <v>3</v>
      </c>
      <c r="L431" s="983" t="s">
        <v>571</v>
      </c>
      <c r="M431" s="987" t="s">
        <v>613</v>
      </c>
      <c r="N431" s="993" t="s">
        <v>2296</v>
      </c>
    </row>
    <row r="432" spans="1:14" ht="15" customHeight="1" x14ac:dyDescent="0.25">
      <c r="A432" s="999" t="s">
        <v>571</v>
      </c>
      <c r="B432" s="999" t="s">
        <v>571</v>
      </c>
      <c r="C432" s="999" t="s">
        <v>571</v>
      </c>
      <c r="D432" s="999" t="s">
        <v>571</v>
      </c>
      <c r="E432" s="999" t="s">
        <v>571</v>
      </c>
      <c r="F432" s="999" t="s">
        <v>571</v>
      </c>
      <c r="G432" s="999" t="s">
        <v>571</v>
      </c>
      <c r="H432" s="999" t="s">
        <v>571</v>
      </c>
      <c r="I432" s="999" t="s">
        <v>571</v>
      </c>
      <c r="J432" s="991" t="s">
        <v>571</v>
      </c>
      <c r="K432" s="991" t="s">
        <v>571</v>
      </c>
      <c r="L432" s="991" t="s">
        <v>571</v>
      </c>
      <c r="M432" s="999" t="s">
        <v>571</v>
      </c>
      <c r="N432" s="999" t="s">
        <v>571</v>
      </c>
    </row>
    <row r="433" spans="1:14" ht="15" customHeight="1" x14ac:dyDescent="0.25">
      <c r="A433" s="987" t="s">
        <v>582</v>
      </c>
      <c r="B433" s="987" t="s">
        <v>614</v>
      </c>
      <c r="C433" s="981" t="s">
        <v>1637</v>
      </c>
      <c r="D433" s="1005" t="s">
        <v>578</v>
      </c>
      <c r="E433" s="993" t="s">
        <v>565</v>
      </c>
      <c r="F433" s="993" t="s">
        <v>566</v>
      </c>
      <c r="G433" s="993" t="s">
        <v>196</v>
      </c>
      <c r="H433" s="1005" t="s">
        <v>206</v>
      </c>
      <c r="I433" s="1005" t="s">
        <v>621</v>
      </c>
      <c r="J433" s="983" t="s">
        <v>571</v>
      </c>
      <c r="K433" s="983" t="s">
        <v>571</v>
      </c>
      <c r="L433" s="989">
        <v>63999</v>
      </c>
      <c r="M433" s="987" t="s">
        <v>614</v>
      </c>
      <c r="N433" s="993" t="s">
        <v>154</v>
      </c>
    </row>
    <row r="434" spans="1:14" ht="15" customHeight="1" x14ac:dyDescent="0.25">
      <c r="A434" s="987" t="s">
        <v>582</v>
      </c>
      <c r="B434" s="987" t="s">
        <v>614</v>
      </c>
      <c r="C434" s="981" t="s">
        <v>35</v>
      </c>
      <c r="D434" s="1005" t="s">
        <v>35</v>
      </c>
      <c r="E434" s="1007">
        <v>1</v>
      </c>
      <c r="F434" s="1007">
        <f ca="1">TODAY()</f>
        <v>42879</v>
      </c>
      <c r="G434" s="1005" t="s">
        <v>116</v>
      </c>
      <c r="H434" s="1005" t="s">
        <v>206</v>
      </c>
      <c r="I434" s="1005" t="s">
        <v>569</v>
      </c>
      <c r="J434" s="983" t="s">
        <v>571</v>
      </c>
      <c r="K434" s="983" t="s">
        <v>571</v>
      </c>
      <c r="L434" s="983" t="s">
        <v>571</v>
      </c>
      <c r="M434" s="987" t="s">
        <v>614</v>
      </c>
      <c r="N434" s="993" t="s">
        <v>35</v>
      </c>
    </row>
    <row r="435" spans="1:14" ht="15" customHeight="1" x14ac:dyDescent="0.25">
      <c r="A435" s="987" t="s">
        <v>582</v>
      </c>
      <c r="B435" s="987" t="s">
        <v>614</v>
      </c>
      <c r="C435" s="981" t="s">
        <v>1598</v>
      </c>
      <c r="D435" s="1005" t="s">
        <v>229</v>
      </c>
      <c r="E435" s="993" t="s">
        <v>565</v>
      </c>
      <c r="F435" s="993" t="s">
        <v>566</v>
      </c>
      <c r="G435" s="993" t="s">
        <v>196</v>
      </c>
      <c r="H435" s="1005" t="s">
        <v>208</v>
      </c>
      <c r="I435" s="1005" t="s">
        <v>621</v>
      </c>
      <c r="J435" s="983" t="s">
        <v>571</v>
      </c>
      <c r="K435" s="983" t="s">
        <v>571</v>
      </c>
      <c r="L435" s="989">
        <v>63999</v>
      </c>
      <c r="M435" s="987" t="s">
        <v>614</v>
      </c>
      <c r="N435" s="993" t="s">
        <v>152</v>
      </c>
    </row>
    <row r="436" spans="1:14" ht="15" customHeight="1" x14ac:dyDescent="0.25">
      <c r="A436" s="987" t="s">
        <v>582</v>
      </c>
      <c r="B436" s="987" t="s">
        <v>614</v>
      </c>
      <c r="C436" s="981" t="s">
        <v>1659</v>
      </c>
      <c r="D436" s="1005" t="s">
        <v>295</v>
      </c>
      <c r="E436" s="993" t="s">
        <v>565</v>
      </c>
      <c r="F436" s="993" t="s">
        <v>566</v>
      </c>
      <c r="G436" s="993" t="s">
        <v>196</v>
      </c>
      <c r="H436" s="1005" t="s">
        <v>208</v>
      </c>
      <c r="I436" s="1005" t="s">
        <v>621</v>
      </c>
      <c r="J436" s="983" t="s">
        <v>571</v>
      </c>
      <c r="K436" s="983" t="s">
        <v>571</v>
      </c>
      <c r="L436" s="989">
        <v>63999</v>
      </c>
      <c r="M436" s="987" t="s">
        <v>614</v>
      </c>
      <c r="N436" s="993" t="s">
        <v>76</v>
      </c>
    </row>
    <row r="437" spans="1:14" ht="15" customHeight="1" x14ac:dyDescent="0.25">
      <c r="A437" s="987" t="s">
        <v>582</v>
      </c>
      <c r="B437" s="987" t="s">
        <v>614</v>
      </c>
      <c r="C437" s="981" t="s">
        <v>77</v>
      </c>
      <c r="D437" s="1005" t="s">
        <v>267</v>
      </c>
      <c r="E437" s="993" t="s">
        <v>565</v>
      </c>
      <c r="F437" s="993" t="s">
        <v>566</v>
      </c>
      <c r="G437" s="993" t="s">
        <v>196</v>
      </c>
      <c r="H437" s="1005" t="s">
        <v>208</v>
      </c>
      <c r="I437" s="1005" t="s">
        <v>621</v>
      </c>
      <c r="J437" s="983" t="s">
        <v>571</v>
      </c>
      <c r="K437" s="983" t="s">
        <v>571</v>
      </c>
      <c r="L437" s="989">
        <v>63999</v>
      </c>
      <c r="M437" s="987" t="s">
        <v>614</v>
      </c>
      <c r="N437" s="993" t="s">
        <v>77</v>
      </c>
    </row>
    <row r="438" spans="1:14" ht="15" customHeight="1" x14ac:dyDescent="0.25">
      <c r="A438" s="987" t="s">
        <v>582</v>
      </c>
      <c r="B438" s="987" t="s">
        <v>614</v>
      </c>
      <c r="C438" s="981" t="s">
        <v>1789</v>
      </c>
      <c r="D438" s="1005" t="s">
        <v>589</v>
      </c>
      <c r="E438" s="993" t="s">
        <v>565</v>
      </c>
      <c r="F438" s="993" t="s">
        <v>566</v>
      </c>
      <c r="G438" s="993" t="s">
        <v>196</v>
      </c>
      <c r="H438" s="1005" t="s">
        <v>208</v>
      </c>
      <c r="I438" s="1005" t="s">
        <v>621</v>
      </c>
      <c r="J438" s="983" t="s">
        <v>571</v>
      </c>
      <c r="K438" s="983" t="s">
        <v>571</v>
      </c>
      <c r="L438" s="989">
        <v>63999</v>
      </c>
      <c r="M438" s="987" t="s">
        <v>614</v>
      </c>
      <c r="N438" s="993" t="s">
        <v>384</v>
      </c>
    </row>
    <row r="439" spans="1:14" ht="15" customHeight="1" x14ac:dyDescent="0.25">
      <c r="A439" s="987" t="s">
        <v>582</v>
      </c>
      <c r="B439" s="987" t="s">
        <v>614</v>
      </c>
      <c r="C439" s="981" t="s">
        <v>1830</v>
      </c>
      <c r="D439" s="993" t="s">
        <v>682</v>
      </c>
      <c r="E439" s="985">
        <v>0</v>
      </c>
      <c r="F439" s="985">
        <v>1000</v>
      </c>
      <c r="G439" s="1005" t="s">
        <v>388</v>
      </c>
      <c r="H439" s="1005" t="s">
        <v>208</v>
      </c>
      <c r="I439" s="985" t="s">
        <v>112</v>
      </c>
      <c r="J439" s="989">
        <v>9</v>
      </c>
      <c r="K439" s="989">
        <v>3</v>
      </c>
      <c r="L439" s="983" t="s">
        <v>571</v>
      </c>
      <c r="M439" s="987" t="s">
        <v>614</v>
      </c>
      <c r="N439" s="993" t="s">
        <v>2297</v>
      </c>
    </row>
    <row r="440" spans="1:14" ht="15" customHeight="1" x14ac:dyDescent="0.25">
      <c r="A440" s="987" t="s">
        <v>582</v>
      </c>
      <c r="B440" s="987" t="s">
        <v>614</v>
      </c>
      <c r="C440" s="981" t="s">
        <v>1831</v>
      </c>
      <c r="D440" s="993" t="s">
        <v>683</v>
      </c>
      <c r="E440" s="985">
        <v>0</v>
      </c>
      <c r="F440" s="985">
        <v>1000</v>
      </c>
      <c r="G440" s="1005" t="s">
        <v>388</v>
      </c>
      <c r="H440" s="1005" t="s">
        <v>208</v>
      </c>
      <c r="I440" s="985" t="s">
        <v>112</v>
      </c>
      <c r="J440" s="989">
        <v>9</v>
      </c>
      <c r="K440" s="989">
        <v>3</v>
      </c>
      <c r="L440" s="983" t="s">
        <v>571</v>
      </c>
      <c r="M440" s="987" t="s">
        <v>614</v>
      </c>
      <c r="N440" s="993" t="s">
        <v>2298</v>
      </c>
    </row>
    <row r="441" spans="1:14" ht="15" customHeight="1" x14ac:dyDescent="0.25">
      <c r="A441" s="987" t="s">
        <v>582</v>
      </c>
      <c r="B441" s="987" t="s">
        <v>614</v>
      </c>
      <c r="C441" s="981" t="s">
        <v>1832</v>
      </c>
      <c r="D441" s="993" t="s">
        <v>681</v>
      </c>
      <c r="E441" s="985">
        <v>0</v>
      </c>
      <c r="F441" s="985">
        <v>1000</v>
      </c>
      <c r="G441" s="1005" t="s">
        <v>388</v>
      </c>
      <c r="H441" s="1005" t="s">
        <v>208</v>
      </c>
      <c r="I441" s="985" t="s">
        <v>112</v>
      </c>
      <c r="J441" s="989">
        <v>9</v>
      </c>
      <c r="K441" s="989">
        <v>3</v>
      </c>
      <c r="L441" s="983" t="s">
        <v>571</v>
      </c>
      <c r="M441" s="987" t="s">
        <v>614</v>
      </c>
      <c r="N441" s="993" t="s">
        <v>2299</v>
      </c>
    </row>
    <row r="442" spans="1:14" ht="15" customHeight="1" x14ac:dyDescent="0.25">
      <c r="A442" s="987" t="s">
        <v>582</v>
      </c>
      <c r="B442" s="987" t="s">
        <v>614</v>
      </c>
      <c r="C442" s="981" t="s">
        <v>1833</v>
      </c>
      <c r="D442" s="993" t="s">
        <v>684</v>
      </c>
      <c r="E442" s="985">
        <v>0</v>
      </c>
      <c r="F442" s="985">
        <v>1000</v>
      </c>
      <c r="G442" s="1005" t="s">
        <v>388</v>
      </c>
      <c r="H442" s="1005" t="s">
        <v>208</v>
      </c>
      <c r="I442" s="985" t="s">
        <v>112</v>
      </c>
      <c r="J442" s="989">
        <v>9</v>
      </c>
      <c r="K442" s="989">
        <v>3</v>
      </c>
      <c r="L442" s="983" t="s">
        <v>571</v>
      </c>
      <c r="M442" s="987" t="s">
        <v>614</v>
      </c>
      <c r="N442" s="993" t="s">
        <v>2300</v>
      </c>
    </row>
    <row r="443" spans="1:14" ht="15" customHeight="1" x14ac:dyDescent="0.25">
      <c r="A443" s="987" t="s">
        <v>582</v>
      </c>
      <c r="B443" s="987" t="s">
        <v>614</v>
      </c>
      <c r="C443" s="981" t="s">
        <v>1834</v>
      </c>
      <c r="D443" s="993" t="s">
        <v>685</v>
      </c>
      <c r="E443" s="985">
        <v>0</v>
      </c>
      <c r="F443" s="985">
        <v>1000</v>
      </c>
      <c r="G443" s="1005" t="s">
        <v>388</v>
      </c>
      <c r="H443" s="1005" t="s">
        <v>208</v>
      </c>
      <c r="I443" s="985" t="s">
        <v>112</v>
      </c>
      <c r="J443" s="989">
        <v>9</v>
      </c>
      <c r="K443" s="989">
        <v>3</v>
      </c>
      <c r="L443" s="983" t="s">
        <v>571</v>
      </c>
      <c r="M443" s="987" t="s">
        <v>614</v>
      </c>
      <c r="N443" s="993" t="s">
        <v>2301</v>
      </c>
    </row>
    <row r="444" spans="1:14" ht="15" customHeight="1" x14ac:dyDescent="0.25">
      <c r="A444" s="987" t="s">
        <v>582</v>
      </c>
      <c r="B444" s="987" t="s">
        <v>614</v>
      </c>
      <c r="C444" s="981" t="s">
        <v>1835</v>
      </c>
      <c r="D444" s="993" t="s">
        <v>686</v>
      </c>
      <c r="E444" s="985">
        <v>0</v>
      </c>
      <c r="F444" s="985">
        <v>1000</v>
      </c>
      <c r="G444" s="1005" t="s">
        <v>388</v>
      </c>
      <c r="H444" s="1005" t="s">
        <v>208</v>
      </c>
      <c r="I444" s="985" t="s">
        <v>112</v>
      </c>
      <c r="J444" s="989">
        <v>9</v>
      </c>
      <c r="K444" s="989">
        <v>3</v>
      </c>
      <c r="L444" s="983" t="s">
        <v>571</v>
      </c>
      <c r="M444" s="987" t="s">
        <v>614</v>
      </c>
      <c r="N444" s="993" t="s">
        <v>2302</v>
      </c>
    </row>
    <row r="445" spans="1:14" ht="15" customHeight="1" x14ac:dyDescent="0.25">
      <c r="A445" s="987" t="s">
        <v>582</v>
      </c>
      <c r="B445" s="987" t="s">
        <v>614</v>
      </c>
      <c r="C445" s="981" t="s">
        <v>1836</v>
      </c>
      <c r="D445" s="993" t="s">
        <v>687</v>
      </c>
      <c r="E445" s="985">
        <v>0</v>
      </c>
      <c r="F445" s="985">
        <v>1000</v>
      </c>
      <c r="G445" s="1005" t="s">
        <v>388</v>
      </c>
      <c r="H445" s="1005" t="s">
        <v>208</v>
      </c>
      <c r="I445" s="985" t="s">
        <v>112</v>
      </c>
      <c r="J445" s="989">
        <v>9</v>
      </c>
      <c r="K445" s="989">
        <v>3</v>
      </c>
      <c r="L445" s="983" t="s">
        <v>571</v>
      </c>
      <c r="M445" s="987" t="s">
        <v>614</v>
      </c>
      <c r="N445" s="993" t="s">
        <v>2303</v>
      </c>
    </row>
    <row r="446" spans="1:14" ht="15" customHeight="1" x14ac:dyDescent="0.25">
      <c r="A446" s="987" t="s">
        <v>582</v>
      </c>
      <c r="B446" s="987" t="s">
        <v>614</v>
      </c>
      <c r="C446" s="981" t="s">
        <v>1837</v>
      </c>
      <c r="D446" s="993" t="s">
        <v>688</v>
      </c>
      <c r="E446" s="985">
        <v>0</v>
      </c>
      <c r="F446" s="985">
        <v>1000</v>
      </c>
      <c r="G446" s="1005" t="s">
        <v>388</v>
      </c>
      <c r="H446" s="1005" t="s">
        <v>208</v>
      </c>
      <c r="I446" s="985" t="s">
        <v>112</v>
      </c>
      <c r="J446" s="989">
        <v>9</v>
      </c>
      <c r="K446" s="989">
        <v>3</v>
      </c>
      <c r="L446" s="983" t="s">
        <v>571</v>
      </c>
      <c r="M446" s="987" t="s">
        <v>614</v>
      </c>
      <c r="N446" s="993" t="s">
        <v>2304</v>
      </c>
    </row>
    <row r="447" spans="1:14" ht="15" customHeight="1" x14ac:dyDescent="0.25">
      <c r="A447" s="987" t="s">
        <v>582</v>
      </c>
      <c r="B447" s="987" t="s">
        <v>614</v>
      </c>
      <c r="C447" s="981" t="s">
        <v>1838</v>
      </c>
      <c r="D447" s="993" t="s">
        <v>689</v>
      </c>
      <c r="E447" s="985">
        <v>0</v>
      </c>
      <c r="F447" s="985">
        <v>1000</v>
      </c>
      <c r="G447" s="1005" t="s">
        <v>388</v>
      </c>
      <c r="H447" s="1005" t="s">
        <v>208</v>
      </c>
      <c r="I447" s="985" t="s">
        <v>112</v>
      </c>
      <c r="J447" s="989">
        <v>9</v>
      </c>
      <c r="K447" s="989">
        <v>3</v>
      </c>
      <c r="L447" s="983" t="s">
        <v>571</v>
      </c>
      <c r="M447" s="987" t="s">
        <v>614</v>
      </c>
      <c r="N447" s="993" t="s">
        <v>2305</v>
      </c>
    </row>
    <row r="448" spans="1:14" ht="15" customHeight="1" x14ac:dyDescent="0.25">
      <c r="A448" s="987" t="s">
        <v>582</v>
      </c>
      <c r="B448" s="987" t="s">
        <v>614</v>
      </c>
      <c r="C448" s="981" t="s">
        <v>1952</v>
      </c>
      <c r="D448" s="993" t="s">
        <v>690</v>
      </c>
      <c r="E448" s="985">
        <v>0</v>
      </c>
      <c r="F448" s="985">
        <v>1000</v>
      </c>
      <c r="G448" s="1005" t="s">
        <v>396</v>
      </c>
      <c r="H448" s="1005" t="s">
        <v>208</v>
      </c>
      <c r="I448" s="985" t="s">
        <v>112</v>
      </c>
      <c r="J448" s="989">
        <v>9</v>
      </c>
      <c r="K448" s="989">
        <v>3</v>
      </c>
      <c r="L448" s="983" t="s">
        <v>571</v>
      </c>
      <c r="M448" s="987" t="s">
        <v>614</v>
      </c>
      <c r="N448" s="993" t="s">
        <v>2306</v>
      </c>
    </row>
    <row r="449" spans="1:14" ht="15" customHeight="1" x14ac:dyDescent="0.25">
      <c r="A449" s="987" t="s">
        <v>582</v>
      </c>
      <c r="B449" s="987" t="s">
        <v>614</v>
      </c>
      <c r="C449" s="981" t="s">
        <v>1953</v>
      </c>
      <c r="D449" s="993" t="s">
        <v>691</v>
      </c>
      <c r="E449" s="985">
        <v>0</v>
      </c>
      <c r="F449" s="985">
        <v>1000</v>
      </c>
      <c r="G449" s="1005" t="s">
        <v>396</v>
      </c>
      <c r="H449" s="1005" t="s">
        <v>208</v>
      </c>
      <c r="I449" s="985" t="s">
        <v>112</v>
      </c>
      <c r="J449" s="989">
        <v>9</v>
      </c>
      <c r="K449" s="989">
        <v>3</v>
      </c>
      <c r="L449" s="983" t="s">
        <v>571</v>
      </c>
      <c r="M449" s="987" t="s">
        <v>614</v>
      </c>
      <c r="N449" s="993" t="s">
        <v>2307</v>
      </c>
    </row>
    <row r="450" spans="1:14" ht="15" customHeight="1" x14ac:dyDescent="0.25">
      <c r="A450" s="987" t="s">
        <v>582</v>
      </c>
      <c r="B450" s="987" t="s">
        <v>614</v>
      </c>
      <c r="C450" s="981" t="s">
        <v>1954</v>
      </c>
      <c r="D450" s="993" t="s">
        <v>692</v>
      </c>
      <c r="E450" s="985">
        <v>0</v>
      </c>
      <c r="F450" s="985">
        <v>1000</v>
      </c>
      <c r="G450" s="1005" t="s">
        <v>396</v>
      </c>
      <c r="H450" s="1005" t="s">
        <v>208</v>
      </c>
      <c r="I450" s="985" t="s">
        <v>112</v>
      </c>
      <c r="J450" s="989">
        <v>9</v>
      </c>
      <c r="K450" s="989">
        <v>3</v>
      </c>
      <c r="L450" s="983" t="s">
        <v>571</v>
      </c>
      <c r="M450" s="987" t="s">
        <v>614</v>
      </c>
      <c r="N450" s="993" t="s">
        <v>2308</v>
      </c>
    </row>
    <row r="451" spans="1:14" ht="15" customHeight="1" x14ac:dyDescent="0.25">
      <c r="A451" s="987" t="s">
        <v>582</v>
      </c>
      <c r="B451" s="987" t="s">
        <v>614</v>
      </c>
      <c r="C451" s="981" t="s">
        <v>1955</v>
      </c>
      <c r="D451" s="993" t="s">
        <v>693</v>
      </c>
      <c r="E451" s="985">
        <v>0</v>
      </c>
      <c r="F451" s="985">
        <v>1000</v>
      </c>
      <c r="G451" s="1005" t="s">
        <v>396</v>
      </c>
      <c r="H451" s="1005" t="s">
        <v>208</v>
      </c>
      <c r="I451" s="985" t="s">
        <v>112</v>
      </c>
      <c r="J451" s="989">
        <v>9</v>
      </c>
      <c r="K451" s="989">
        <v>3</v>
      </c>
      <c r="L451" s="983" t="s">
        <v>571</v>
      </c>
      <c r="M451" s="987" t="s">
        <v>614</v>
      </c>
      <c r="N451" s="993" t="s">
        <v>2309</v>
      </c>
    </row>
    <row r="452" spans="1:14" ht="15" customHeight="1" x14ac:dyDescent="0.25">
      <c r="A452" s="987" t="s">
        <v>582</v>
      </c>
      <c r="B452" s="987" t="s">
        <v>614</v>
      </c>
      <c r="C452" s="981" t="s">
        <v>1956</v>
      </c>
      <c r="D452" s="993" t="s">
        <v>694</v>
      </c>
      <c r="E452" s="985">
        <v>0</v>
      </c>
      <c r="F452" s="985">
        <v>1000</v>
      </c>
      <c r="G452" s="1005" t="s">
        <v>396</v>
      </c>
      <c r="H452" s="1005" t="s">
        <v>208</v>
      </c>
      <c r="I452" s="985" t="s">
        <v>112</v>
      </c>
      <c r="J452" s="989">
        <v>9</v>
      </c>
      <c r="K452" s="989">
        <v>3</v>
      </c>
      <c r="L452" s="983" t="s">
        <v>571</v>
      </c>
      <c r="M452" s="987" t="s">
        <v>614</v>
      </c>
      <c r="N452" s="993" t="s">
        <v>2310</v>
      </c>
    </row>
    <row r="453" spans="1:14" ht="15" customHeight="1" x14ac:dyDescent="0.25">
      <c r="A453" s="987" t="s">
        <v>582</v>
      </c>
      <c r="B453" s="987" t="s">
        <v>614</v>
      </c>
      <c r="C453" s="981" t="s">
        <v>1957</v>
      </c>
      <c r="D453" s="993" t="s">
        <v>695</v>
      </c>
      <c r="E453" s="985">
        <v>0</v>
      </c>
      <c r="F453" s="985">
        <v>1000</v>
      </c>
      <c r="G453" s="1005" t="s">
        <v>396</v>
      </c>
      <c r="H453" s="1005" t="s">
        <v>208</v>
      </c>
      <c r="I453" s="985" t="s">
        <v>112</v>
      </c>
      <c r="J453" s="989">
        <v>9</v>
      </c>
      <c r="K453" s="989">
        <v>3</v>
      </c>
      <c r="L453" s="983" t="s">
        <v>571</v>
      </c>
      <c r="M453" s="987" t="s">
        <v>614</v>
      </c>
      <c r="N453" s="993" t="s">
        <v>2311</v>
      </c>
    </row>
    <row r="454" spans="1:14" ht="15" customHeight="1" x14ac:dyDescent="0.25">
      <c r="A454" s="987" t="s">
        <v>582</v>
      </c>
      <c r="B454" s="987" t="s">
        <v>614</v>
      </c>
      <c r="C454" s="981" t="s">
        <v>1839</v>
      </c>
      <c r="D454" s="993" t="s">
        <v>762</v>
      </c>
      <c r="E454" s="985">
        <v>0</v>
      </c>
      <c r="F454" s="985">
        <v>1000</v>
      </c>
      <c r="G454" s="1005" t="s">
        <v>388</v>
      </c>
      <c r="H454" s="1005" t="s">
        <v>208</v>
      </c>
      <c r="I454" s="985" t="s">
        <v>112</v>
      </c>
      <c r="J454" s="989">
        <v>9</v>
      </c>
      <c r="K454" s="989">
        <v>3</v>
      </c>
      <c r="L454" s="983" t="s">
        <v>571</v>
      </c>
      <c r="M454" s="987" t="s">
        <v>614</v>
      </c>
      <c r="N454" s="993" t="s">
        <v>2312</v>
      </c>
    </row>
    <row r="455" spans="1:14" ht="15" customHeight="1" x14ac:dyDescent="0.25">
      <c r="A455" s="987" t="s">
        <v>582</v>
      </c>
      <c r="B455" s="987" t="s">
        <v>614</v>
      </c>
      <c r="C455" s="981" t="s">
        <v>1840</v>
      </c>
      <c r="D455" s="993" t="s">
        <v>763</v>
      </c>
      <c r="E455" s="985">
        <v>0</v>
      </c>
      <c r="F455" s="985">
        <v>1000</v>
      </c>
      <c r="G455" s="1005" t="s">
        <v>388</v>
      </c>
      <c r="H455" s="1005" t="s">
        <v>208</v>
      </c>
      <c r="I455" s="985" t="s">
        <v>112</v>
      </c>
      <c r="J455" s="989">
        <v>9</v>
      </c>
      <c r="K455" s="989">
        <v>3</v>
      </c>
      <c r="L455" s="983" t="s">
        <v>571</v>
      </c>
      <c r="M455" s="987" t="s">
        <v>614</v>
      </c>
      <c r="N455" s="993" t="s">
        <v>2313</v>
      </c>
    </row>
    <row r="456" spans="1:14" ht="15" customHeight="1" x14ac:dyDescent="0.25">
      <c r="A456" s="987" t="s">
        <v>582</v>
      </c>
      <c r="B456" s="987" t="s">
        <v>614</v>
      </c>
      <c r="C456" s="981" t="s">
        <v>1841</v>
      </c>
      <c r="D456" s="993" t="s">
        <v>764</v>
      </c>
      <c r="E456" s="985">
        <v>0</v>
      </c>
      <c r="F456" s="985">
        <v>1000</v>
      </c>
      <c r="G456" s="1005" t="s">
        <v>388</v>
      </c>
      <c r="H456" s="1005" t="s">
        <v>208</v>
      </c>
      <c r="I456" s="985" t="s">
        <v>112</v>
      </c>
      <c r="J456" s="989">
        <v>9</v>
      </c>
      <c r="K456" s="989">
        <v>3</v>
      </c>
      <c r="L456" s="983" t="s">
        <v>571</v>
      </c>
      <c r="M456" s="987" t="s">
        <v>614</v>
      </c>
      <c r="N456" s="993" t="s">
        <v>2314</v>
      </c>
    </row>
    <row r="457" spans="1:14" ht="15" customHeight="1" x14ac:dyDescent="0.25">
      <c r="A457" s="987" t="s">
        <v>582</v>
      </c>
      <c r="B457" s="987" t="s">
        <v>614</v>
      </c>
      <c r="C457" s="981" t="s">
        <v>1842</v>
      </c>
      <c r="D457" s="993" t="s">
        <v>765</v>
      </c>
      <c r="E457" s="985">
        <v>0</v>
      </c>
      <c r="F457" s="985">
        <v>1000</v>
      </c>
      <c r="G457" s="1005" t="s">
        <v>388</v>
      </c>
      <c r="H457" s="1005" t="s">
        <v>208</v>
      </c>
      <c r="I457" s="985" t="s">
        <v>112</v>
      </c>
      <c r="J457" s="989">
        <v>9</v>
      </c>
      <c r="K457" s="989">
        <v>3</v>
      </c>
      <c r="L457" s="983" t="s">
        <v>571</v>
      </c>
      <c r="M457" s="987" t="s">
        <v>614</v>
      </c>
      <c r="N457" s="993" t="s">
        <v>2315</v>
      </c>
    </row>
    <row r="458" spans="1:14" ht="15" customHeight="1" x14ac:dyDescent="0.25">
      <c r="A458" s="987" t="s">
        <v>582</v>
      </c>
      <c r="B458" s="987" t="s">
        <v>614</v>
      </c>
      <c r="C458" s="981" t="s">
        <v>1843</v>
      </c>
      <c r="D458" s="993" t="s">
        <v>766</v>
      </c>
      <c r="E458" s="985">
        <v>0</v>
      </c>
      <c r="F458" s="985">
        <v>1000</v>
      </c>
      <c r="G458" s="1005" t="s">
        <v>388</v>
      </c>
      <c r="H458" s="1005" t="s">
        <v>208</v>
      </c>
      <c r="I458" s="985" t="s">
        <v>112</v>
      </c>
      <c r="J458" s="989">
        <v>9</v>
      </c>
      <c r="K458" s="989">
        <v>3</v>
      </c>
      <c r="L458" s="983" t="s">
        <v>571</v>
      </c>
      <c r="M458" s="987" t="s">
        <v>614</v>
      </c>
      <c r="N458" s="993" t="s">
        <v>2316</v>
      </c>
    </row>
    <row r="459" spans="1:14" ht="15" customHeight="1" x14ac:dyDescent="0.25">
      <c r="A459" s="987" t="s">
        <v>582</v>
      </c>
      <c r="B459" s="987" t="s">
        <v>614</v>
      </c>
      <c r="C459" s="981" t="s">
        <v>1844</v>
      </c>
      <c r="D459" s="993" t="s">
        <v>767</v>
      </c>
      <c r="E459" s="985">
        <v>0</v>
      </c>
      <c r="F459" s="985">
        <v>1000</v>
      </c>
      <c r="G459" s="1005" t="s">
        <v>388</v>
      </c>
      <c r="H459" s="1005" t="s">
        <v>208</v>
      </c>
      <c r="I459" s="985" t="s">
        <v>112</v>
      </c>
      <c r="J459" s="989">
        <v>9</v>
      </c>
      <c r="K459" s="989">
        <v>3</v>
      </c>
      <c r="L459" s="983" t="s">
        <v>571</v>
      </c>
      <c r="M459" s="987" t="s">
        <v>614</v>
      </c>
      <c r="N459" s="993" t="s">
        <v>2317</v>
      </c>
    </row>
    <row r="460" spans="1:14" ht="15" customHeight="1" x14ac:dyDescent="0.25">
      <c r="A460" s="987" t="s">
        <v>582</v>
      </c>
      <c r="B460" s="987" t="s">
        <v>614</v>
      </c>
      <c r="C460" s="981" t="s">
        <v>1845</v>
      </c>
      <c r="D460" s="993" t="s">
        <v>768</v>
      </c>
      <c r="E460" s="985">
        <v>0</v>
      </c>
      <c r="F460" s="985">
        <v>1000</v>
      </c>
      <c r="G460" s="1005" t="s">
        <v>388</v>
      </c>
      <c r="H460" s="1005" t="s">
        <v>208</v>
      </c>
      <c r="I460" s="985" t="s">
        <v>112</v>
      </c>
      <c r="J460" s="989">
        <v>9</v>
      </c>
      <c r="K460" s="989">
        <v>3</v>
      </c>
      <c r="L460" s="983" t="s">
        <v>571</v>
      </c>
      <c r="M460" s="987" t="s">
        <v>614</v>
      </c>
      <c r="N460" s="993" t="s">
        <v>2318</v>
      </c>
    </row>
    <row r="461" spans="1:14" ht="15" customHeight="1" x14ac:dyDescent="0.25">
      <c r="A461" s="987" t="s">
        <v>582</v>
      </c>
      <c r="B461" s="987" t="s">
        <v>614</v>
      </c>
      <c r="C461" s="981" t="s">
        <v>1846</v>
      </c>
      <c r="D461" s="993" t="s">
        <v>769</v>
      </c>
      <c r="E461" s="985">
        <v>0</v>
      </c>
      <c r="F461" s="985">
        <v>1000</v>
      </c>
      <c r="G461" s="1005" t="s">
        <v>388</v>
      </c>
      <c r="H461" s="1005" t="s">
        <v>208</v>
      </c>
      <c r="I461" s="985" t="s">
        <v>112</v>
      </c>
      <c r="J461" s="989">
        <v>9</v>
      </c>
      <c r="K461" s="989">
        <v>3</v>
      </c>
      <c r="L461" s="983" t="s">
        <v>571</v>
      </c>
      <c r="M461" s="987" t="s">
        <v>614</v>
      </c>
      <c r="N461" s="993" t="s">
        <v>2319</v>
      </c>
    </row>
    <row r="462" spans="1:14" ht="15" customHeight="1" x14ac:dyDescent="0.25">
      <c r="A462" s="987" t="s">
        <v>582</v>
      </c>
      <c r="B462" s="987" t="s">
        <v>614</v>
      </c>
      <c r="C462" s="981" t="s">
        <v>1847</v>
      </c>
      <c r="D462" s="993" t="s">
        <v>770</v>
      </c>
      <c r="E462" s="985">
        <v>0</v>
      </c>
      <c r="F462" s="985">
        <v>1000</v>
      </c>
      <c r="G462" s="1005" t="s">
        <v>388</v>
      </c>
      <c r="H462" s="1005" t="s">
        <v>208</v>
      </c>
      <c r="I462" s="985" t="s">
        <v>112</v>
      </c>
      <c r="J462" s="989">
        <v>9</v>
      </c>
      <c r="K462" s="989">
        <v>3</v>
      </c>
      <c r="L462" s="983" t="s">
        <v>571</v>
      </c>
      <c r="M462" s="987" t="s">
        <v>614</v>
      </c>
      <c r="N462" s="993" t="s">
        <v>2320</v>
      </c>
    </row>
    <row r="463" spans="1:14" ht="15" customHeight="1" x14ac:dyDescent="0.25">
      <c r="A463" s="987" t="s">
        <v>582</v>
      </c>
      <c r="B463" s="987" t="s">
        <v>614</v>
      </c>
      <c r="C463" s="981" t="s">
        <v>1959</v>
      </c>
      <c r="D463" s="993" t="s">
        <v>771</v>
      </c>
      <c r="E463" s="985">
        <v>0</v>
      </c>
      <c r="F463" s="985">
        <v>1000</v>
      </c>
      <c r="G463" s="1005" t="s">
        <v>396</v>
      </c>
      <c r="H463" s="1005" t="s">
        <v>208</v>
      </c>
      <c r="I463" s="985" t="s">
        <v>112</v>
      </c>
      <c r="J463" s="989">
        <v>9</v>
      </c>
      <c r="K463" s="989">
        <v>3</v>
      </c>
      <c r="L463" s="983" t="s">
        <v>571</v>
      </c>
      <c r="M463" s="987" t="s">
        <v>614</v>
      </c>
      <c r="N463" s="993" t="s">
        <v>2321</v>
      </c>
    </row>
    <row r="464" spans="1:14" ht="15" customHeight="1" x14ac:dyDescent="0.25">
      <c r="A464" s="987" t="s">
        <v>582</v>
      </c>
      <c r="B464" s="987" t="s">
        <v>614</v>
      </c>
      <c r="C464" s="981" t="s">
        <v>1960</v>
      </c>
      <c r="D464" s="993" t="s">
        <v>772</v>
      </c>
      <c r="E464" s="985">
        <v>0</v>
      </c>
      <c r="F464" s="985">
        <v>1000</v>
      </c>
      <c r="G464" s="1005" t="s">
        <v>396</v>
      </c>
      <c r="H464" s="1005" t="s">
        <v>208</v>
      </c>
      <c r="I464" s="985" t="s">
        <v>112</v>
      </c>
      <c r="J464" s="989">
        <v>9</v>
      </c>
      <c r="K464" s="989">
        <v>3</v>
      </c>
      <c r="L464" s="983" t="s">
        <v>571</v>
      </c>
      <c r="M464" s="987" t="s">
        <v>614</v>
      </c>
      <c r="N464" s="993" t="s">
        <v>2322</v>
      </c>
    </row>
    <row r="465" spans="1:14" ht="15" customHeight="1" x14ac:dyDescent="0.25">
      <c r="A465" s="987" t="s">
        <v>582</v>
      </c>
      <c r="B465" s="987" t="s">
        <v>614</v>
      </c>
      <c r="C465" s="981" t="s">
        <v>1961</v>
      </c>
      <c r="D465" s="993" t="s">
        <v>773</v>
      </c>
      <c r="E465" s="985">
        <v>0</v>
      </c>
      <c r="F465" s="985">
        <v>1000</v>
      </c>
      <c r="G465" s="1005" t="s">
        <v>396</v>
      </c>
      <c r="H465" s="1005" t="s">
        <v>208</v>
      </c>
      <c r="I465" s="985" t="s">
        <v>112</v>
      </c>
      <c r="J465" s="989">
        <v>9</v>
      </c>
      <c r="K465" s="989">
        <v>3</v>
      </c>
      <c r="L465" s="983" t="s">
        <v>571</v>
      </c>
      <c r="M465" s="987" t="s">
        <v>614</v>
      </c>
      <c r="N465" s="993" t="s">
        <v>2323</v>
      </c>
    </row>
    <row r="466" spans="1:14" ht="15" customHeight="1" x14ac:dyDescent="0.25">
      <c r="A466" s="987" t="s">
        <v>582</v>
      </c>
      <c r="B466" s="987" t="s">
        <v>614</v>
      </c>
      <c r="C466" s="981" t="s">
        <v>1962</v>
      </c>
      <c r="D466" s="993" t="s">
        <v>774</v>
      </c>
      <c r="E466" s="985">
        <v>0</v>
      </c>
      <c r="F466" s="985">
        <v>1000</v>
      </c>
      <c r="G466" s="1005" t="s">
        <v>396</v>
      </c>
      <c r="H466" s="1005" t="s">
        <v>208</v>
      </c>
      <c r="I466" s="985" t="s">
        <v>112</v>
      </c>
      <c r="J466" s="989">
        <v>9</v>
      </c>
      <c r="K466" s="989">
        <v>3</v>
      </c>
      <c r="L466" s="983" t="s">
        <v>571</v>
      </c>
      <c r="M466" s="987" t="s">
        <v>614</v>
      </c>
      <c r="N466" s="993" t="s">
        <v>2324</v>
      </c>
    </row>
    <row r="467" spans="1:14" ht="15" customHeight="1" x14ac:dyDescent="0.25">
      <c r="A467" s="987" t="s">
        <v>582</v>
      </c>
      <c r="B467" s="987" t="s">
        <v>614</v>
      </c>
      <c r="C467" s="981" t="s">
        <v>1963</v>
      </c>
      <c r="D467" s="993" t="s">
        <v>775</v>
      </c>
      <c r="E467" s="985">
        <v>0</v>
      </c>
      <c r="F467" s="985">
        <v>1000</v>
      </c>
      <c r="G467" s="1005" t="s">
        <v>396</v>
      </c>
      <c r="H467" s="1005" t="s">
        <v>208</v>
      </c>
      <c r="I467" s="985" t="s">
        <v>112</v>
      </c>
      <c r="J467" s="989">
        <v>9</v>
      </c>
      <c r="K467" s="989">
        <v>3</v>
      </c>
      <c r="L467" s="983" t="s">
        <v>571</v>
      </c>
      <c r="M467" s="987" t="s">
        <v>614</v>
      </c>
      <c r="N467" s="993" t="s">
        <v>2325</v>
      </c>
    </row>
    <row r="468" spans="1:14" ht="15" customHeight="1" x14ac:dyDescent="0.25">
      <c r="A468" s="987" t="s">
        <v>582</v>
      </c>
      <c r="B468" s="987" t="s">
        <v>614</v>
      </c>
      <c r="C468" s="981" t="s">
        <v>1964</v>
      </c>
      <c r="D468" s="993" t="s">
        <v>776</v>
      </c>
      <c r="E468" s="985">
        <v>0</v>
      </c>
      <c r="F468" s="985">
        <v>1000</v>
      </c>
      <c r="G468" s="1005" t="s">
        <v>396</v>
      </c>
      <c r="H468" s="1005" t="s">
        <v>208</v>
      </c>
      <c r="I468" s="985" t="s">
        <v>112</v>
      </c>
      <c r="J468" s="989">
        <v>9</v>
      </c>
      <c r="K468" s="989">
        <v>3</v>
      </c>
      <c r="L468" s="983" t="s">
        <v>571</v>
      </c>
      <c r="M468" s="987" t="s">
        <v>614</v>
      </c>
      <c r="N468" s="993" t="s">
        <v>2326</v>
      </c>
    </row>
    <row r="469" spans="1:14" ht="15" customHeight="1" x14ac:dyDescent="0.25">
      <c r="A469" s="999" t="s">
        <v>571</v>
      </c>
      <c r="B469" s="999" t="s">
        <v>571</v>
      </c>
      <c r="C469" s="999" t="s">
        <v>571</v>
      </c>
      <c r="D469" s="999" t="s">
        <v>571</v>
      </c>
      <c r="E469" s="999" t="s">
        <v>571</v>
      </c>
      <c r="F469" s="999" t="s">
        <v>571</v>
      </c>
      <c r="G469" s="999" t="s">
        <v>571</v>
      </c>
      <c r="H469" s="999" t="s">
        <v>571</v>
      </c>
      <c r="I469" s="999" t="s">
        <v>571</v>
      </c>
      <c r="J469" s="991" t="s">
        <v>571</v>
      </c>
      <c r="K469" s="991" t="s">
        <v>571</v>
      </c>
      <c r="L469" s="991" t="s">
        <v>571</v>
      </c>
      <c r="M469" s="999" t="s">
        <v>571</v>
      </c>
      <c r="N469" s="999" t="s">
        <v>571</v>
      </c>
    </row>
    <row r="470" spans="1:14" ht="15" customHeight="1" x14ac:dyDescent="0.25">
      <c r="A470" s="987" t="s">
        <v>582</v>
      </c>
      <c r="B470" s="987" t="s">
        <v>615</v>
      </c>
      <c r="C470" s="981" t="s">
        <v>1637</v>
      </c>
      <c r="D470" s="1005" t="s">
        <v>578</v>
      </c>
      <c r="E470" s="993" t="s">
        <v>565</v>
      </c>
      <c r="F470" s="993" t="s">
        <v>566</v>
      </c>
      <c r="G470" s="993" t="s">
        <v>196</v>
      </c>
      <c r="H470" s="1005" t="s">
        <v>206</v>
      </c>
      <c r="I470" s="1005" t="s">
        <v>621</v>
      </c>
      <c r="J470" s="983" t="s">
        <v>571</v>
      </c>
      <c r="K470" s="983" t="s">
        <v>571</v>
      </c>
      <c r="L470" s="989">
        <v>63999</v>
      </c>
      <c r="M470" s="987" t="s">
        <v>615</v>
      </c>
      <c r="N470" s="993" t="s">
        <v>154</v>
      </c>
    </row>
    <row r="471" spans="1:14" ht="15" customHeight="1" x14ac:dyDescent="0.25">
      <c r="A471" s="987" t="s">
        <v>582</v>
      </c>
      <c r="B471" s="987" t="s">
        <v>615</v>
      </c>
      <c r="C471" s="981" t="s">
        <v>35</v>
      </c>
      <c r="D471" s="1005" t="s">
        <v>35</v>
      </c>
      <c r="E471" s="1007">
        <v>1</v>
      </c>
      <c r="F471" s="1007">
        <f ca="1">TODAY()</f>
        <v>42879</v>
      </c>
      <c r="G471" s="1005" t="s">
        <v>116</v>
      </c>
      <c r="H471" s="1005" t="s">
        <v>206</v>
      </c>
      <c r="I471" s="1005" t="s">
        <v>569</v>
      </c>
      <c r="J471" s="983" t="s">
        <v>571</v>
      </c>
      <c r="K471" s="983" t="s">
        <v>571</v>
      </c>
      <c r="L471" s="983" t="s">
        <v>571</v>
      </c>
      <c r="M471" s="987" t="s">
        <v>615</v>
      </c>
      <c r="N471" s="993" t="s">
        <v>35</v>
      </c>
    </row>
    <row r="472" spans="1:14" ht="15" customHeight="1" x14ac:dyDescent="0.25">
      <c r="A472" s="987" t="s">
        <v>582</v>
      </c>
      <c r="B472" s="987" t="s">
        <v>615</v>
      </c>
      <c r="C472" s="981" t="s">
        <v>1598</v>
      </c>
      <c r="D472" s="1005" t="s">
        <v>229</v>
      </c>
      <c r="E472" s="993" t="s">
        <v>565</v>
      </c>
      <c r="F472" s="993" t="s">
        <v>566</v>
      </c>
      <c r="G472" s="993" t="s">
        <v>196</v>
      </c>
      <c r="H472" s="1006" t="s">
        <v>208</v>
      </c>
      <c r="I472" s="1005" t="s">
        <v>621</v>
      </c>
      <c r="J472" s="983" t="s">
        <v>571</v>
      </c>
      <c r="K472" s="983" t="s">
        <v>571</v>
      </c>
      <c r="L472" s="989">
        <v>63999</v>
      </c>
      <c r="M472" s="987" t="s">
        <v>615</v>
      </c>
      <c r="N472" s="993" t="s">
        <v>152</v>
      </c>
    </row>
    <row r="473" spans="1:14" ht="15" customHeight="1" x14ac:dyDescent="0.25">
      <c r="A473" s="987" t="s">
        <v>582</v>
      </c>
      <c r="B473" s="987" t="s">
        <v>615</v>
      </c>
      <c r="C473" s="981" t="s">
        <v>1848</v>
      </c>
      <c r="D473" s="1005" t="s">
        <v>2</v>
      </c>
      <c r="E473" s="993" t="s">
        <v>565</v>
      </c>
      <c r="F473" s="993" t="s">
        <v>566</v>
      </c>
      <c r="G473" s="993" t="s">
        <v>196</v>
      </c>
      <c r="H473" s="1006" t="s">
        <v>208</v>
      </c>
      <c r="I473" s="1005" t="s">
        <v>621</v>
      </c>
      <c r="J473" s="983" t="s">
        <v>571</v>
      </c>
      <c r="K473" s="983" t="s">
        <v>571</v>
      </c>
      <c r="L473" s="989">
        <v>63999</v>
      </c>
      <c r="M473" s="987" t="s">
        <v>615</v>
      </c>
      <c r="N473" s="993" t="s">
        <v>84</v>
      </c>
    </row>
    <row r="474" spans="1:14" ht="15" customHeight="1" x14ac:dyDescent="0.25">
      <c r="A474" s="987" t="s">
        <v>582</v>
      </c>
      <c r="B474" s="987" t="s">
        <v>615</v>
      </c>
      <c r="C474" s="981" t="s">
        <v>1659</v>
      </c>
      <c r="D474" s="1005" t="s">
        <v>316</v>
      </c>
      <c r="E474" s="993" t="s">
        <v>565</v>
      </c>
      <c r="F474" s="993" t="s">
        <v>566</v>
      </c>
      <c r="G474" s="993" t="s">
        <v>196</v>
      </c>
      <c r="H474" s="1006" t="s">
        <v>208</v>
      </c>
      <c r="I474" s="1005" t="s">
        <v>621</v>
      </c>
      <c r="J474" s="983" t="s">
        <v>571</v>
      </c>
      <c r="K474" s="983" t="s">
        <v>571</v>
      </c>
      <c r="L474" s="989">
        <v>63999</v>
      </c>
      <c r="M474" s="987" t="s">
        <v>615</v>
      </c>
      <c r="N474" s="993" t="s">
        <v>76</v>
      </c>
    </row>
    <row r="475" spans="1:14" ht="15" customHeight="1" x14ac:dyDescent="0.25">
      <c r="A475" s="987" t="s">
        <v>582</v>
      </c>
      <c r="B475" s="987" t="s">
        <v>615</v>
      </c>
      <c r="C475" s="981" t="s">
        <v>1849</v>
      </c>
      <c r="D475" s="1005" t="s">
        <v>3</v>
      </c>
      <c r="E475" s="993" t="s">
        <v>565</v>
      </c>
      <c r="F475" s="993" t="s">
        <v>566</v>
      </c>
      <c r="G475" s="993" t="s">
        <v>196</v>
      </c>
      <c r="H475" s="1006" t="s">
        <v>208</v>
      </c>
      <c r="I475" s="1005" t="s">
        <v>621</v>
      </c>
      <c r="J475" s="983" t="s">
        <v>571</v>
      </c>
      <c r="K475" s="983" t="s">
        <v>571</v>
      </c>
      <c r="L475" s="989">
        <v>63999</v>
      </c>
      <c r="M475" s="987" t="s">
        <v>615</v>
      </c>
      <c r="N475" s="993" t="s">
        <v>79</v>
      </c>
    </row>
    <row r="476" spans="1:14" ht="15" customHeight="1" x14ac:dyDescent="0.25">
      <c r="A476" s="987" t="s">
        <v>582</v>
      </c>
      <c r="B476" s="987" t="s">
        <v>615</v>
      </c>
      <c r="C476" s="981" t="s">
        <v>1850</v>
      </c>
      <c r="D476" s="1005" t="s">
        <v>4</v>
      </c>
      <c r="E476" s="993">
        <v>0</v>
      </c>
      <c r="F476" s="988">
        <v>50000</v>
      </c>
      <c r="G476" s="1005" t="s">
        <v>5</v>
      </c>
      <c r="H476" s="1006" t="s">
        <v>208</v>
      </c>
      <c r="I476" s="985" t="s">
        <v>112</v>
      </c>
      <c r="J476" s="989">
        <v>9</v>
      </c>
      <c r="K476" s="989">
        <v>3</v>
      </c>
      <c r="L476" s="983" t="s">
        <v>571</v>
      </c>
      <c r="M476" s="987" t="s">
        <v>615</v>
      </c>
      <c r="N476" s="993" t="s">
        <v>2222</v>
      </c>
    </row>
    <row r="477" spans="1:14" ht="15" customHeight="1" x14ac:dyDescent="0.25">
      <c r="A477" s="987" t="s">
        <v>582</v>
      </c>
      <c r="B477" s="987" t="s">
        <v>615</v>
      </c>
      <c r="C477" s="981" t="s">
        <v>1851</v>
      </c>
      <c r="D477" s="1005" t="s">
        <v>7</v>
      </c>
      <c r="E477" s="993">
        <v>0</v>
      </c>
      <c r="F477" s="988">
        <v>50000</v>
      </c>
      <c r="G477" s="1005" t="s">
        <v>5</v>
      </c>
      <c r="H477" s="1006" t="s">
        <v>208</v>
      </c>
      <c r="I477" s="985" t="s">
        <v>112</v>
      </c>
      <c r="J477" s="989">
        <v>9</v>
      </c>
      <c r="K477" s="989">
        <v>3</v>
      </c>
      <c r="L477" s="983" t="s">
        <v>571</v>
      </c>
      <c r="M477" s="987" t="s">
        <v>615</v>
      </c>
      <c r="N477" s="993" t="s">
        <v>2327</v>
      </c>
    </row>
    <row r="478" spans="1:14" ht="15" customHeight="1" x14ac:dyDescent="0.25">
      <c r="A478" s="987" t="s">
        <v>582</v>
      </c>
      <c r="B478" s="987" t="s">
        <v>615</v>
      </c>
      <c r="C478" s="981" t="s">
        <v>1853</v>
      </c>
      <c r="D478" s="1005" t="s">
        <v>9</v>
      </c>
      <c r="E478" s="993">
        <v>0</v>
      </c>
      <c r="F478" s="988">
        <v>50000</v>
      </c>
      <c r="G478" s="1005" t="s">
        <v>5</v>
      </c>
      <c r="H478" s="1006" t="s">
        <v>208</v>
      </c>
      <c r="I478" s="985" t="s">
        <v>112</v>
      </c>
      <c r="J478" s="989">
        <v>9</v>
      </c>
      <c r="K478" s="989">
        <v>3</v>
      </c>
      <c r="L478" s="983" t="s">
        <v>571</v>
      </c>
      <c r="M478" s="987" t="s">
        <v>615</v>
      </c>
      <c r="N478" s="993" t="s">
        <v>2328</v>
      </c>
    </row>
    <row r="479" spans="1:14" ht="15" customHeight="1" x14ac:dyDescent="0.25">
      <c r="A479" s="987" t="s">
        <v>582</v>
      </c>
      <c r="B479" s="987" t="s">
        <v>615</v>
      </c>
      <c r="C479" s="981" t="s">
        <v>1852</v>
      </c>
      <c r="D479" s="1005" t="s">
        <v>1987</v>
      </c>
      <c r="E479" s="993">
        <v>0</v>
      </c>
      <c r="F479" s="993">
        <v>10</v>
      </c>
      <c r="G479" s="1005" t="s">
        <v>11</v>
      </c>
      <c r="H479" s="1006" t="s">
        <v>208</v>
      </c>
      <c r="I479" s="985" t="s">
        <v>112</v>
      </c>
      <c r="J479" s="989">
        <v>9</v>
      </c>
      <c r="K479" s="989">
        <v>3</v>
      </c>
      <c r="L479" s="983" t="s">
        <v>571</v>
      </c>
      <c r="M479" s="987" t="s">
        <v>615</v>
      </c>
      <c r="N479" s="993" t="s">
        <v>2329</v>
      </c>
    </row>
    <row r="480" spans="1:14" ht="15" customHeight="1" x14ac:dyDescent="0.25">
      <c r="A480" s="987" t="s">
        <v>582</v>
      </c>
      <c r="B480" s="987" t="s">
        <v>615</v>
      </c>
      <c r="C480" s="981" t="s">
        <v>1854</v>
      </c>
      <c r="D480" s="1005" t="s">
        <v>12</v>
      </c>
      <c r="E480" s="993">
        <v>0</v>
      </c>
      <c r="F480" s="993">
        <v>100</v>
      </c>
      <c r="G480" s="1005" t="s">
        <v>13</v>
      </c>
      <c r="H480" s="1006" t="s">
        <v>208</v>
      </c>
      <c r="I480" s="985" t="s">
        <v>112</v>
      </c>
      <c r="J480" s="989">
        <v>9</v>
      </c>
      <c r="K480" s="989">
        <v>3</v>
      </c>
      <c r="L480" s="983" t="s">
        <v>571</v>
      </c>
      <c r="M480" s="987" t="s">
        <v>615</v>
      </c>
      <c r="N480" s="993" t="s">
        <v>2330</v>
      </c>
    </row>
    <row r="481" spans="1:14" ht="15" customHeight="1" x14ac:dyDescent="0.25">
      <c r="A481" s="987" t="s">
        <v>582</v>
      </c>
      <c r="B481" s="987" t="s">
        <v>615</v>
      </c>
      <c r="C481" s="981" t="s">
        <v>1858</v>
      </c>
      <c r="D481" s="1005" t="s">
        <v>15</v>
      </c>
      <c r="E481" s="993">
        <v>0</v>
      </c>
      <c r="F481" s="993">
        <v>100</v>
      </c>
      <c r="G481" s="1005" t="s">
        <v>16</v>
      </c>
      <c r="H481" s="1006" t="s">
        <v>208</v>
      </c>
      <c r="I481" s="985" t="s">
        <v>112</v>
      </c>
      <c r="J481" s="989">
        <v>9</v>
      </c>
      <c r="K481" s="989">
        <v>3</v>
      </c>
      <c r="L481" s="983" t="s">
        <v>571</v>
      </c>
      <c r="M481" s="987" t="s">
        <v>615</v>
      </c>
      <c r="N481" s="993" t="s">
        <v>2331</v>
      </c>
    </row>
    <row r="482" spans="1:14" ht="15" customHeight="1" x14ac:dyDescent="0.25">
      <c r="A482" s="987" t="s">
        <v>582</v>
      </c>
      <c r="B482" s="987" t="s">
        <v>615</v>
      </c>
      <c r="C482" s="981" t="s">
        <v>1855</v>
      </c>
      <c r="D482" s="1005" t="s">
        <v>1986</v>
      </c>
      <c r="E482" s="993">
        <v>0</v>
      </c>
      <c r="F482" s="993">
        <v>100</v>
      </c>
      <c r="G482" s="1005" t="s">
        <v>18</v>
      </c>
      <c r="H482" s="1006" t="s">
        <v>208</v>
      </c>
      <c r="I482" s="985" t="s">
        <v>112</v>
      </c>
      <c r="J482" s="989">
        <v>9</v>
      </c>
      <c r="K482" s="989">
        <v>3</v>
      </c>
      <c r="L482" s="983" t="s">
        <v>571</v>
      </c>
      <c r="M482" s="987" t="s">
        <v>615</v>
      </c>
      <c r="N482" s="993" t="s">
        <v>2332</v>
      </c>
    </row>
    <row r="483" spans="1:14" ht="15" customHeight="1" x14ac:dyDescent="0.25">
      <c r="A483" s="987" t="s">
        <v>582</v>
      </c>
      <c r="B483" s="987" t="s">
        <v>615</v>
      </c>
      <c r="C483" s="981" t="s">
        <v>1856</v>
      </c>
      <c r="D483" s="1005" t="s">
        <v>19</v>
      </c>
      <c r="E483" s="993">
        <v>0</v>
      </c>
      <c r="F483" s="988">
        <v>25000</v>
      </c>
      <c r="G483" s="1005" t="s">
        <v>119</v>
      </c>
      <c r="H483" s="1006" t="s">
        <v>208</v>
      </c>
      <c r="I483" s="985" t="s">
        <v>112</v>
      </c>
      <c r="J483" s="989">
        <v>9</v>
      </c>
      <c r="K483" s="989">
        <v>3</v>
      </c>
      <c r="L483" s="983" t="s">
        <v>571</v>
      </c>
      <c r="M483" s="987" t="s">
        <v>615</v>
      </c>
      <c r="N483" s="993" t="s">
        <v>2333</v>
      </c>
    </row>
    <row r="484" spans="1:14" ht="15" customHeight="1" x14ac:dyDescent="0.25">
      <c r="A484" s="987" t="s">
        <v>582</v>
      </c>
      <c r="B484" s="987" t="s">
        <v>615</v>
      </c>
      <c r="C484" s="981" t="s">
        <v>1857</v>
      </c>
      <c r="D484" s="1005" t="s">
        <v>21</v>
      </c>
      <c r="E484" s="993">
        <v>0</v>
      </c>
      <c r="F484" s="988">
        <v>2500</v>
      </c>
      <c r="G484" s="1005" t="s">
        <v>91</v>
      </c>
      <c r="H484" s="1006" t="s">
        <v>208</v>
      </c>
      <c r="I484" s="985" t="s">
        <v>112</v>
      </c>
      <c r="J484" s="989">
        <v>9</v>
      </c>
      <c r="K484" s="989">
        <v>3</v>
      </c>
      <c r="L484" s="983" t="s">
        <v>571</v>
      </c>
      <c r="M484" s="987" t="s">
        <v>615</v>
      </c>
      <c r="N484" s="993" t="s">
        <v>2334</v>
      </c>
    </row>
    <row r="485" spans="1:14" ht="15" customHeight="1" x14ac:dyDescent="0.25">
      <c r="A485" s="987" t="s">
        <v>582</v>
      </c>
      <c r="B485" s="987" t="s">
        <v>615</v>
      </c>
      <c r="C485" s="981" t="s">
        <v>1859</v>
      </c>
      <c r="D485" s="1005" t="s">
        <v>23</v>
      </c>
      <c r="E485" s="993">
        <v>0</v>
      </c>
      <c r="F485" s="988">
        <v>25000</v>
      </c>
      <c r="G485" s="1005" t="s">
        <v>119</v>
      </c>
      <c r="H485" s="1006" t="s">
        <v>208</v>
      </c>
      <c r="I485" s="985" t="s">
        <v>112</v>
      </c>
      <c r="J485" s="989">
        <v>9</v>
      </c>
      <c r="K485" s="989">
        <v>3</v>
      </c>
      <c r="L485" s="983" t="s">
        <v>571</v>
      </c>
      <c r="M485" s="987" t="s">
        <v>615</v>
      </c>
      <c r="N485" s="993" t="s">
        <v>2335</v>
      </c>
    </row>
    <row r="486" spans="1:14" ht="15" customHeight="1" x14ac:dyDescent="0.25">
      <c r="A486" s="987" t="s">
        <v>582</v>
      </c>
      <c r="B486" s="987" t="s">
        <v>615</v>
      </c>
      <c r="C486" s="981" t="s">
        <v>1860</v>
      </c>
      <c r="D486" s="1005" t="s">
        <v>25</v>
      </c>
      <c r="E486" s="993">
        <v>0</v>
      </c>
      <c r="F486" s="988">
        <v>2500</v>
      </c>
      <c r="G486" s="1005" t="s">
        <v>91</v>
      </c>
      <c r="H486" s="1006" t="s">
        <v>208</v>
      </c>
      <c r="I486" s="985" t="s">
        <v>112</v>
      </c>
      <c r="J486" s="989">
        <v>9</v>
      </c>
      <c r="K486" s="989">
        <v>3</v>
      </c>
      <c r="L486" s="983" t="s">
        <v>571</v>
      </c>
      <c r="M486" s="987" t="s">
        <v>615</v>
      </c>
      <c r="N486" s="993" t="s">
        <v>2336</v>
      </c>
    </row>
    <row r="487" spans="1:14" ht="15" customHeight="1" x14ac:dyDescent="0.25">
      <c r="A487" s="987" t="s">
        <v>582</v>
      </c>
      <c r="B487" s="987" t="s">
        <v>615</v>
      </c>
      <c r="C487" s="981" t="s">
        <v>1862</v>
      </c>
      <c r="D487" s="1005" t="s">
        <v>27</v>
      </c>
      <c r="E487" s="993">
        <v>0</v>
      </c>
      <c r="F487" s="988">
        <v>25000</v>
      </c>
      <c r="G487" s="1005" t="s">
        <v>1014</v>
      </c>
      <c r="H487" s="1006" t="s">
        <v>208</v>
      </c>
      <c r="I487" s="985" t="s">
        <v>112</v>
      </c>
      <c r="J487" s="989">
        <v>9</v>
      </c>
      <c r="K487" s="989">
        <v>3</v>
      </c>
      <c r="L487" s="983" t="s">
        <v>571</v>
      </c>
      <c r="M487" s="987" t="s">
        <v>615</v>
      </c>
      <c r="N487" s="993" t="s">
        <v>2337</v>
      </c>
    </row>
    <row r="488" spans="1:14" ht="15" customHeight="1" x14ac:dyDescent="0.25">
      <c r="A488" s="987" t="s">
        <v>582</v>
      </c>
      <c r="B488" s="987" t="s">
        <v>615</v>
      </c>
      <c r="C488" s="981" t="s">
        <v>1861</v>
      </c>
      <c r="D488" s="1005" t="s">
        <v>29</v>
      </c>
      <c r="E488" s="993">
        <v>0</v>
      </c>
      <c r="F488" s="988">
        <v>2500</v>
      </c>
      <c r="G488" s="1005" t="s">
        <v>1016</v>
      </c>
      <c r="H488" s="1006" t="s">
        <v>208</v>
      </c>
      <c r="I488" s="985" t="s">
        <v>112</v>
      </c>
      <c r="J488" s="989">
        <v>9</v>
      </c>
      <c r="K488" s="989">
        <v>3</v>
      </c>
      <c r="L488" s="983" t="s">
        <v>571</v>
      </c>
      <c r="M488" s="987" t="s">
        <v>615</v>
      </c>
      <c r="N488" s="993" t="s">
        <v>2338</v>
      </c>
    </row>
    <row r="489" spans="1:14" ht="15" customHeight="1" x14ac:dyDescent="0.25">
      <c r="A489" s="987" t="s">
        <v>582</v>
      </c>
      <c r="B489" s="987" t="s">
        <v>615</v>
      </c>
      <c r="C489" s="981" t="s">
        <v>1863</v>
      </c>
      <c r="D489" s="1005" t="s">
        <v>31</v>
      </c>
      <c r="E489" s="993">
        <v>0</v>
      </c>
      <c r="F489" s="988">
        <v>25000</v>
      </c>
      <c r="G489" s="1005" t="s">
        <v>1014</v>
      </c>
      <c r="H489" s="1006" t="s">
        <v>208</v>
      </c>
      <c r="I489" s="985" t="s">
        <v>112</v>
      </c>
      <c r="J489" s="989">
        <v>9</v>
      </c>
      <c r="K489" s="989">
        <v>3</v>
      </c>
      <c r="L489" s="983" t="s">
        <v>571</v>
      </c>
      <c r="M489" s="987" t="s">
        <v>615</v>
      </c>
      <c r="N489" s="993" t="s">
        <v>2339</v>
      </c>
    </row>
    <row r="490" spans="1:14" ht="15" customHeight="1" x14ac:dyDescent="0.25">
      <c r="A490" s="987" t="s">
        <v>582</v>
      </c>
      <c r="B490" s="987" t="s">
        <v>615</v>
      </c>
      <c r="C490" s="981" t="s">
        <v>1864</v>
      </c>
      <c r="D490" s="1005" t="s">
        <v>33</v>
      </c>
      <c r="E490" s="993">
        <v>0</v>
      </c>
      <c r="F490" s="988">
        <v>2500</v>
      </c>
      <c r="G490" s="1005" t="s">
        <v>1016</v>
      </c>
      <c r="H490" s="1006" t="s">
        <v>208</v>
      </c>
      <c r="I490" s="985" t="s">
        <v>112</v>
      </c>
      <c r="J490" s="989">
        <v>9</v>
      </c>
      <c r="K490" s="989">
        <v>3</v>
      </c>
      <c r="L490" s="983" t="s">
        <v>571</v>
      </c>
      <c r="M490" s="987" t="s">
        <v>615</v>
      </c>
      <c r="N490" s="993" t="s">
        <v>2340</v>
      </c>
    </row>
    <row r="491" spans="1:14" ht="15" customHeight="1" x14ac:dyDescent="0.25">
      <c r="A491" s="987" t="s">
        <v>582</v>
      </c>
      <c r="B491" s="987" t="s">
        <v>615</v>
      </c>
      <c r="C491" s="981" t="s">
        <v>1850</v>
      </c>
      <c r="D491" s="1005" t="s">
        <v>6</v>
      </c>
      <c r="E491" s="993">
        <v>0</v>
      </c>
      <c r="F491" s="988">
        <v>50000</v>
      </c>
      <c r="G491" s="1005" t="s">
        <v>5</v>
      </c>
      <c r="H491" s="1006" t="s">
        <v>208</v>
      </c>
      <c r="I491" s="985" t="s">
        <v>112</v>
      </c>
      <c r="J491" s="989">
        <v>9</v>
      </c>
      <c r="K491" s="989">
        <v>3</v>
      </c>
      <c r="L491" s="983" t="s">
        <v>571</v>
      </c>
      <c r="M491" s="987" t="s">
        <v>615</v>
      </c>
      <c r="N491" s="993" t="s">
        <v>2241</v>
      </c>
    </row>
    <row r="492" spans="1:14" ht="15" customHeight="1" x14ac:dyDescent="0.25">
      <c r="A492" s="987" t="s">
        <v>582</v>
      </c>
      <c r="B492" s="987" t="s">
        <v>615</v>
      </c>
      <c r="C492" s="981" t="s">
        <v>1865</v>
      </c>
      <c r="D492" s="1005" t="s">
        <v>8</v>
      </c>
      <c r="E492" s="993">
        <v>0</v>
      </c>
      <c r="F492" s="988">
        <v>50000</v>
      </c>
      <c r="G492" s="1005" t="s">
        <v>5</v>
      </c>
      <c r="H492" s="1006" t="s">
        <v>208</v>
      </c>
      <c r="I492" s="985" t="s">
        <v>112</v>
      </c>
      <c r="J492" s="989">
        <v>9</v>
      </c>
      <c r="K492" s="989">
        <v>3</v>
      </c>
      <c r="L492" s="983" t="s">
        <v>571</v>
      </c>
      <c r="M492" s="987" t="s">
        <v>615</v>
      </c>
      <c r="N492" s="993" t="s">
        <v>2341</v>
      </c>
    </row>
    <row r="493" spans="1:14" ht="15" customHeight="1" x14ac:dyDescent="0.25">
      <c r="A493" s="987" t="s">
        <v>582</v>
      </c>
      <c r="B493" s="987" t="s">
        <v>615</v>
      </c>
      <c r="C493" s="981" t="s">
        <v>1866</v>
      </c>
      <c r="D493" s="1005" t="s">
        <v>10</v>
      </c>
      <c r="E493" s="993">
        <v>0</v>
      </c>
      <c r="F493" s="988">
        <v>50000</v>
      </c>
      <c r="G493" s="1005" t="s">
        <v>5</v>
      </c>
      <c r="H493" s="1006" t="s">
        <v>208</v>
      </c>
      <c r="I493" s="985" t="s">
        <v>112</v>
      </c>
      <c r="J493" s="989">
        <v>9</v>
      </c>
      <c r="K493" s="989">
        <v>3</v>
      </c>
      <c r="L493" s="983" t="s">
        <v>571</v>
      </c>
      <c r="M493" s="987" t="s">
        <v>615</v>
      </c>
      <c r="N493" s="993" t="s">
        <v>2342</v>
      </c>
    </row>
    <row r="494" spans="1:14" ht="15" customHeight="1" x14ac:dyDescent="0.25">
      <c r="A494" s="987" t="s">
        <v>582</v>
      </c>
      <c r="B494" s="987" t="s">
        <v>615</v>
      </c>
      <c r="C494" s="981" t="s">
        <v>1968</v>
      </c>
      <c r="D494" s="1005" t="s">
        <v>1988</v>
      </c>
      <c r="E494" s="993">
        <v>0</v>
      </c>
      <c r="F494" s="993">
        <v>10</v>
      </c>
      <c r="G494" s="1005" t="s">
        <v>11</v>
      </c>
      <c r="H494" s="1006" t="s">
        <v>208</v>
      </c>
      <c r="I494" s="985" t="s">
        <v>112</v>
      </c>
      <c r="J494" s="989">
        <v>9</v>
      </c>
      <c r="K494" s="989">
        <v>3</v>
      </c>
      <c r="L494" s="983" t="s">
        <v>571</v>
      </c>
      <c r="M494" s="987" t="s">
        <v>615</v>
      </c>
      <c r="N494" s="993" t="s">
        <v>2343</v>
      </c>
    </row>
    <row r="495" spans="1:14" ht="15" customHeight="1" x14ac:dyDescent="0.25">
      <c r="A495" s="987" t="s">
        <v>582</v>
      </c>
      <c r="B495" s="987" t="s">
        <v>615</v>
      </c>
      <c r="C495" s="981" t="s">
        <v>1867</v>
      </c>
      <c r="D495" s="1005" t="s">
        <v>14</v>
      </c>
      <c r="E495" s="993">
        <v>0</v>
      </c>
      <c r="F495" s="993">
        <v>100</v>
      </c>
      <c r="G495" s="1005" t="s">
        <v>13</v>
      </c>
      <c r="H495" s="1006" t="s">
        <v>208</v>
      </c>
      <c r="I495" s="985" t="s">
        <v>112</v>
      </c>
      <c r="J495" s="989">
        <v>9</v>
      </c>
      <c r="K495" s="989">
        <v>3</v>
      </c>
      <c r="L495" s="983" t="s">
        <v>571</v>
      </c>
      <c r="M495" s="987" t="s">
        <v>615</v>
      </c>
      <c r="N495" s="993" t="s">
        <v>2344</v>
      </c>
    </row>
    <row r="496" spans="1:14" ht="15" customHeight="1" x14ac:dyDescent="0.25">
      <c r="A496" s="987" t="s">
        <v>582</v>
      </c>
      <c r="B496" s="987" t="s">
        <v>615</v>
      </c>
      <c r="C496" s="981" t="s">
        <v>1868</v>
      </c>
      <c r="D496" s="1005" t="s">
        <v>17</v>
      </c>
      <c r="E496" s="993">
        <v>0</v>
      </c>
      <c r="F496" s="993">
        <v>100</v>
      </c>
      <c r="G496" s="1005" t="s">
        <v>16</v>
      </c>
      <c r="H496" s="1006" t="s">
        <v>208</v>
      </c>
      <c r="I496" s="985" t="s">
        <v>112</v>
      </c>
      <c r="J496" s="989">
        <v>9</v>
      </c>
      <c r="K496" s="989">
        <v>3</v>
      </c>
      <c r="L496" s="983" t="s">
        <v>571</v>
      </c>
      <c r="M496" s="987" t="s">
        <v>615</v>
      </c>
      <c r="N496" s="993" t="s">
        <v>2345</v>
      </c>
    </row>
    <row r="497" spans="1:14" ht="15" customHeight="1" x14ac:dyDescent="0.25">
      <c r="A497" s="987" t="s">
        <v>582</v>
      </c>
      <c r="B497" s="987" t="s">
        <v>615</v>
      </c>
      <c r="C497" s="981" t="s">
        <v>1869</v>
      </c>
      <c r="D497" s="1005" t="s">
        <v>1985</v>
      </c>
      <c r="E497" s="993">
        <v>0</v>
      </c>
      <c r="F497" s="993">
        <v>100</v>
      </c>
      <c r="G497" s="1005" t="s">
        <v>18</v>
      </c>
      <c r="H497" s="1006" t="s">
        <v>208</v>
      </c>
      <c r="I497" s="985" t="s">
        <v>112</v>
      </c>
      <c r="J497" s="989">
        <v>9</v>
      </c>
      <c r="K497" s="989">
        <v>3</v>
      </c>
      <c r="L497" s="983" t="s">
        <v>571</v>
      </c>
      <c r="M497" s="987" t="s">
        <v>615</v>
      </c>
      <c r="N497" s="993" t="s">
        <v>2346</v>
      </c>
    </row>
    <row r="498" spans="1:14" ht="15" customHeight="1" x14ac:dyDescent="0.25">
      <c r="A498" s="987" t="s">
        <v>582</v>
      </c>
      <c r="B498" s="987" t="s">
        <v>615</v>
      </c>
      <c r="C498" s="981" t="s">
        <v>1870</v>
      </c>
      <c r="D498" s="1005" t="s">
        <v>20</v>
      </c>
      <c r="E498" s="993">
        <v>0</v>
      </c>
      <c r="F498" s="988">
        <v>25000</v>
      </c>
      <c r="G498" s="1005" t="s">
        <v>119</v>
      </c>
      <c r="H498" s="1006" t="s">
        <v>208</v>
      </c>
      <c r="I498" s="985" t="s">
        <v>112</v>
      </c>
      <c r="J498" s="989">
        <v>9</v>
      </c>
      <c r="K498" s="989">
        <v>3</v>
      </c>
      <c r="L498" s="983" t="s">
        <v>571</v>
      </c>
      <c r="M498" s="987" t="s">
        <v>615</v>
      </c>
      <c r="N498" s="993" t="s">
        <v>2347</v>
      </c>
    </row>
    <row r="499" spans="1:14" ht="15" customHeight="1" x14ac:dyDescent="0.25">
      <c r="A499" s="987" t="s">
        <v>582</v>
      </c>
      <c r="B499" s="987" t="s">
        <v>615</v>
      </c>
      <c r="C499" s="981" t="s">
        <v>1871</v>
      </c>
      <c r="D499" s="1005" t="s">
        <v>22</v>
      </c>
      <c r="E499" s="993">
        <v>0</v>
      </c>
      <c r="F499" s="988">
        <v>2500</v>
      </c>
      <c r="G499" s="1005" t="s">
        <v>91</v>
      </c>
      <c r="H499" s="1006" t="s">
        <v>208</v>
      </c>
      <c r="I499" s="985" t="s">
        <v>112</v>
      </c>
      <c r="J499" s="989">
        <v>9</v>
      </c>
      <c r="K499" s="989">
        <v>3</v>
      </c>
      <c r="L499" s="983" t="s">
        <v>571</v>
      </c>
      <c r="M499" s="987" t="s">
        <v>615</v>
      </c>
      <c r="N499" s="993" t="s">
        <v>2348</v>
      </c>
    </row>
    <row r="500" spans="1:14" ht="15" customHeight="1" x14ac:dyDescent="0.25">
      <c r="A500" s="987" t="s">
        <v>582</v>
      </c>
      <c r="B500" s="987" t="s">
        <v>615</v>
      </c>
      <c r="C500" s="981" t="s">
        <v>1872</v>
      </c>
      <c r="D500" s="1005" t="s">
        <v>24</v>
      </c>
      <c r="E500" s="993">
        <v>0</v>
      </c>
      <c r="F500" s="988">
        <v>25000</v>
      </c>
      <c r="G500" s="1005" t="s">
        <v>119</v>
      </c>
      <c r="H500" s="1006" t="s">
        <v>208</v>
      </c>
      <c r="I500" s="985" t="s">
        <v>112</v>
      </c>
      <c r="J500" s="989">
        <v>9</v>
      </c>
      <c r="K500" s="989">
        <v>3</v>
      </c>
      <c r="L500" s="983" t="s">
        <v>571</v>
      </c>
      <c r="M500" s="987" t="s">
        <v>615</v>
      </c>
      <c r="N500" s="993" t="s">
        <v>2349</v>
      </c>
    </row>
    <row r="501" spans="1:14" ht="15" customHeight="1" x14ac:dyDescent="0.25">
      <c r="A501" s="987" t="s">
        <v>582</v>
      </c>
      <c r="B501" s="987" t="s">
        <v>615</v>
      </c>
      <c r="C501" s="981" t="s">
        <v>1873</v>
      </c>
      <c r="D501" s="1005" t="s">
        <v>26</v>
      </c>
      <c r="E501" s="993">
        <v>0</v>
      </c>
      <c r="F501" s="988">
        <v>2500</v>
      </c>
      <c r="G501" s="1005" t="s">
        <v>91</v>
      </c>
      <c r="H501" s="1006" t="s">
        <v>208</v>
      </c>
      <c r="I501" s="985" t="s">
        <v>112</v>
      </c>
      <c r="J501" s="989">
        <v>9</v>
      </c>
      <c r="K501" s="989">
        <v>3</v>
      </c>
      <c r="L501" s="983" t="s">
        <v>571</v>
      </c>
      <c r="M501" s="987" t="s">
        <v>615</v>
      </c>
      <c r="N501" s="993" t="s">
        <v>2350</v>
      </c>
    </row>
    <row r="502" spans="1:14" ht="15" customHeight="1" x14ac:dyDescent="0.25">
      <c r="A502" s="987" t="s">
        <v>582</v>
      </c>
      <c r="B502" s="987" t="s">
        <v>615</v>
      </c>
      <c r="C502" s="981" t="s">
        <v>1874</v>
      </c>
      <c r="D502" s="1005" t="s">
        <v>28</v>
      </c>
      <c r="E502" s="993">
        <v>0</v>
      </c>
      <c r="F502" s="988">
        <v>25000</v>
      </c>
      <c r="G502" s="1005" t="s">
        <v>1014</v>
      </c>
      <c r="H502" s="1006" t="s">
        <v>208</v>
      </c>
      <c r="I502" s="985" t="s">
        <v>112</v>
      </c>
      <c r="J502" s="989">
        <v>9</v>
      </c>
      <c r="K502" s="989">
        <v>3</v>
      </c>
      <c r="L502" s="983" t="s">
        <v>571</v>
      </c>
      <c r="M502" s="987" t="s">
        <v>615</v>
      </c>
      <c r="N502" s="993" t="s">
        <v>2351</v>
      </c>
    </row>
    <row r="503" spans="1:14" ht="15" customHeight="1" x14ac:dyDescent="0.25">
      <c r="A503" s="987" t="s">
        <v>582</v>
      </c>
      <c r="B503" s="987" t="s">
        <v>615</v>
      </c>
      <c r="C503" s="981" t="s">
        <v>1875</v>
      </c>
      <c r="D503" s="1005" t="s">
        <v>30</v>
      </c>
      <c r="E503" s="993">
        <v>0</v>
      </c>
      <c r="F503" s="988">
        <v>2500</v>
      </c>
      <c r="G503" s="1005" t="s">
        <v>1016</v>
      </c>
      <c r="H503" s="1006" t="s">
        <v>208</v>
      </c>
      <c r="I503" s="985" t="s">
        <v>112</v>
      </c>
      <c r="J503" s="989">
        <v>9</v>
      </c>
      <c r="K503" s="989">
        <v>3</v>
      </c>
      <c r="L503" s="983" t="s">
        <v>571</v>
      </c>
      <c r="M503" s="987" t="s">
        <v>615</v>
      </c>
      <c r="N503" s="993" t="s">
        <v>2352</v>
      </c>
    </row>
    <row r="504" spans="1:14" ht="15" customHeight="1" x14ac:dyDescent="0.25">
      <c r="A504" s="987" t="s">
        <v>582</v>
      </c>
      <c r="B504" s="987" t="s">
        <v>615</v>
      </c>
      <c r="C504" s="981" t="s">
        <v>1876</v>
      </c>
      <c r="D504" s="1005" t="s">
        <v>32</v>
      </c>
      <c r="E504" s="993">
        <v>0</v>
      </c>
      <c r="F504" s="988">
        <v>25000</v>
      </c>
      <c r="G504" s="1005" t="s">
        <v>1014</v>
      </c>
      <c r="H504" s="1006" t="s">
        <v>208</v>
      </c>
      <c r="I504" s="985" t="s">
        <v>112</v>
      </c>
      <c r="J504" s="989">
        <v>9</v>
      </c>
      <c r="K504" s="989">
        <v>3</v>
      </c>
      <c r="L504" s="983" t="s">
        <v>571</v>
      </c>
      <c r="M504" s="987" t="s">
        <v>615</v>
      </c>
      <c r="N504" s="993" t="s">
        <v>2353</v>
      </c>
    </row>
    <row r="505" spans="1:14" ht="15" customHeight="1" x14ac:dyDescent="0.25">
      <c r="A505" s="987" t="s">
        <v>582</v>
      </c>
      <c r="B505" s="987" t="s">
        <v>615</v>
      </c>
      <c r="C505" s="981" t="s">
        <v>1877</v>
      </c>
      <c r="D505" s="1005" t="s">
        <v>34</v>
      </c>
      <c r="E505" s="993">
        <v>0</v>
      </c>
      <c r="F505" s="988">
        <v>2500</v>
      </c>
      <c r="G505" s="1005" t="s">
        <v>1016</v>
      </c>
      <c r="H505" s="1006" t="s">
        <v>208</v>
      </c>
      <c r="I505" s="985" t="s">
        <v>112</v>
      </c>
      <c r="J505" s="989">
        <v>9</v>
      </c>
      <c r="K505" s="989">
        <v>3</v>
      </c>
      <c r="L505" s="983" t="s">
        <v>571</v>
      </c>
      <c r="M505" s="987" t="s">
        <v>615</v>
      </c>
      <c r="N505" s="993" t="s">
        <v>2354</v>
      </c>
    </row>
    <row r="506" spans="1:14" ht="15" customHeight="1" x14ac:dyDescent="0.25">
      <c r="A506" s="999" t="s">
        <v>571</v>
      </c>
      <c r="B506" s="999" t="s">
        <v>571</v>
      </c>
      <c r="C506" s="999" t="s">
        <v>571</v>
      </c>
      <c r="D506" s="999" t="s">
        <v>571</v>
      </c>
      <c r="E506" s="999" t="s">
        <v>571</v>
      </c>
      <c r="F506" s="999" t="s">
        <v>571</v>
      </c>
      <c r="G506" s="999" t="s">
        <v>571</v>
      </c>
      <c r="H506" s="999" t="s">
        <v>571</v>
      </c>
      <c r="I506" s="999" t="s">
        <v>571</v>
      </c>
      <c r="J506" s="991" t="s">
        <v>571</v>
      </c>
      <c r="K506" s="991" t="s">
        <v>571</v>
      </c>
      <c r="L506" s="991" t="s">
        <v>571</v>
      </c>
      <c r="M506" s="999" t="s">
        <v>571</v>
      </c>
      <c r="N506" s="999" t="s">
        <v>571</v>
      </c>
    </row>
    <row r="507" spans="1:14" ht="15" customHeight="1" x14ac:dyDescent="0.25">
      <c r="A507" s="987" t="s">
        <v>582</v>
      </c>
      <c r="B507" s="987" t="s">
        <v>616</v>
      </c>
      <c r="C507" s="981" t="s">
        <v>1637</v>
      </c>
      <c r="D507" s="1005" t="s">
        <v>578</v>
      </c>
      <c r="E507" s="993" t="s">
        <v>565</v>
      </c>
      <c r="F507" s="993" t="s">
        <v>566</v>
      </c>
      <c r="G507" s="993" t="s">
        <v>196</v>
      </c>
      <c r="H507" s="985" t="s">
        <v>206</v>
      </c>
      <c r="I507" s="1005" t="s">
        <v>621</v>
      </c>
      <c r="J507" s="983" t="s">
        <v>571</v>
      </c>
      <c r="K507" s="983" t="s">
        <v>571</v>
      </c>
      <c r="L507" s="989">
        <v>63999</v>
      </c>
      <c r="M507" s="987" t="s">
        <v>616</v>
      </c>
      <c r="N507" s="993" t="s">
        <v>154</v>
      </c>
    </row>
    <row r="508" spans="1:14" ht="15" customHeight="1" x14ac:dyDescent="0.25">
      <c r="A508" s="987" t="s">
        <v>582</v>
      </c>
      <c r="B508" s="987" t="s">
        <v>616</v>
      </c>
      <c r="C508" s="981" t="s">
        <v>1788</v>
      </c>
      <c r="D508" s="1005" t="s">
        <v>35</v>
      </c>
      <c r="E508" s="1007">
        <v>1</v>
      </c>
      <c r="F508" s="1007">
        <f ca="1">TODAY()</f>
        <v>42879</v>
      </c>
      <c r="G508" s="1005" t="s">
        <v>116</v>
      </c>
      <c r="H508" s="1005" t="s">
        <v>206</v>
      </c>
      <c r="I508" s="1005" t="s">
        <v>569</v>
      </c>
      <c r="J508" s="983" t="s">
        <v>571</v>
      </c>
      <c r="K508" s="983" t="s">
        <v>571</v>
      </c>
      <c r="L508" s="983" t="s">
        <v>571</v>
      </c>
      <c r="M508" s="987" t="s">
        <v>616</v>
      </c>
      <c r="N508" s="993" t="s">
        <v>2259</v>
      </c>
    </row>
    <row r="509" spans="1:14" ht="15" customHeight="1" x14ac:dyDescent="0.25">
      <c r="A509" s="987" t="s">
        <v>582</v>
      </c>
      <c r="B509" s="987" t="s">
        <v>616</v>
      </c>
      <c r="C509" s="981" t="s">
        <v>1598</v>
      </c>
      <c r="D509" s="1005" t="s">
        <v>229</v>
      </c>
      <c r="E509" s="993" t="s">
        <v>565</v>
      </c>
      <c r="F509" s="993" t="s">
        <v>566</v>
      </c>
      <c r="G509" s="993" t="s">
        <v>196</v>
      </c>
      <c r="H509" s="1005" t="s">
        <v>208</v>
      </c>
      <c r="I509" s="1005" t="s">
        <v>621</v>
      </c>
      <c r="J509" s="983" t="s">
        <v>571</v>
      </c>
      <c r="K509" s="983" t="s">
        <v>571</v>
      </c>
      <c r="L509" s="989">
        <v>63999</v>
      </c>
      <c r="M509" s="987" t="s">
        <v>616</v>
      </c>
      <c r="N509" s="993" t="s">
        <v>152</v>
      </c>
    </row>
    <row r="510" spans="1:14" ht="15" customHeight="1" x14ac:dyDescent="0.25">
      <c r="A510" s="987" t="s">
        <v>582</v>
      </c>
      <c r="B510" s="987" t="s">
        <v>616</v>
      </c>
      <c r="C510" s="981" t="s">
        <v>1880</v>
      </c>
      <c r="D510" s="1005" t="s">
        <v>696</v>
      </c>
      <c r="E510" s="993" t="s">
        <v>565</v>
      </c>
      <c r="F510" s="993" t="s">
        <v>566</v>
      </c>
      <c r="G510" s="993" t="s">
        <v>196</v>
      </c>
      <c r="H510" s="1005" t="s">
        <v>208</v>
      </c>
      <c r="I510" s="1005" t="s">
        <v>621</v>
      </c>
      <c r="J510" s="983" t="s">
        <v>571</v>
      </c>
      <c r="K510" s="983" t="s">
        <v>571</v>
      </c>
      <c r="L510" s="989">
        <v>63999</v>
      </c>
      <c r="M510" s="987" t="s">
        <v>616</v>
      </c>
      <c r="N510" s="993" t="s">
        <v>2355</v>
      </c>
    </row>
    <row r="511" spans="1:14" ht="15" customHeight="1" x14ac:dyDescent="0.25">
      <c r="A511" s="987" t="s">
        <v>582</v>
      </c>
      <c r="B511" s="987" t="s">
        <v>616</v>
      </c>
      <c r="C511" s="981" t="s">
        <v>1878</v>
      </c>
      <c r="D511" s="1005" t="s">
        <v>697</v>
      </c>
      <c r="E511" s="985">
        <v>0</v>
      </c>
      <c r="F511" s="985">
        <v>10000000</v>
      </c>
      <c r="G511" s="1005" t="s">
        <v>196</v>
      </c>
      <c r="H511" s="1005" t="s">
        <v>208</v>
      </c>
      <c r="I511" s="985" t="s">
        <v>112</v>
      </c>
      <c r="J511" s="989">
        <v>9</v>
      </c>
      <c r="K511" s="989">
        <v>3</v>
      </c>
      <c r="L511" s="983" t="s">
        <v>571</v>
      </c>
      <c r="M511" s="987" t="s">
        <v>616</v>
      </c>
      <c r="N511" s="993" t="s">
        <v>2356</v>
      </c>
    </row>
    <row r="512" spans="1:14" ht="15" customHeight="1" x14ac:dyDescent="0.25">
      <c r="A512" s="987" t="s">
        <v>582</v>
      </c>
      <c r="B512" s="987" t="s">
        <v>616</v>
      </c>
      <c r="C512" s="981" t="s">
        <v>1879</v>
      </c>
      <c r="D512" s="1005" t="s">
        <v>698</v>
      </c>
      <c r="E512" s="993" t="s">
        <v>565</v>
      </c>
      <c r="F512" s="993" t="s">
        <v>566</v>
      </c>
      <c r="G512" s="993" t="s">
        <v>196</v>
      </c>
      <c r="H512" s="1005" t="s">
        <v>208</v>
      </c>
      <c r="I512" s="1005" t="s">
        <v>621</v>
      </c>
      <c r="J512" s="983" t="s">
        <v>571</v>
      </c>
      <c r="K512" s="983" t="s">
        <v>571</v>
      </c>
      <c r="L512" s="989">
        <v>63999</v>
      </c>
      <c r="M512" s="987" t="s">
        <v>616</v>
      </c>
      <c r="N512" s="993" t="s">
        <v>2357</v>
      </c>
    </row>
    <row r="513" spans="1:14" ht="15" customHeight="1" x14ac:dyDescent="0.25">
      <c r="A513" s="999" t="s">
        <v>571</v>
      </c>
      <c r="B513" s="999" t="s">
        <v>571</v>
      </c>
      <c r="C513" s="999" t="s">
        <v>571</v>
      </c>
      <c r="D513" s="999" t="s">
        <v>571</v>
      </c>
      <c r="E513" s="999" t="s">
        <v>571</v>
      </c>
      <c r="F513" s="999" t="s">
        <v>571</v>
      </c>
      <c r="G513" s="999" t="s">
        <v>571</v>
      </c>
      <c r="H513" s="999" t="s">
        <v>571</v>
      </c>
      <c r="I513" s="999" t="s">
        <v>571</v>
      </c>
      <c r="J513" s="991" t="s">
        <v>571</v>
      </c>
      <c r="K513" s="991" t="s">
        <v>571</v>
      </c>
      <c r="L513" s="991" t="s">
        <v>571</v>
      </c>
      <c r="M513" s="999" t="s">
        <v>571</v>
      </c>
      <c r="N513" s="999" t="s">
        <v>571</v>
      </c>
    </row>
    <row r="514" spans="1:14" ht="15" customHeight="1" x14ac:dyDescent="0.25">
      <c r="A514" s="986" t="s">
        <v>590</v>
      </c>
      <c r="B514" s="993" t="s">
        <v>542</v>
      </c>
      <c r="C514" s="981" t="s">
        <v>1573</v>
      </c>
      <c r="D514" s="1005" t="s">
        <v>205</v>
      </c>
      <c r="E514" s="985" t="s">
        <v>565</v>
      </c>
      <c r="F514" s="985" t="s">
        <v>566</v>
      </c>
      <c r="G514" s="1005" t="s">
        <v>196</v>
      </c>
      <c r="H514" s="1005" t="s">
        <v>208</v>
      </c>
      <c r="I514" s="1005" t="s">
        <v>621</v>
      </c>
      <c r="J514" s="983" t="s">
        <v>571</v>
      </c>
      <c r="K514" s="983" t="s">
        <v>571</v>
      </c>
      <c r="L514" s="989">
        <v>63999</v>
      </c>
      <c r="M514" s="993" t="s">
        <v>542</v>
      </c>
      <c r="N514" s="993" t="s">
        <v>111</v>
      </c>
    </row>
    <row r="515" spans="1:14" ht="15" customHeight="1" x14ac:dyDescent="0.25">
      <c r="A515" s="986" t="s">
        <v>590</v>
      </c>
      <c r="B515" s="993" t="s">
        <v>542</v>
      </c>
      <c r="C515" s="981" t="s">
        <v>1966</v>
      </c>
      <c r="D515" s="1005" t="s">
        <v>35</v>
      </c>
      <c r="E515" s="1007">
        <v>1</v>
      </c>
      <c r="F515" s="1007">
        <f ca="1">TODAY()</f>
        <v>42879</v>
      </c>
      <c r="G515" s="1005" t="s">
        <v>116</v>
      </c>
      <c r="H515" s="1006" t="s">
        <v>208</v>
      </c>
      <c r="I515" s="1005" t="s">
        <v>569</v>
      </c>
      <c r="J515" s="983" t="s">
        <v>571</v>
      </c>
      <c r="K515" s="983" t="s">
        <v>571</v>
      </c>
      <c r="L515" s="983" t="s">
        <v>571</v>
      </c>
      <c r="M515" s="993" t="s">
        <v>542</v>
      </c>
      <c r="N515" s="993" t="s">
        <v>2358</v>
      </c>
    </row>
    <row r="516" spans="1:14" ht="15" customHeight="1" x14ac:dyDescent="0.25">
      <c r="A516" s="986" t="s">
        <v>590</v>
      </c>
      <c r="B516" s="993" t="s">
        <v>542</v>
      </c>
      <c r="C516" s="981" t="s">
        <v>1881</v>
      </c>
      <c r="D516" s="1005" t="s">
        <v>699</v>
      </c>
      <c r="E516" s="993" t="s">
        <v>565</v>
      </c>
      <c r="F516" s="993" t="s">
        <v>566</v>
      </c>
      <c r="G516" s="993" t="s">
        <v>196</v>
      </c>
      <c r="H516" s="1006" t="s">
        <v>208</v>
      </c>
      <c r="I516" s="1005" t="s">
        <v>621</v>
      </c>
      <c r="J516" s="983" t="s">
        <v>571</v>
      </c>
      <c r="K516" s="983" t="s">
        <v>571</v>
      </c>
      <c r="L516" s="989">
        <v>63999</v>
      </c>
      <c r="M516" s="993" t="s">
        <v>542</v>
      </c>
      <c r="N516" s="993" t="s">
        <v>2359</v>
      </c>
    </row>
    <row r="517" spans="1:14" ht="15" customHeight="1" x14ac:dyDescent="0.25">
      <c r="A517" s="986" t="s">
        <v>590</v>
      </c>
      <c r="B517" s="993" t="s">
        <v>542</v>
      </c>
      <c r="C517" s="981" t="s">
        <v>1882</v>
      </c>
      <c r="D517" s="1005" t="s">
        <v>700</v>
      </c>
      <c r="E517" s="993" t="s">
        <v>565</v>
      </c>
      <c r="F517" s="993" t="s">
        <v>566</v>
      </c>
      <c r="G517" s="993" t="s">
        <v>196</v>
      </c>
      <c r="H517" s="1006" t="s">
        <v>208</v>
      </c>
      <c r="I517" s="1005" t="s">
        <v>621</v>
      </c>
      <c r="J517" s="983" t="s">
        <v>571</v>
      </c>
      <c r="K517" s="983" t="s">
        <v>571</v>
      </c>
      <c r="L517" s="989">
        <v>63999</v>
      </c>
      <c r="M517" s="993" t="s">
        <v>542</v>
      </c>
      <c r="N517" s="993" t="s">
        <v>2360</v>
      </c>
    </row>
    <row r="518" spans="1:14" ht="15" customHeight="1" x14ac:dyDescent="0.25">
      <c r="A518" s="986" t="s">
        <v>590</v>
      </c>
      <c r="B518" s="993" t="s">
        <v>542</v>
      </c>
      <c r="C518" s="981" t="s">
        <v>2371</v>
      </c>
      <c r="D518" s="1005" t="s">
        <v>701</v>
      </c>
      <c r="E518" s="993" t="s">
        <v>565</v>
      </c>
      <c r="F518" s="993" t="s">
        <v>566</v>
      </c>
      <c r="G518" s="993" t="s">
        <v>196</v>
      </c>
      <c r="H518" s="1006" t="s">
        <v>208</v>
      </c>
      <c r="I518" s="1005" t="s">
        <v>621</v>
      </c>
      <c r="J518" s="983" t="s">
        <v>571</v>
      </c>
      <c r="K518" s="983" t="s">
        <v>571</v>
      </c>
      <c r="L518" s="989">
        <v>63999</v>
      </c>
      <c r="M518" s="993" t="s">
        <v>542</v>
      </c>
      <c r="N518" s="993" t="s">
        <v>2361</v>
      </c>
    </row>
    <row r="519" spans="1:14" ht="15" customHeight="1" x14ac:dyDescent="0.25">
      <c r="A519" s="986" t="s">
        <v>590</v>
      </c>
      <c r="B519" s="993" t="s">
        <v>542</v>
      </c>
      <c r="C519" s="981" t="s">
        <v>150</v>
      </c>
      <c r="D519" s="1005" t="s">
        <v>150</v>
      </c>
      <c r="E519" s="993" t="s">
        <v>565</v>
      </c>
      <c r="F519" s="993" t="s">
        <v>566</v>
      </c>
      <c r="G519" s="993" t="s">
        <v>196</v>
      </c>
      <c r="H519" s="1006" t="s">
        <v>208</v>
      </c>
      <c r="I519" s="1005" t="s">
        <v>621</v>
      </c>
      <c r="J519" s="983" t="s">
        <v>571</v>
      </c>
      <c r="K519" s="983" t="s">
        <v>571</v>
      </c>
      <c r="L519" s="989">
        <v>63999</v>
      </c>
      <c r="M519" s="993" t="s">
        <v>542</v>
      </c>
      <c r="N519" s="993" t="s">
        <v>150</v>
      </c>
    </row>
    <row r="520" spans="1:14" ht="15" customHeight="1" x14ac:dyDescent="0.25">
      <c r="C520" s="993"/>
      <c r="N520" s="993"/>
    </row>
    <row r="521" spans="1:14" x14ac:dyDescent="0.25">
      <c r="C521" s="993"/>
      <c r="N521" s="993"/>
    </row>
    <row r="522" spans="1:14" x14ac:dyDescent="0.25">
      <c r="C522" s="993"/>
      <c r="N522" s="993"/>
    </row>
    <row r="523" spans="1:14" x14ac:dyDescent="0.25">
      <c r="C523" s="993"/>
      <c r="N523" s="993"/>
    </row>
    <row r="524" spans="1:14" x14ac:dyDescent="0.25">
      <c r="C524" s="993"/>
      <c r="N524" s="993"/>
    </row>
  </sheetData>
  <phoneticPr fontId="13" type="noConversion"/>
  <dataValidations disablePrompts="1" xWindow="1116" yWindow="894" count="1">
    <dataValidation allowBlank="1" showInputMessage="1" showErrorMessage="1" prompt="Enter amount of amendment in kg/ha._x000a_" sqref="C139"/>
  </dataValidations>
  <pageMargins left="0.75" right="0.75" top="1" bottom="1" header="0.5" footer="0.5"/>
  <pageSetup orientation="portrait" verticalDpi="599"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GZ258"/>
  <sheetViews>
    <sheetView topLeftCell="FY1" zoomScaleNormal="100" workbookViewId="0">
      <selection activeCell="GH1" sqref="GH1"/>
    </sheetView>
  </sheetViews>
  <sheetFormatPr defaultColWidth="9.109375" defaultRowHeight="13.2" x14ac:dyDescent="0.25"/>
  <cols>
    <col min="1" max="1" width="9" style="131" customWidth="1"/>
    <col min="2" max="2" width="24.88671875" style="133" customWidth="1"/>
    <col min="3" max="3" width="17" style="133" customWidth="1"/>
    <col min="4" max="4" width="11.109375" style="133" bestFit="1" customWidth="1"/>
    <col min="5" max="5" width="10.5546875" style="116" customWidth="1"/>
    <col min="6" max="6" width="9.6640625" style="116" customWidth="1"/>
    <col min="7" max="7" width="10.6640625" style="116" customWidth="1"/>
    <col min="8" max="9" width="9.44140625" style="116" customWidth="1"/>
    <col min="10" max="10" width="19.6640625" style="116" customWidth="1"/>
    <col min="11" max="16" width="9.44140625" style="116" customWidth="1"/>
    <col min="17" max="17" width="9" style="131" customWidth="1"/>
    <col min="18" max="18" width="21.5546875" style="116" customWidth="1"/>
    <col min="19" max="19" width="13.33203125" style="116" customWidth="1"/>
    <col min="20" max="20" width="9.44140625" style="116" customWidth="1"/>
    <col min="21" max="21" width="10.5546875" style="116" customWidth="1"/>
    <col min="22" max="23" width="10.6640625" style="116" customWidth="1"/>
    <col min="24" max="24" width="9.44140625" style="116" customWidth="1"/>
    <col min="25" max="25" width="9" style="131" customWidth="1"/>
    <col min="26" max="26" width="36.44140625" style="116" customWidth="1"/>
    <col min="27" max="27" width="6.33203125" style="116" customWidth="1"/>
    <col min="28" max="28" width="11" style="116" bestFit="1" customWidth="1"/>
    <col min="29" max="29" width="11.44140625" style="116" customWidth="1"/>
    <col min="30" max="31" width="10.6640625" style="116" customWidth="1"/>
    <col min="32" max="32" width="9.44140625" style="116" customWidth="1"/>
    <col min="33" max="33" width="9" style="131" customWidth="1"/>
    <col min="34" max="34" width="31.6640625" style="116" customWidth="1"/>
    <col min="35" max="35" width="13.33203125" style="116" customWidth="1"/>
    <col min="36" max="36" width="11" style="116" bestFit="1" customWidth="1"/>
    <col min="37" max="37" width="10.5546875" style="116" customWidth="1"/>
    <col min="38" max="39" width="10.6640625" style="135" customWidth="1"/>
    <col min="40" max="40" width="12.6640625" style="116" customWidth="1"/>
    <col min="41" max="41" width="9" style="131" customWidth="1"/>
    <col min="42" max="42" width="25.44140625" style="116" customWidth="1"/>
    <col min="43" max="43" width="13.33203125" style="116" customWidth="1"/>
    <col min="44" max="44" width="11" style="116" bestFit="1" customWidth="1"/>
    <col min="45" max="45" width="11.6640625" style="116" customWidth="1"/>
    <col min="46" max="47" width="14.88671875" style="135" customWidth="1"/>
    <col min="48" max="48" width="9.88671875" style="116" customWidth="1"/>
    <col min="49" max="49" width="9" style="131" customWidth="1"/>
    <col min="50" max="50" width="23.5546875" style="116" customWidth="1"/>
    <col min="51" max="51" width="17" style="116" customWidth="1"/>
    <col min="52" max="52" width="11" style="116" bestFit="1" customWidth="1"/>
    <col min="53" max="53" width="10.5546875" style="116" customWidth="1"/>
    <col min="54" max="55" width="10.6640625" style="135" customWidth="1"/>
    <col min="56" max="56" width="9.44140625" style="116" customWidth="1"/>
    <col min="57" max="57" width="9" style="131" customWidth="1"/>
    <col min="58" max="58" width="25.6640625" style="116" customWidth="1"/>
    <col min="59" max="59" width="19.44140625" style="116" customWidth="1"/>
    <col min="60" max="60" width="11" style="116" bestFit="1" customWidth="1"/>
    <col min="61" max="61" width="10.5546875" style="116" customWidth="1"/>
    <col min="62" max="63" width="10.6640625" style="135" customWidth="1"/>
    <col min="64" max="64" width="9.44140625" style="116" customWidth="1"/>
    <col min="65" max="65" width="9" style="131" customWidth="1"/>
    <col min="66" max="66" width="26" style="116" customWidth="1"/>
    <col min="67" max="67" width="13.33203125" style="116" customWidth="1"/>
    <col min="68" max="68" width="11" style="116" bestFit="1" customWidth="1"/>
    <col min="69" max="69" width="10.5546875" style="116" customWidth="1"/>
    <col min="70" max="71" width="10.6640625" style="135" customWidth="1"/>
    <col min="72" max="72" width="9.88671875" style="116" customWidth="1"/>
    <col min="73" max="73" width="9" style="131" customWidth="1"/>
    <col min="74" max="74" width="18" style="116" customWidth="1"/>
    <col min="75" max="75" width="14.33203125" style="116" customWidth="1"/>
    <col min="76" max="77" width="11" style="116" bestFit="1" customWidth="1"/>
    <col min="78" max="79" width="10.6640625" style="135" customWidth="1"/>
    <col min="80" max="80" width="9.44140625" style="116" customWidth="1"/>
    <col min="81" max="81" width="9" style="131" customWidth="1"/>
    <col min="82" max="82" width="22.5546875" style="116" customWidth="1"/>
    <col min="83" max="83" width="13.33203125" style="116" customWidth="1"/>
    <col min="84" max="85" width="11" style="116" bestFit="1" customWidth="1"/>
    <col min="86" max="87" width="10.6640625" style="135" customWidth="1"/>
    <col min="88" max="88" width="9.44140625" style="116" customWidth="1"/>
    <col min="89" max="89" width="9" style="131" customWidth="1"/>
    <col min="90" max="90" width="27.33203125" style="116" customWidth="1"/>
    <col min="91" max="91" width="13.33203125" style="116" customWidth="1"/>
    <col min="92" max="92" width="11" style="116" bestFit="1" customWidth="1"/>
    <col min="93" max="93" width="10.5546875" style="116" customWidth="1"/>
    <col min="94" max="95" width="10.6640625" style="135" customWidth="1"/>
    <col min="96" max="96" width="9.44140625" style="116" customWidth="1"/>
    <col min="97" max="97" width="9" style="131" customWidth="1"/>
    <col min="98" max="98" width="44" style="116" customWidth="1"/>
    <col min="99" max="99" width="13.33203125" style="116" customWidth="1"/>
    <col min="100" max="101" width="11" style="116" bestFit="1" customWidth="1"/>
    <col min="102" max="103" width="10.6640625" style="135" customWidth="1"/>
    <col min="104" max="104" width="9.44140625" style="116" customWidth="1"/>
    <col min="105" max="105" width="9" style="131" customWidth="1"/>
    <col min="106" max="106" width="17.6640625" style="116" customWidth="1"/>
    <col min="107" max="107" width="15.88671875" style="116" customWidth="1"/>
    <col min="108" max="108" width="11" style="116" bestFit="1" customWidth="1"/>
    <col min="109" max="109" width="10.5546875" style="116" customWidth="1"/>
    <col min="110" max="111" width="10.6640625" style="135" customWidth="1"/>
    <col min="112" max="112" width="9.44140625" style="116" customWidth="1"/>
    <col min="113" max="113" width="9" style="131" customWidth="1"/>
    <col min="114" max="114" width="33" style="116" customWidth="1"/>
    <col min="115" max="115" width="35.33203125" style="116" customWidth="1"/>
    <col min="116" max="116" width="11" style="116" bestFit="1" customWidth="1"/>
    <col min="117" max="117" width="10.5546875" style="116" customWidth="1"/>
    <col min="118" max="119" width="10.6640625" style="135" customWidth="1"/>
    <col min="120" max="120" width="9.44140625" style="116" customWidth="1"/>
    <col min="121" max="121" width="9" style="131" customWidth="1"/>
    <col min="122" max="122" width="34" style="116" customWidth="1"/>
    <col min="123" max="123" width="13.33203125" style="116" customWidth="1"/>
    <col min="124" max="124" width="11" style="116" bestFit="1" customWidth="1"/>
    <col min="125" max="125" width="10.5546875" style="116" customWidth="1"/>
    <col min="126" max="127" width="10.6640625" style="135" customWidth="1"/>
    <col min="128" max="128" width="9.44140625" style="116" customWidth="1"/>
    <col min="129" max="129" width="9" style="131" customWidth="1"/>
    <col min="130" max="130" width="40.44140625" style="116" customWidth="1"/>
    <col min="131" max="131" width="40.33203125" style="116" customWidth="1"/>
    <col min="132" max="133" width="11" style="116" bestFit="1" customWidth="1"/>
    <col min="134" max="135" width="10.6640625" style="135" customWidth="1"/>
    <col min="136" max="136" width="9.44140625" style="116" customWidth="1"/>
    <col min="137" max="137" width="9" style="131" customWidth="1"/>
    <col min="138" max="138" width="28.33203125" style="116" customWidth="1"/>
    <col min="139" max="139" width="13.33203125" style="116" customWidth="1"/>
    <col min="140" max="141" width="11" style="116" bestFit="1" customWidth="1"/>
    <col min="142" max="142" width="10.6640625" style="135" customWidth="1"/>
    <col min="143" max="143" width="9.88671875" style="135" customWidth="1"/>
    <col min="144" max="144" width="9.44140625" style="116" customWidth="1"/>
    <col min="145" max="145" width="9" style="131" customWidth="1"/>
    <col min="146" max="146" width="22.5546875" style="116" customWidth="1"/>
    <col min="147" max="147" width="35.33203125" style="116" customWidth="1"/>
    <col min="148" max="149" width="13.5546875" style="116" customWidth="1"/>
    <col min="150" max="151" width="10.6640625" style="135" customWidth="1"/>
    <col min="152" max="152" width="9.44140625" style="116" customWidth="1"/>
    <col min="153" max="153" width="9" style="131" customWidth="1"/>
    <col min="154" max="154" width="33" style="116" customWidth="1"/>
    <col min="155" max="155" width="15.44140625" style="116" customWidth="1"/>
    <col min="156" max="157" width="11" style="116" bestFit="1" customWidth="1"/>
    <col min="158" max="159" width="10.6640625" style="135" customWidth="1"/>
    <col min="160" max="160" width="9.44140625" style="116" customWidth="1"/>
    <col min="161" max="161" width="9" style="131" customWidth="1"/>
    <col min="162" max="162" width="28" style="116" customWidth="1"/>
    <col min="163" max="163" width="13.33203125" style="116" customWidth="1"/>
    <col min="164" max="164" width="11" style="116" bestFit="1" customWidth="1"/>
    <col min="165" max="165" width="10.5546875" style="116" customWidth="1"/>
    <col min="166" max="167" width="10.6640625" style="135" customWidth="1"/>
    <col min="168" max="168" width="9.44140625" style="116" customWidth="1"/>
    <col min="169" max="169" width="9" style="131" customWidth="1"/>
    <col min="170" max="170" width="30.88671875" style="116" customWidth="1"/>
    <col min="171" max="171" width="13.33203125" style="116" customWidth="1"/>
    <col min="172" max="173" width="11" style="116" bestFit="1" customWidth="1"/>
    <col min="174" max="175" width="10.6640625" style="135" customWidth="1"/>
    <col min="176" max="176" width="9.44140625" style="116" customWidth="1"/>
    <col min="177" max="177" width="9" style="131" customWidth="1"/>
    <col min="178" max="178" width="32.33203125" style="116" customWidth="1"/>
    <col min="179" max="179" width="13.33203125" style="116" customWidth="1"/>
    <col min="180" max="180" width="11" style="116" bestFit="1" customWidth="1"/>
    <col min="181" max="181" width="10.5546875" style="116" customWidth="1"/>
    <col min="182" max="183" width="10.6640625" style="135" customWidth="1"/>
    <col min="184" max="184" width="9.44140625" style="116" customWidth="1"/>
    <col min="185" max="185" width="9" style="131" customWidth="1"/>
    <col min="186" max="186" width="30.88671875" style="116" customWidth="1"/>
    <col min="187" max="187" width="13.33203125" style="116" customWidth="1"/>
    <col min="188" max="188" width="11" style="116" bestFit="1" customWidth="1"/>
    <col min="189" max="189" width="10.5546875" style="116" customWidth="1"/>
    <col min="190" max="191" width="10.6640625" style="135" customWidth="1"/>
    <col min="192" max="192" width="9.44140625" style="116" customWidth="1"/>
    <col min="193" max="193" width="9" style="131" customWidth="1"/>
    <col min="194" max="194" width="30.88671875" style="116" customWidth="1"/>
    <col min="195" max="195" width="50.6640625" style="116" customWidth="1"/>
    <col min="196" max="197" width="11" style="116" bestFit="1" customWidth="1"/>
    <col min="198" max="199" width="10.6640625" style="135" customWidth="1"/>
    <col min="200" max="200" width="9.44140625" style="116" customWidth="1"/>
    <col min="201" max="201" width="9" style="131" customWidth="1"/>
    <col min="202" max="202" width="26.6640625" style="116" customWidth="1"/>
    <col min="203" max="203" width="13.33203125" style="116" customWidth="1"/>
    <col min="204" max="205" width="11" style="116" bestFit="1" customWidth="1"/>
    <col min="206" max="207" width="10.6640625" style="135" customWidth="1"/>
    <col min="208" max="208" width="9.44140625" style="116" customWidth="1"/>
    <col min="209" max="16384" width="9.109375" style="116"/>
  </cols>
  <sheetData>
    <row r="1" spans="1:208" s="117" customFormat="1" ht="17.25" customHeight="1" x14ac:dyDescent="0.3">
      <c r="A1" s="217" t="b">
        <v>1</v>
      </c>
      <c r="B1" s="118" t="s">
        <v>1052</v>
      </c>
      <c r="C1" s="119"/>
      <c r="D1" s="119"/>
      <c r="E1" s="119"/>
      <c r="F1" s="119"/>
      <c r="G1" s="120">
        <v>0</v>
      </c>
      <c r="H1" s="937" t="s">
        <v>786</v>
      </c>
      <c r="I1" s="108"/>
      <c r="J1" s="118" t="s">
        <v>1053</v>
      </c>
      <c r="K1" s="119"/>
      <c r="L1" s="119"/>
      <c r="M1" s="119"/>
      <c r="N1" s="119"/>
      <c r="O1" s="120">
        <v>0</v>
      </c>
      <c r="P1" s="937" t="s">
        <v>786</v>
      </c>
      <c r="Q1" s="121"/>
      <c r="R1" s="118" t="s">
        <v>214</v>
      </c>
      <c r="S1" s="119"/>
      <c r="T1" s="119"/>
      <c r="U1" s="119"/>
      <c r="V1" s="119"/>
      <c r="W1" s="120">
        <v>0</v>
      </c>
      <c r="X1" s="937" t="s">
        <v>786</v>
      </c>
      <c r="Y1" s="121"/>
      <c r="Z1" s="118" t="s">
        <v>226</v>
      </c>
      <c r="AA1" s="119"/>
      <c r="AB1" s="119"/>
      <c r="AC1" s="119"/>
      <c r="AD1" s="119"/>
      <c r="AE1" s="120">
        <v>0</v>
      </c>
      <c r="AF1" s="937" t="s">
        <v>786</v>
      </c>
      <c r="AG1" s="121"/>
      <c r="AH1" s="118" t="s">
        <v>228</v>
      </c>
      <c r="AI1" s="119"/>
      <c r="AJ1" s="119"/>
      <c r="AK1" s="119"/>
      <c r="AL1" s="119"/>
      <c r="AM1" s="120">
        <v>0</v>
      </c>
      <c r="AN1" s="937" t="s">
        <v>786</v>
      </c>
      <c r="AO1" s="121"/>
      <c r="AP1" s="118" t="s">
        <v>546</v>
      </c>
      <c r="AQ1" s="119"/>
      <c r="AR1" s="119"/>
      <c r="AS1" s="119"/>
      <c r="AT1" s="119"/>
      <c r="AU1" s="120">
        <v>0</v>
      </c>
      <c r="AV1" s="937" t="s">
        <v>786</v>
      </c>
      <c r="AW1" s="121"/>
      <c r="AX1" s="122" t="s">
        <v>510</v>
      </c>
      <c r="AY1" s="123"/>
      <c r="AZ1" s="123"/>
      <c r="BA1" s="123"/>
      <c r="BB1" s="123"/>
      <c r="BC1" s="956">
        <v>0</v>
      </c>
      <c r="BD1" s="938" t="s">
        <v>786</v>
      </c>
      <c r="BE1" s="121"/>
      <c r="BF1" s="122" t="s">
        <v>511</v>
      </c>
      <c r="BG1" s="123"/>
      <c r="BH1" s="123"/>
      <c r="BI1" s="123"/>
      <c r="BJ1" s="123"/>
      <c r="BK1" s="956">
        <v>0</v>
      </c>
      <c r="BL1" s="938" t="s">
        <v>786</v>
      </c>
      <c r="BM1" s="121"/>
      <c r="BN1" s="124" t="s">
        <v>601</v>
      </c>
      <c r="BO1" s="125"/>
      <c r="BP1" s="125"/>
      <c r="BQ1" s="125"/>
      <c r="BR1" s="125"/>
      <c r="BS1" s="957">
        <v>0</v>
      </c>
      <c r="BT1" s="939" t="s">
        <v>786</v>
      </c>
      <c r="BU1" s="121"/>
      <c r="BV1" s="124" t="s">
        <v>602</v>
      </c>
      <c r="BW1" s="125"/>
      <c r="BX1" s="125"/>
      <c r="BY1" s="125"/>
      <c r="BZ1" s="125"/>
      <c r="CA1" s="957">
        <v>0</v>
      </c>
      <c r="CB1" s="939" t="s">
        <v>786</v>
      </c>
      <c r="CC1" s="121"/>
      <c r="CD1" s="124" t="s">
        <v>603</v>
      </c>
      <c r="CE1" s="125"/>
      <c r="CF1" s="125"/>
      <c r="CG1" s="125"/>
      <c r="CH1" s="125"/>
      <c r="CI1" s="957">
        <v>0</v>
      </c>
      <c r="CJ1" s="939" t="s">
        <v>786</v>
      </c>
      <c r="CK1" s="121"/>
      <c r="CL1" s="124" t="s">
        <v>604</v>
      </c>
      <c r="CM1" s="125"/>
      <c r="CN1" s="125"/>
      <c r="CO1" s="125"/>
      <c r="CP1" s="125"/>
      <c r="CQ1" s="957">
        <v>0</v>
      </c>
      <c r="CR1" s="939" t="s">
        <v>786</v>
      </c>
      <c r="CS1" s="121"/>
      <c r="CT1" s="124" t="s">
        <v>605</v>
      </c>
      <c r="CU1" s="125"/>
      <c r="CV1" s="125"/>
      <c r="CW1" s="125"/>
      <c r="CX1" s="125"/>
      <c r="CY1" s="957">
        <v>0</v>
      </c>
      <c r="CZ1" s="939" t="s">
        <v>786</v>
      </c>
      <c r="DA1" s="121"/>
      <c r="DB1" s="124" t="s">
        <v>606</v>
      </c>
      <c r="DC1" s="125"/>
      <c r="DD1" s="125"/>
      <c r="DE1" s="125"/>
      <c r="DF1" s="125"/>
      <c r="DG1" s="957">
        <v>0</v>
      </c>
      <c r="DH1" s="939" t="s">
        <v>786</v>
      </c>
      <c r="DI1" s="121"/>
      <c r="DJ1" s="168" t="s">
        <v>607</v>
      </c>
      <c r="DK1" s="169"/>
      <c r="DL1" s="169"/>
      <c r="DM1" s="169"/>
      <c r="DN1" s="169"/>
      <c r="DO1" s="958">
        <v>0</v>
      </c>
      <c r="DP1" s="940" t="s">
        <v>786</v>
      </c>
      <c r="DQ1" s="121"/>
      <c r="DR1" s="168" t="s">
        <v>608</v>
      </c>
      <c r="DS1" s="169"/>
      <c r="DT1" s="169"/>
      <c r="DU1" s="169"/>
      <c r="DV1" s="169"/>
      <c r="DW1" s="958">
        <v>0</v>
      </c>
      <c r="DX1" s="940" t="s">
        <v>786</v>
      </c>
      <c r="DY1" s="121"/>
      <c r="DZ1" s="168" t="s">
        <v>609</v>
      </c>
      <c r="EA1" s="169"/>
      <c r="EB1" s="169"/>
      <c r="EC1" s="169"/>
      <c r="ED1" s="169"/>
      <c r="EE1" s="958">
        <v>0</v>
      </c>
      <c r="EF1" s="940" t="s">
        <v>786</v>
      </c>
      <c r="EG1" s="121"/>
      <c r="EH1" s="168" t="s">
        <v>610</v>
      </c>
      <c r="EI1" s="169"/>
      <c r="EJ1" s="169"/>
      <c r="EK1" s="169"/>
      <c r="EL1" s="169"/>
      <c r="EM1" s="958">
        <v>0</v>
      </c>
      <c r="EN1" s="940" t="s">
        <v>786</v>
      </c>
      <c r="EO1" s="121"/>
      <c r="EP1" s="168" t="s">
        <v>611</v>
      </c>
      <c r="EQ1" s="169"/>
      <c r="ER1" s="169"/>
      <c r="ES1" s="169"/>
      <c r="ET1" s="169"/>
      <c r="EU1" s="958">
        <v>0</v>
      </c>
      <c r="EV1" s="940" t="s">
        <v>786</v>
      </c>
      <c r="EW1" s="121"/>
      <c r="EX1" s="168" t="s">
        <v>2028</v>
      </c>
      <c r="EY1" s="169"/>
      <c r="EZ1" s="169"/>
      <c r="FA1" s="169"/>
      <c r="FB1" s="169"/>
      <c r="FC1" s="958">
        <v>0</v>
      </c>
      <c r="FD1" s="940" t="s">
        <v>786</v>
      </c>
      <c r="FE1" s="121"/>
      <c r="FF1" s="168" t="s">
        <v>1990</v>
      </c>
      <c r="FG1" s="169"/>
      <c r="FH1" s="169"/>
      <c r="FI1" s="169"/>
      <c r="FJ1" s="169"/>
      <c r="FK1" s="958">
        <v>0</v>
      </c>
      <c r="FL1" s="940" t="s">
        <v>786</v>
      </c>
      <c r="FM1" s="121"/>
      <c r="FN1" s="168" t="s">
        <v>612</v>
      </c>
      <c r="FO1" s="169"/>
      <c r="FP1" s="169"/>
      <c r="FQ1" s="169"/>
      <c r="FR1" s="169"/>
      <c r="FS1" s="958">
        <v>0</v>
      </c>
      <c r="FT1" s="940" t="s">
        <v>786</v>
      </c>
      <c r="FU1" s="121"/>
      <c r="FV1" s="168" t="s">
        <v>613</v>
      </c>
      <c r="FW1" s="169"/>
      <c r="FX1" s="169"/>
      <c r="FY1" s="169"/>
      <c r="FZ1" s="169"/>
      <c r="GA1" s="958">
        <v>0</v>
      </c>
      <c r="GB1" s="940" t="s">
        <v>786</v>
      </c>
      <c r="GC1" s="121"/>
      <c r="GD1" s="168" t="s">
        <v>614</v>
      </c>
      <c r="GE1" s="169"/>
      <c r="GF1" s="169"/>
      <c r="GG1" s="169"/>
      <c r="GH1" s="169"/>
      <c r="GI1" s="958">
        <v>0</v>
      </c>
      <c r="GJ1" s="940" t="s">
        <v>786</v>
      </c>
      <c r="GK1" s="121"/>
      <c r="GL1" s="168" t="s">
        <v>615</v>
      </c>
      <c r="GM1" s="169"/>
      <c r="GN1" s="169"/>
      <c r="GO1" s="169"/>
      <c r="GP1" s="169"/>
      <c r="GQ1" s="958">
        <v>0</v>
      </c>
      <c r="GR1" s="940" t="s">
        <v>786</v>
      </c>
      <c r="GS1" s="121"/>
      <c r="GT1" s="168" t="s">
        <v>616</v>
      </c>
      <c r="GU1" s="169"/>
      <c r="GV1" s="169"/>
      <c r="GW1" s="169"/>
      <c r="GX1" s="169"/>
      <c r="GY1" s="958">
        <v>0</v>
      </c>
      <c r="GZ1" s="940" t="s">
        <v>786</v>
      </c>
    </row>
    <row r="2" spans="1:208" s="126" customFormat="1" x14ac:dyDescent="0.25">
      <c r="A2" s="126">
        <f ca="1">INT(SUM(1:1)/(COUNTIF(3:100,"=TRUE")+1)*10000)</f>
        <v>0</v>
      </c>
      <c r="B2" s="127" t="s">
        <v>779</v>
      </c>
      <c r="C2" s="128" t="s">
        <v>200</v>
      </c>
      <c r="D2" s="128" t="s">
        <v>780</v>
      </c>
      <c r="E2" s="128" t="s">
        <v>781</v>
      </c>
      <c r="F2" s="128" t="s">
        <v>782</v>
      </c>
      <c r="G2" s="128" t="s">
        <v>1292</v>
      </c>
      <c r="H2" s="129" t="s">
        <v>783</v>
      </c>
      <c r="I2" s="292"/>
      <c r="J2" s="127" t="s">
        <v>779</v>
      </c>
      <c r="K2" s="128" t="s">
        <v>200</v>
      </c>
      <c r="L2" s="128" t="s">
        <v>780</v>
      </c>
      <c r="M2" s="128" t="s">
        <v>781</v>
      </c>
      <c r="N2" s="128" t="s">
        <v>782</v>
      </c>
      <c r="O2" s="128" t="s">
        <v>1292</v>
      </c>
      <c r="P2" s="129" t="s">
        <v>783</v>
      </c>
      <c r="R2" s="127" t="s">
        <v>779</v>
      </c>
      <c r="S2" s="128" t="s">
        <v>200</v>
      </c>
      <c r="T2" s="128" t="s">
        <v>780</v>
      </c>
      <c r="U2" s="128" t="s">
        <v>781</v>
      </c>
      <c r="V2" s="128" t="s">
        <v>782</v>
      </c>
      <c r="W2" s="128" t="s">
        <v>1292</v>
      </c>
      <c r="X2" s="129" t="s">
        <v>783</v>
      </c>
      <c r="Z2" s="127" t="s">
        <v>779</v>
      </c>
      <c r="AA2" s="128" t="s">
        <v>200</v>
      </c>
      <c r="AB2" s="128" t="s">
        <v>780</v>
      </c>
      <c r="AC2" s="128" t="s">
        <v>781</v>
      </c>
      <c r="AD2" s="128" t="s">
        <v>782</v>
      </c>
      <c r="AE2" s="128" t="s">
        <v>1292</v>
      </c>
      <c r="AF2" s="129" t="s">
        <v>783</v>
      </c>
      <c r="AH2" s="127" t="s">
        <v>779</v>
      </c>
      <c r="AI2" s="128" t="s">
        <v>200</v>
      </c>
      <c r="AJ2" s="128" t="s">
        <v>780</v>
      </c>
      <c r="AK2" s="128" t="s">
        <v>781</v>
      </c>
      <c r="AL2" s="128" t="s">
        <v>782</v>
      </c>
      <c r="AM2" s="128" t="s">
        <v>1292</v>
      </c>
      <c r="AN2" s="129" t="s">
        <v>783</v>
      </c>
      <c r="AP2" s="127" t="s">
        <v>779</v>
      </c>
      <c r="AQ2" s="128" t="s">
        <v>200</v>
      </c>
      <c r="AR2" s="128" t="s">
        <v>780</v>
      </c>
      <c r="AS2" s="128" t="s">
        <v>781</v>
      </c>
      <c r="AT2" s="128" t="s">
        <v>782</v>
      </c>
      <c r="AU2" s="128" t="s">
        <v>1292</v>
      </c>
      <c r="AV2" s="129" t="s">
        <v>783</v>
      </c>
      <c r="AX2" s="127" t="s">
        <v>779</v>
      </c>
      <c r="AY2" s="128" t="s">
        <v>200</v>
      </c>
      <c r="AZ2" s="128" t="s">
        <v>780</v>
      </c>
      <c r="BA2" s="128" t="s">
        <v>781</v>
      </c>
      <c r="BB2" s="128" t="s">
        <v>782</v>
      </c>
      <c r="BC2" s="128" t="s">
        <v>1292</v>
      </c>
      <c r="BD2" s="129" t="s">
        <v>783</v>
      </c>
      <c r="BF2" s="127" t="s">
        <v>779</v>
      </c>
      <c r="BG2" s="128" t="s">
        <v>200</v>
      </c>
      <c r="BH2" s="128" t="s">
        <v>780</v>
      </c>
      <c r="BI2" s="128" t="s">
        <v>781</v>
      </c>
      <c r="BJ2" s="128" t="s">
        <v>782</v>
      </c>
      <c r="BK2" s="128" t="s">
        <v>1292</v>
      </c>
      <c r="BL2" s="129" t="s">
        <v>783</v>
      </c>
      <c r="BN2" s="127" t="s">
        <v>779</v>
      </c>
      <c r="BO2" s="128" t="s">
        <v>200</v>
      </c>
      <c r="BP2" s="128" t="s">
        <v>780</v>
      </c>
      <c r="BQ2" s="128" t="s">
        <v>781</v>
      </c>
      <c r="BR2" s="128" t="s">
        <v>782</v>
      </c>
      <c r="BS2" s="128" t="s">
        <v>1292</v>
      </c>
      <c r="BT2" s="129" t="s">
        <v>783</v>
      </c>
      <c r="BV2" s="127" t="s">
        <v>779</v>
      </c>
      <c r="BW2" s="128" t="s">
        <v>200</v>
      </c>
      <c r="BX2" s="128" t="s">
        <v>780</v>
      </c>
      <c r="BY2" s="128" t="s">
        <v>781</v>
      </c>
      <c r="BZ2" s="128" t="s">
        <v>782</v>
      </c>
      <c r="CA2" s="128" t="s">
        <v>1292</v>
      </c>
      <c r="CB2" s="129" t="s">
        <v>783</v>
      </c>
      <c r="CD2" s="127" t="s">
        <v>779</v>
      </c>
      <c r="CE2" s="128" t="s">
        <v>200</v>
      </c>
      <c r="CF2" s="128" t="s">
        <v>780</v>
      </c>
      <c r="CG2" s="128" t="s">
        <v>781</v>
      </c>
      <c r="CH2" s="128" t="s">
        <v>782</v>
      </c>
      <c r="CI2" s="128" t="s">
        <v>1292</v>
      </c>
      <c r="CJ2" s="129" t="s">
        <v>783</v>
      </c>
      <c r="CL2" s="127" t="s">
        <v>779</v>
      </c>
      <c r="CM2" s="128" t="s">
        <v>200</v>
      </c>
      <c r="CN2" s="128" t="s">
        <v>780</v>
      </c>
      <c r="CO2" s="128" t="s">
        <v>781</v>
      </c>
      <c r="CP2" s="128" t="s">
        <v>782</v>
      </c>
      <c r="CQ2" s="128" t="s">
        <v>1292</v>
      </c>
      <c r="CR2" s="129" t="s">
        <v>783</v>
      </c>
      <c r="CT2" s="127" t="s">
        <v>779</v>
      </c>
      <c r="CU2" s="128" t="s">
        <v>200</v>
      </c>
      <c r="CV2" s="128" t="s">
        <v>780</v>
      </c>
      <c r="CW2" s="128" t="s">
        <v>781</v>
      </c>
      <c r="CX2" s="128" t="s">
        <v>782</v>
      </c>
      <c r="CY2" s="128" t="s">
        <v>1292</v>
      </c>
      <c r="CZ2" s="129" t="s">
        <v>783</v>
      </c>
      <c r="DB2" s="127" t="s">
        <v>779</v>
      </c>
      <c r="DC2" s="128" t="s">
        <v>200</v>
      </c>
      <c r="DD2" s="128" t="s">
        <v>780</v>
      </c>
      <c r="DE2" s="128" t="s">
        <v>781</v>
      </c>
      <c r="DF2" s="130" t="s">
        <v>782</v>
      </c>
      <c r="DG2" s="128" t="s">
        <v>1292</v>
      </c>
      <c r="DH2" s="129" t="s">
        <v>783</v>
      </c>
      <c r="DJ2" s="127" t="s">
        <v>779</v>
      </c>
      <c r="DK2" s="128" t="s">
        <v>200</v>
      </c>
      <c r="DL2" s="128" t="s">
        <v>780</v>
      </c>
      <c r="DM2" s="128" t="s">
        <v>781</v>
      </c>
      <c r="DN2" s="128" t="s">
        <v>782</v>
      </c>
      <c r="DO2" s="128" t="s">
        <v>1292</v>
      </c>
      <c r="DP2" s="129" t="s">
        <v>783</v>
      </c>
      <c r="DR2" s="127" t="s">
        <v>779</v>
      </c>
      <c r="DS2" s="128" t="s">
        <v>200</v>
      </c>
      <c r="DT2" s="128" t="s">
        <v>780</v>
      </c>
      <c r="DU2" s="128" t="s">
        <v>781</v>
      </c>
      <c r="DV2" s="128" t="s">
        <v>782</v>
      </c>
      <c r="DW2" s="128" t="s">
        <v>1292</v>
      </c>
      <c r="DX2" s="129" t="s">
        <v>783</v>
      </c>
      <c r="DZ2" s="127" t="s">
        <v>779</v>
      </c>
      <c r="EA2" s="128" t="s">
        <v>200</v>
      </c>
      <c r="EB2" s="128" t="s">
        <v>780</v>
      </c>
      <c r="EC2" s="128" t="s">
        <v>781</v>
      </c>
      <c r="ED2" s="128" t="s">
        <v>782</v>
      </c>
      <c r="EE2" s="128" t="s">
        <v>1292</v>
      </c>
      <c r="EF2" s="129" t="s">
        <v>783</v>
      </c>
      <c r="EH2" s="127" t="s">
        <v>779</v>
      </c>
      <c r="EI2" s="128" t="s">
        <v>200</v>
      </c>
      <c r="EJ2" s="128" t="s">
        <v>780</v>
      </c>
      <c r="EK2" s="128" t="s">
        <v>781</v>
      </c>
      <c r="EL2" s="128" t="s">
        <v>782</v>
      </c>
      <c r="EM2" s="128" t="s">
        <v>1292</v>
      </c>
      <c r="EN2" s="129" t="s">
        <v>783</v>
      </c>
      <c r="EP2" s="127" t="s">
        <v>779</v>
      </c>
      <c r="EQ2" s="128" t="s">
        <v>200</v>
      </c>
      <c r="ER2" s="128" t="s">
        <v>780</v>
      </c>
      <c r="ES2" s="128" t="s">
        <v>781</v>
      </c>
      <c r="ET2" s="128" t="s">
        <v>782</v>
      </c>
      <c r="EU2" s="128" t="s">
        <v>1292</v>
      </c>
      <c r="EV2" s="129" t="s">
        <v>783</v>
      </c>
      <c r="EX2" s="127" t="s">
        <v>779</v>
      </c>
      <c r="EY2" s="128" t="s">
        <v>200</v>
      </c>
      <c r="EZ2" s="128" t="s">
        <v>780</v>
      </c>
      <c r="FA2" s="128" t="s">
        <v>781</v>
      </c>
      <c r="FB2" s="128" t="s">
        <v>782</v>
      </c>
      <c r="FC2" s="128" t="s">
        <v>1292</v>
      </c>
      <c r="FD2" s="129" t="s">
        <v>783</v>
      </c>
      <c r="FF2" s="127" t="s">
        <v>779</v>
      </c>
      <c r="FG2" s="128" t="s">
        <v>200</v>
      </c>
      <c r="FH2" s="128" t="s">
        <v>780</v>
      </c>
      <c r="FI2" s="128" t="s">
        <v>781</v>
      </c>
      <c r="FJ2" s="128" t="s">
        <v>782</v>
      </c>
      <c r="FK2" s="128" t="s">
        <v>1292</v>
      </c>
      <c r="FL2" s="129" t="s">
        <v>783</v>
      </c>
      <c r="FN2" s="127" t="s">
        <v>779</v>
      </c>
      <c r="FO2" s="128" t="s">
        <v>200</v>
      </c>
      <c r="FP2" s="128" t="s">
        <v>780</v>
      </c>
      <c r="FQ2" s="128" t="s">
        <v>781</v>
      </c>
      <c r="FR2" s="128" t="s">
        <v>782</v>
      </c>
      <c r="FS2" s="128" t="s">
        <v>1292</v>
      </c>
      <c r="FT2" s="129" t="s">
        <v>783</v>
      </c>
      <c r="FV2" s="127" t="s">
        <v>779</v>
      </c>
      <c r="FW2" s="128" t="s">
        <v>200</v>
      </c>
      <c r="FX2" s="128" t="s">
        <v>780</v>
      </c>
      <c r="FY2" s="128" t="s">
        <v>781</v>
      </c>
      <c r="FZ2" s="128" t="s">
        <v>782</v>
      </c>
      <c r="GA2" s="128" t="s">
        <v>1292</v>
      </c>
      <c r="GB2" s="129" t="s">
        <v>783</v>
      </c>
      <c r="GD2" s="127" t="s">
        <v>779</v>
      </c>
      <c r="GE2" s="128" t="s">
        <v>200</v>
      </c>
      <c r="GF2" s="128" t="s">
        <v>780</v>
      </c>
      <c r="GG2" s="128" t="s">
        <v>781</v>
      </c>
      <c r="GH2" s="128" t="s">
        <v>782</v>
      </c>
      <c r="GI2" s="128" t="s">
        <v>1292</v>
      </c>
      <c r="GJ2" s="129" t="s">
        <v>783</v>
      </c>
      <c r="GL2" s="127" t="s">
        <v>779</v>
      </c>
      <c r="GM2" s="128" t="s">
        <v>200</v>
      </c>
      <c r="GN2" s="128" t="s">
        <v>780</v>
      </c>
      <c r="GO2" s="128" t="s">
        <v>781</v>
      </c>
      <c r="GP2" s="128" t="s">
        <v>782</v>
      </c>
      <c r="GQ2" s="128" t="s">
        <v>1292</v>
      </c>
      <c r="GR2" s="129" t="s">
        <v>783</v>
      </c>
      <c r="GT2" s="127" t="s">
        <v>779</v>
      </c>
      <c r="GU2" s="128" t="s">
        <v>200</v>
      </c>
      <c r="GV2" s="128" t="s">
        <v>780</v>
      </c>
      <c r="GW2" s="128" t="s">
        <v>781</v>
      </c>
      <c r="GX2" s="128" t="s">
        <v>782</v>
      </c>
      <c r="GY2" s="128" t="s">
        <v>1292</v>
      </c>
      <c r="GZ2" s="129" t="s">
        <v>783</v>
      </c>
    </row>
    <row r="3" spans="1:208" ht="14.4" x14ac:dyDescent="0.3">
      <c r="B3" s="132" t="s">
        <v>1573</v>
      </c>
      <c r="D3" s="134"/>
      <c r="F3" s="135" t="b">
        <v>1</v>
      </c>
      <c r="G3" s="135"/>
      <c r="H3" s="295"/>
      <c r="I3" s="131"/>
      <c r="J3" s="132" t="s">
        <v>1573</v>
      </c>
      <c r="K3" s="148"/>
      <c r="L3" s="134"/>
      <c r="N3" s="135" t="b">
        <v>1</v>
      </c>
      <c r="O3" s="135"/>
      <c r="P3" s="295"/>
      <c r="R3" s="132" t="s">
        <v>1573</v>
      </c>
      <c r="S3" s="133"/>
      <c r="T3" s="134"/>
      <c r="V3" s="135" t="b">
        <v>1</v>
      </c>
      <c r="W3" s="135" t="s">
        <v>111</v>
      </c>
      <c r="X3" s="295"/>
      <c r="Z3" s="132" t="s">
        <v>1573</v>
      </c>
      <c r="AA3" s="133"/>
      <c r="AB3" s="134"/>
      <c r="AD3" s="135" t="b">
        <v>1</v>
      </c>
      <c r="AE3" s="135" t="s">
        <v>111</v>
      </c>
      <c r="AF3" s="295"/>
      <c r="AH3" s="132" t="s">
        <v>1598</v>
      </c>
      <c r="AI3" s="136"/>
      <c r="AJ3" s="137"/>
      <c r="AK3" s="138"/>
      <c r="AL3" s="135" t="b">
        <v>1</v>
      </c>
      <c r="AN3" s="295"/>
      <c r="AP3" s="132" t="s">
        <v>573</v>
      </c>
      <c r="AQ3" s="133"/>
      <c r="AR3" s="134"/>
      <c r="AV3" s="295"/>
      <c r="AX3" s="132" t="s">
        <v>1573</v>
      </c>
      <c r="AY3" s="133"/>
      <c r="AZ3" s="134"/>
      <c r="BB3" s="135" t="b">
        <v>1</v>
      </c>
      <c r="BC3" s="135" t="s">
        <v>111</v>
      </c>
      <c r="BD3" s="295"/>
      <c r="BF3" s="132" t="s">
        <v>1573</v>
      </c>
      <c r="BG3" s="133"/>
      <c r="BH3" s="134"/>
      <c r="BJ3" s="135" t="b">
        <v>1</v>
      </c>
      <c r="BK3" s="135" t="s">
        <v>111</v>
      </c>
      <c r="BL3" s="295"/>
      <c r="BN3" s="149" t="s">
        <v>1293</v>
      </c>
      <c r="BT3" s="295"/>
      <c r="BV3" s="149" t="s">
        <v>1293</v>
      </c>
      <c r="CB3" s="295"/>
      <c r="CD3" s="149" t="s">
        <v>1293</v>
      </c>
      <c r="CJ3" s="295"/>
      <c r="CL3" s="149" t="s">
        <v>1293</v>
      </c>
      <c r="CR3" s="295"/>
      <c r="CT3" s="149" t="s">
        <v>1293</v>
      </c>
      <c r="CZ3" s="295"/>
      <c r="DB3" s="149" t="s">
        <v>1293</v>
      </c>
      <c r="DH3" s="295"/>
      <c r="DJ3" s="132" t="s">
        <v>1637</v>
      </c>
      <c r="DK3" s="133"/>
      <c r="DL3" s="134"/>
      <c r="DN3" s="135" t="b">
        <v>1</v>
      </c>
      <c r="DO3" s="142" t="s">
        <v>154</v>
      </c>
      <c r="DP3" s="295"/>
      <c r="DR3" s="132" t="s">
        <v>1637</v>
      </c>
      <c r="DS3" s="133"/>
      <c r="DT3" s="134"/>
      <c r="DV3" s="135" t="b">
        <v>1</v>
      </c>
      <c r="DW3" s="142" t="s">
        <v>154</v>
      </c>
      <c r="DX3" s="295"/>
      <c r="DZ3" s="132" t="s">
        <v>1637</v>
      </c>
      <c r="EA3" s="133"/>
      <c r="EB3" s="134"/>
      <c r="ED3" s="135" t="b">
        <v>1</v>
      </c>
      <c r="EE3" s="142" t="s">
        <v>154</v>
      </c>
      <c r="EF3" s="295"/>
      <c r="EH3" s="132" t="s">
        <v>1637</v>
      </c>
      <c r="EI3" s="133"/>
      <c r="EJ3" s="134"/>
      <c r="EL3" s="135" t="b">
        <v>1</v>
      </c>
      <c r="EM3" s="142" t="s">
        <v>154</v>
      </c>
      <c r="EN3" s="295"/>
      <c r="EP3" s="132" t="s">
        <v>1637</v>
      </c>
      <c r="EQ3" s="133"/>
      <c r="ER3" s="134"/>
      <c r="ET3" s="135" t="b">
        <v>1</v>
      </c>
      <c r="EU3" s="142" t="s">
        <v>154</v>
      </c>
      <c r="EV3" s="295"/>
      <c r="EX3" s="132" t="s">
        <v>1637</v>
      </c>
      <c r="EY3" s="133"/>
      <c r="EZ3" s="134"/>
      <c r="FB3" s="135" t="b">
        <v>1</v>
      </c>
      <c r="FC3" s="142" t="s">
        <v>154</v>
      </c>
      <c r="FD3" s="295"/>
      <c r="FF3" s="132" t="s">
        <v>1637</v>
      </c>
      <c r="FG3" s="133"/>
      <c r="FH3" s="134"/>
      <c r="FJ3" s="135" t="b">
        <v>1</v>
      </c>
      <c r="FK3" s="142" t="s">
        <v>154</v>
      </c>
      <c r="FL3" s="295"/>
      <c r="FN3" s="132" t="s">
        <v>1637</v>
      </c>
      <c r="FO3" s="133"/>
      <c r="FP3" s="134"/>
      <c r="FR3" s="135" t="b">
        <v>1</v>
      </c>
      <c r="FS3" s="142" t="s">
        <v>154</v>
      </c>
      <c r="FT3" s="295"/>
      <c r="FV3" s="132" t="s">
        <v>1637</v>
      </c>
      <c r="FW3" s="133"/>
      <c r="FX3" s="134"/>
      <c r="FZ3" s="135" t="b">
        <v>1</v>
      </c>
      <c r="GA3" s="142" t="s">
        <v>154</v>
      </c>
      <c r="GB3" s="295"/>
      <c r="GD3" s="132" t="s">
        <v>1637</v>
      </c>
      <c r="GE3" s="133"/>
      <c r="GF3" s="134"/>
      <c r="GH3" s="135" t="b">
        <v>1</v>
      </c>
      <c r="GI3" s="142" t="s">
        <v>154</v>
      </c>
      <c r="GJ3" s="295"/>
      <c r="GL3" s="132" t="s">
        <v>1637</v>
      </c>
      <c r="GM3" s="133"/>
      <c r="GN3" s="134"/>
      <c r="GP3" s="135" t="b">
        <v>1</v>
      </c>
      <c r="GQ3" s="142" t="s">
        <v>154</v>
      </c>
      <c r="GR3" s="295"/>
      <c r="GT3" s="132" t="s">
        <v>1637</v>
      </c>
      <c r="GU3" s="133"/>
      <c r="GV3" s="134"/>
      <c r="GX3" s="135" t="b">
        <v>1</v>
      </c>
      <c r="GY3" s="142" t="s">
        <v>154</v>
      </c>
      <c r="GZ3" s="295"/>
    </row>
    <row r="4" spans="1:208" ht="14.4" x14ac:dyDescent="0.3">
      <c r="B4" s="139" t="s">
        <v>1883</v>
      </c>
      <c r="F4" s="135"/>
      <c r="G4" s="135"/>
      <c r="H4" s="213"/>
      <c r="I4" s="131"/>
      <c r="J4" s="132" t="s">
        <v>35</v>
      </c>
      <c r="K4" s="148" t="s">
        <v>116</v>
      </c>
      <c r="L4" s="150">
        <v>29221</v>
      </c>
      <c r="M4" s="141">
        <f ca="1">TODAY()</f>
        <v>42879</v>
      </c>
      <c r="N4" s="135" t="b">
        <v>0</v>
      </c>
      <c r="O4" s="135"/>
      <c r="P4" s="213"/>
      <c r="R4" s="139" t="s">
        <v>1589</v>
      </c>
      <c r="S4" s="133"/>
      <c r="T4" s="133"/>
      <c r="V4" s="135"/>
      <c r="W4" s="135"/>
      <c r="X4" s="213"/>
      <c r="Z4" s="132" t="s">
        <v>1594</v>
      </c>
      <c r="AA4" s="133" t="s">
        <v>1975</v>
      </c>
      <c r="AB4" s="140"/>
      <c r="AC4" s="141"/>
      <c r="AD4" s="135"/>
      <c r="AE4" s="135"/>
      <c r="AF4" s="213"/>
      <c r="AH4" s="139" t="s">
        <v>1576</v>
      </c>
      <c r="AI4" s="133" t="s">
        <v>116</v>
      </c>
      <c r="AJ4" s="140">
        <v>29221</v>
      </c>
      <c r="AK4" s="141">
        <f ca="1">TODAY()</f>
        <v>42879</v>
      </c>
      <c r="AL4" s="135" t="b">
        <v>1</v>
      </c>
      <c r="AN4" s="213"/>
      <c r="AP4" s="139" t="s">
        <v>1885</v>
      </c>
      <c r="AQ4" s="133"/>
      <c r="AR4" s="133"/>
      <c r="AV4" s="213"/>
      <c r="AX4" s="142" t="s">
        <v>1578</v>
      </c>
      <c r="BC4" s="135" t="s">
        <v>1050</v>
      </c>
      <c r="BD4" s="213"/>
      <c r="BF4" s="159" t="s">
        <v>1578</v>
      </c>
      <c r="BG4" s="133"/>
      <c r="BH4" s="140"/>
      <c r="BI4" s="141"/>
      <c r="BK4" s="135" t="s">
        <v>1050</v>
      </c>
      <c r="BL4" s="213"/>
      <c r="BN4" s="132" t="s">
        <v>1637</v>
      </c>
      <c r="BO4" s="133"/>
      <c r="BP4" s="134"/>
      <c r="BR4" s="135" t="b">
        <v>1</v>
      </c>
      <c r="BS4" s="294" t="s">
        <v>154</v>
      </c>
      <c r="BT4" s="213"/>
      <c r="BV4" s="132" t="s">
        <v>1637</v>
      </c>
      <c r="BW4" s="133"/>
      <c r="BX4" s="134"/>
      <c r="BZ4" s="135" t="b">
        <v>1</v>
      </c>
      <c r="CA4" s="294" t="s">
        <v>154</v>
      </c>
      <c r="CB4" s="213"/>
      <c r="CD4" s="132" t="s">
        <v>1637</v>
      </c>
      <c r="CE4" s="133"/>
      <c r="CF4" s="134"/>
      <c r="CH4" s="135" t="b">
        <v>1</v>
      </c>
      <c r="CI4" s="294" t="s">
        <v>154</v>
      </c>
      <c r="CJ4" s="213"/>
      <c r="CL4" s="132" t="s">
        <v>1637</v>
      </c>
      <c r="CM4" s="133"/>
      <c r="CN4" s="134"/>
      <c r="CP4" s="135" t="b">
        <v>1</v>
      </c>
      <c r="CQ4" s="294" t="s">
        <v>154</v>
      </c>
      <c r="CR4" s="213"/>
      <c r="CT4" s="132" t="s">
        <v>1637</v>
      </c>
      <c r="CU4" s="133"/>
      <c r="CV4" s="134"/>
      <c r="CX4" s="135" t="b">
        <v>1</v>
      </c>
      <c r="CY4" s="294" t="s">
        <v>154</v>
      </c>
      <c r="CZ4" s="213"/>
      <c r="DB4" s="132" t="s">
        <v>1637</v>
      </c>
      <c r="DC4" s="133"/>
      <c r="DD4" s="134"/>
      <c r="DF4" s="135" t="b">
        <v>1</v>
      </c>
      <c r="DG4" s="294" t="s">
        <v>154</v>
      </c>
      <c r="DH4" s="213"/>
      <c r="DJ4" s="139" t="s">
        <v>35</v>
      </c>
      <c r="DK4" s="133" t="s">
        <v>116</v>
      </c>
      <c r="DL4" s="140">
        <v>29221</v>
      </c>
      <c r="DM4" s="141">
        <f ca="1">TODAY()</f>
        <v>42879</v>
      </c>
      <c r="DN4" s="135" t="b">
        <v>0</v>
      </c>
      <c r="DP4" s="213"/>
      <c r="DR4" s="139" t="s">
        <v>35</v>
      </c>
      <c r="DS4" s="133" t="s">
        <v>116</v>
      </c>
      <c r="DT4" s="140">
        <v>29221</v>
      </c>
      <c r="DU4" s="141">
        <f ca="1">TODAY()</f>
        <v>42879</v>
      </c>
      <c r="DV4" s="135" t="b">
        <v>0</v>
      </c>
      <c r="DX4" s="213"/>
      <c r="DZ4" s="139" t="s">
        <v>35</v>
      </c>
      <c r="EA4" s="148" t="s">
        <v>116</v>
      </c>
      <c r="EB4" s="140">
        <v>29221</v>
      </c>
      <c r="EC4" s="141">
        <f ca="1">TODAY()</f>
        <v>42879</v>
      </c>
      <c r="ED4" s="135" t="b">
        <v>0</v>
      </c>
      <c r="EF4" s="213"/>
      <c r="EH4" s="139" t="s">
        <v>35</v>
      </c>
      <c r="EI4" s="133" t="s">
        <v>116</v>
      </c>
      <c r="EJ4" s="140">
        <v>29221</v>
      </c>
      <c r="EK4" s="141">
        <f ca="1">TODAY()</f>
        <v>42879</v>
      </c>
      <c r="EL4" s="135" t="b">
        <v>0</v>
      </c>
      <c r="EN4" s="213"/>
      <c r="EP4" s="139" t="s">
        <v>35</v>
      </c>
      <c r="EQ4" s="133" t="s">
        <v>116</v>
      </c>
      <c r="ER4" s="140">
        <v>29221</v>
      </c>
      <c r="ES4" s="141">
        <f ca="1">TODAY()</f>
        <v>42879</v>
      </c>
      <c r="ET4" s="135" t="b">
        <v>0</v>
      </c>
      <c r="EV4" s="213"/>
      <c r="EX4" s="139" t="s">
        <v>35</v>
      </c>
      <c r="EY4" s="133" t="s">
        <v>116</v>
      </c>
      <c r="EZ4" s="140">
        <v>29221</v>
      </c>
      <c r="FA4" s="141">
        <f ca="1">TODAY()</f>
        <v>42879</v>
      </c>
      <c r="FB4" s="135" t="b">
        <v>0</v>
      </c>
      <c r="FD4" s="213"/>
      <c r="FF4" s="139" t="s">
        <v>1788</v>
      </c>
      <c r="FG4" s="133" t="s">
        <v>116</v>
      </c>
      <c r="FH4" s="140">
        <v>29221</v>
      </c>
      <c r="FI4" s="141">
        <f ca="1">TODAY()</f>
        <v>42879</v>
      </c>
      <c r="FJ4" s="135" t="b">
        <v>0</v>
      </c>
      <c r="FL4" s="213"/>
      <c r="FN4" s="139" t="s">
        <v>35</v>
      </c>
      <c r="FO4" s="133" t="s">
        <v>116</v>
      </c>
      <c r="FP4" s="140">
        <v>29221</v>
      </c>
      <c r="FQ4" s="141">
        <f ca="1">TODAY()</f>
        <v>42879</v>
      </c>
      <c r="FR4" s="135" t="b">
        <v>0</v>
      </c>
      <c r="FT4" s="213"/>
      <c r="FV4" s="139" t="s">
        <v>35</v>
      </c>
      <c r="FW4" s="133" t="s">
        <v>116</v>
      </c>
      <c r="FX4" s="140">
        <v>29221</v>
      </c>
      <c r="FY4" s="141">
        <f ca="1">TODAY()</f>
        <v>42879</v>
      </c>
      <c r="FZ4" s="135" t="b">
        <v>0</v>
      </c>
      <c r="GB4" s="213"/>
      <c r="GD4" s="139" t="s">
        <v>35</v>
      </c>
      <c r="GE4" s="133" t="s">
        <v>116</v>
      </c>
      <c r="GF4" s="140">
        <v>29221</v>
      </c>
      <c r="GG4" s="141">
        <f ca="1">TODAY()</f>
        <v>42879</v>
      </c>
      <c r="GH4" s="135" t="b">
        <v>0</v>
      </c>
      <c r="GJ4" s="213"/>
      <c r="GL4" s="139" t="s">
        <v>35</v>
      </c>
      <c r="GM4" s="133" t="s">
        <v>116</v>
      </c>
      <c r="GN4" s="140">
        <v>29221</v>
      </c>
      <c r="GO4" s="141">
        <f ca="1">TODAY()</f>
        <v>42879</v>
      </c>
      <c r="GP4" s="135" t="b">
        <v>0</v>
      </c>
      <c r="GR4" s="213"/>
      <c r="GT4" s="159" t="s">
        <v>1788</v>
      </c>
      <c r="GU4" s="133" t="s">
        <v>116</v>
      </c>
      <c r="GV4" s="140">
        <v>29221</v>
      </c>
      <c r="GW4" s="141">
        <f ca="1">TODAY()</f>
        <v>42879</v>
      </c>
      <c r="GX4" s="135" t="b">
        <v>0</v>
      </c>
      <c r="GZ4" s="213"/>
    </row>
    <row r="5" spans="1:208" ht="14.4" x14ac:dyDescent="0.3">
      <c r="B5" s="142" t="s">
        <v>1575</v>
      </c>
      <c r="F5" s="135"/>
      <c r="G5" s="135" t="s">
        <v>125</v>
      </c>
      <c r="H5" s="213"/>
      <c r="I5" s="131"/>
      <c r="J5" s="159" t="s">
        <v>48</v>
      </c>
      <c r="K5" s="148"/>
      <c r="L5" s="148"/>
      <c r="N5" s="135"/>
      <c r="O5" s="135"/>
      <c r="P5" s="213"/>
      <c r="R5" s="142" t="s">
        <v>1588</v>
      </c>
      <c r="S5" s="133"/>
      <c r="T5" s="133"/>
      <c r="V5" s="135"/>
      <c r="W5" s="135"/>
      <c r="X5" s="213"/>
      <c r="Z5" s="132" t="s">
        <v>1595</v>
      </c>
      <c r="AA5" s="133" t="s">
        <v>116</v>
      </c>
      <c r="AB5" s="150">
        <v>29221</v>
      </c>
      <c r="AC5" s="141">
        <f ca="1">TODAY()</f>
        <v>42879</v>
      </c>
      <c r="AD5" s="135"/>
      <c r="AE5" s="135"/>
      <c r="AF5" s="213"/>
      <c r="AH5" s="142" t="s">
        <v>1599</v>
      </c>
      <c r="AI5" s="133"/>
      <c r="AJ5" s="133"/>
      <c r="AL5" s="135" t="b">
        <v>1</v>
      </c>
      <c r="AN5" s="213"/>
      <c r="AP5" s="142" t="s">
        <v>1886</v>
      </c>
      <c r="AQ5" s="133"/>
      <c r="AR5" s="133"/>
      <c r="AV5" s="213"/>
      <c r="AX5" s="139" t="s">
        <v>35</v>
      </c>
      <c r="AY5" s="133" t="s">
        <v>116</v>
      </c>
      <c r="AZ5" s="140">
        <v>10228</v>
      </c>
      <c r="BA5" s="141">
        <f ca="1">TODAY()</f>
        <v>42879</v>
      </c>
      <c r="BB5" s="135" t="b">
        <v>0</v>
      </c>
      <c r="BD5" s="213"/>
      <c r="BF5" s="159" t="s">
        <v>1619</v>
      </c>
      <c r="BG5" s="148" t="s">
        <v>116</v>
      </c>
      <c r="BH5" s="150">
        <v>10228</v>
      </c>
      <c r="BI5" s="141">
        <f ca="1">TODAY()</f>
        <v>42879</v>
      </c>
      <c r="BJ5" s="135" t="b">
        <v>0</v>
      </c>
      <c r="BL5" s="213"/>
      <c r="BN5" s="139" t="s">
        <v>35</v>
      </c>
      <c r="BO5" s="133" t="s">
        <v>116</v>
      </c>
      <c r="BP5" s="140">
        <v>29221</v>
      </c>
      <c r="BQ5" s="141">
        <f ca="1">TODAY()</f>
        <v>42879</v>
      </c>
      <c r="BR5" s="135" t="b">
        <v>0</v>
      </c>
      <c r="BT5" s="213"/>
      <c r="BV5" s="139" t="s">
        <v>35</v>
      </c>
      <c r="BW5" s="133" t="s">
        <v>116</v>
      </c>
      <c r="BX5" s="140">
        <v>29221</v>
      </c>
      <c r="BY5" s="141">
        <f ca="1">TODAY()</f>
        <v>42879</v>
      </c>
      <c r="BZ5" s="135" t="b">
        <v>0</v>
      </c>
      <c r="CB5" s="213"/>
      <c r="CD5" s="139" t="s">
        <v>35</v>
      </c>
      <c r="CE5" s="133" t="s">
        <v>116</v>
      </c>
      <c r="CF5" s="140">
        <v>29221</v>
      </c>
      <c r="CG5" s="141">
        <f ca="1">TODAY()</f>
        <v>42879</v>
      </c>
      <c r="CH5" s="135" t="b">
        <v>0</v>
      </c>
      <c r="CJ5" s="213"/>
      <c r="CL5" s="139" t="s">
        <v>35</v>
      </c>
      <c r="CM5" s="133" t="s">
        <v>116</v>
      </c>
      <c r="CN5" s="140">
        <v>29221</v>
      </c>
      <c r="CO5" s="141">
        <f ca="1">TODAY()</f>
        <v>42879</v>
      </c>
      <c r="CP5" s="135" t="b">
        <v>0</v>
      </c>
      <c r="CR5" s="213"/>
      <c r="CT5" s="139" t="s">
        <v>35</v>
      </c>
      <c r="CU5" s="133" t="s">
        <v>116</v>
      </c>
      <c r="CV5" s="140">
        <v>29221</v>
      </c>
      <c r="CW5" s="141">
        <f ca="1">TODAY()</f>
        <v>42879</v>
      </c>
      <c r="CX5" s="135" t="b">
        <v>0</v>
      </c>
      <c r="CZ5" s="213"/>
      <c r="DB5" s="139" t="s">
        <v>1576</v>
      </c>
      <c r="DC5" s="133" t="s">
        <v>116</v>
      </c>
      <c r="DD5" s="140">
        <v>29221</v>
      </c>
      <c r="DE5" s="141">
        <f ca="1">TODAY()</f>
        <v>42879</v>
      </c>
      <c r="DF5" s="135" t="b">
        <v>0</v>
      </c>
      <c r="DH5" s="213"/>
      <c r="DJ5" s="142" t="s">
        <v>1598</v>
      </c>
      <c r="DK5" s="133"/>
      <c r="DL5" s="133"/>
      <c r="DO5" s="135" t="s">
        <v>152</v>
      </c>
      <c r="DP5" s="213"/>
      <c r="DR5" s="142" t="s">
        <v>1598</v>
      </c>
      <c r="DS5" s="133"/>
      <c r="DT5" s="133"/>
      <c r="DW5" s="135" t="s">
        <v>152</v>
      </c>
      <c r="DX5" s="213"/>
      <c r="DZ5" s="142" t="s">
        <v>1598</v>
      </c>
      <c r="EA5" s="133"/>
      <c r="EB5" s="133"/>
      <c r="EE5" s="135" t="s">
        <v>152</v>
      </c>
      <c r="EF5" s="213"/>
      <c r="EH5" s="142" t="s">
        <v>1598</v>
      </c>
      <c r="EI5" s="133"/>
      <c r="EJ5" s="133"/>
      <c r="EM5" s="135" t="s">
        <v>152</v>
      </c>
      <c r="EN5" s="213"/>
      <c r="EP5" s="142" t="s">
        <v>198</v>
      </c>
      <c r="EQ5" s="133"/>
      <c r="ER5" s="143">
        <v>0</v>
      </c>
      <c r="ES5" s="144">
        <v>0.99998842592592585</v>
      </c>
      <c r="ET5" s="135" t="b">
        <v>0</v>
      </c>
      <c r="EV5" s="213"/>
      <c r="EX5" s="142" t="s">
        <v>1598</v>
      </c>
      <c r="EY5" s="133"/>
      <c r="EZ5" s="133"/>
      <c r="FC5" s="135" t="s">
        <v>152</v>
      </c>
      <c r="FD5" s="213"/>
      <c r="FF5" s="142" t="s">
        <v>1598</v>
      </c>
      <c r="FG5" s="133"/>
      <c r="FH5" s="133"/>
      <c r="FK5" s="135" t="s">
        <v>152</v>
      </c>
      <c r="FL5" s="213"/>
      <c r="FN5" s="142" t="s">
        <v>1598</v>
      </c>
      <c r="FO5" s="133"/>
      <c r="FP5" s="133"/>
      <c r="FS5" s="135" t="s">
        <v>152</v>
      </c>
      <c r="FT5" s="213"/>
      <c r="FV5" s="142" t="s">
        <v>1598</v>
      </c>
      <c r="FW5" s="133"/>
      <c r="FX5" s="133"/>
      <c r="GA5" s="135" t="s">
        <v>152</v>
      </c>
      <c r="GB5" s="213"/>
      <c r="GD5" s="142" t="s">
        <v>1598</v>
      </c>
      <c r="GE5" s="133"/>
      <c r="GF5" s="133"/>
      <c r="GI5" s="135" t="s">
        <v>152</v>
      </c>
      <c r="GJ5" s="213"/>
      <c r="GL5" s="142" t="s">
        <v>1598</v>
      </c>
      <c r="GM5" s="133"/>
      <c r="GN5" s="133"/>
      <c r="GQ5" s="135" t="s">
        <v>152</v>
      </c>
      <c r="GR5" s="213"/>
      <c r="GT5" s="142" t="s">
        <v>1598</v>
      </c>
      <c r="GU5" s="133"/>
      <c r="GV5" s="133"/>
      <c r="GY5" s="135" t="s">
        <v>152</v>
      </c>
      <c r="GZ5" s="213"/>
    </row>
    <row r="6" spans="1:208" ht="14.4" x14ac:dyDescent="0.3">
      <c r="B6" s="139" t="s">
        <v>568</v>
      </c>
      <c r="F6" s="135"/>
      <c r="G6" s="135" t="s">
        <v>533</v>
      </c>
      <c r="H6" s="213"/>
      <c r="I6" s="131"/>
      <c r="J6" s="132" t="s">
        <v>1578</v>
      </c>
      <c r="K6" s="148"/>
      <c r="L6" s="148"/>
      <c r="N6" s="135" t="b">
        <v>1</v>
      </c>
      <c r="O6" s="135"/>
      <c r="P6" s="213"/>
      <c r="R6" s="139" t="s">
        <v>1587</v>
      </c>
      <c r="S6" s="133"/>
      <c r="T6" s="133"/>
      <c r="V6" s="135"/>
      <c r="W6" s="135"/>
      <c r="X6" s="213"/>
      <c r="Z6" s="132" t="s">
        <v>898</v>
      </c>
      <c r="AA6" s="133"/>
      <c r="AB6" s="133"/>
      <c r="AD6" s="135"/>
      <c r="AE6" s="135" t="s">
        <v>902</v>
      </c>
      <c r="AF6" s="213"/>
      <c r="AH6" s="139" t="s">
        <v>1600</v>
      </c>
      <c r="AI6" s="133"/>
      <c r="AJ6" s="133"/>
      <c r="AL6" s="135" t="b">
        <v>1</v>
      </c>
      <c r="AM6" s="135" t="s">
        <v>128</v>
      </c>
      <c r="AN6" s="213"/>
      <c r="AP6" s="139" t="s">
        <v>1887</v>
      </c>
      <c r="AQ6" s="133"/>
      <c r="AR6" s="133"/>
      <c r="AV6" s="213"/>
      <c r="AX6" s="142" t="s">
        <v>1612</v>
      </c>
      <c r="AY6" s="133"/>
      <c r="AZ6" s="133"/>
      <c r="BD6" s="213"/>
      <c r="BF6" s="142" t="s">
        <v>1612</v>
      </c>
      <c r="BG6" s="148"/>
      <c r="BH6" s="148"/>
      <c r="BL6" s="213"/>
      <c r="BN6" s="142" t="s">
        <v>1598</v>
      </c>
      <c r="BO6" s="133"/>
      <c r="BP6" s="133"/>
      <c r="BS6" s="135" t="s">
        <v>152</v>
      </c>
      <c r="BT6" s="213"/>
      <c r="BV6" s="142" t="s">
        <v>1598</v>
      </c>
      <c r="BW6" s="133"/>
      <c r="BX6" s="133"/>
      <c r="CA6" s="135" t="s">
        <v>152</v>
      </c>
      <c r="CB6" s="213"/>
      <c r="CD6" s="142" t="s">
        <v>1598</v>
      </c>
      <c r="CE6" s="133"/>
      <c r="CF6" s="133"/>
      <c r="CI6" s="135" t="s">
        <v>152</v>
      </c>
      <c r="CJ6" s="213"/>
      <c r="CL6" s="142" t="s">
        <v>1598</v>
      </c>
      <c r="CM6" s="133"/>
      <c r="CN6" s="133"/>
      <c r="CQ6" s="135" t="s">
        <v>152</v>
      </c>
      <c r="CR6" s="213"/>
      <c r="CT6" s="142" t="s">
        <v>1598</v>
      </c>
      <c r="CU6" s="133"/>
      <c r="CV6" s="133"/>
      <c r="CY6" s="135" t="s">
        <v>152</v>
      </c>
      <c r="CZ6" s="213"/>
      <c r="DB6" s="142" t="s">
        <v>1577</v>
      </c>
      <c r="DC6" s="133" t="s">
        <v>116</v>
      </c>
      <c r="DD6" s="140">
        <v>29221</v>
      </c>
      <c r="DE6" s="141">
        <f ca="1">TODAY()</f>
        <v>42879</v>
      </c>
      <c r="DF6" s="135" t="b">
        <v>0</v>
      </c>
      <c r="DH6" s="213"/>
      <c r="DJ6" s="139" t="s">
        <v>1671</v>
      </c>
      <c r="DK6" s="133" t="s">
        <v>46</v>
      </c>
      <c r="DL6" s="99">
        <v>0</v>
      </c>
      <c r="DM6" s="99">
        <v>200</v>
      </c>
      <c r="DN6" s="135" t="b">
        <v>0</v>
      </c>
      <c r="DP6" s="213"/>
      <c r="DR6" s="139" t="s">
        <v>1671</v>
      </c>
      <c r="DS6" s="133" t="s">
        <v>46</v>
      </c>
      <c r="DT6" s="99">
        <v>0</v>
      </c>
      <c r="DU6" s="99">
        <v>200</v>
      </c>
      <c r="DV6" s="135" t="b">
        <v>0</v>
      </c>
      <c r="DX6" s="213"/>
      <c r="DZ6" s="139" t="s">
        <v>1671</v>
      </c>
      <c r="EA6" s="133" t="s">
        <v>46</v>
      </c>
      <c r="EB6" s="99">
        <v>0</v>
      </c>
      <c r="EC6" s="99">
        <v>200</v>
      </c>
      <c r="ED6" s="135" t="b">
        <v>0</v>
      </c>
      <c r="EF6" s="213"/>
      <c r="EH6" s="139" t="s">
        <v>1747</v>
      </c>
      <c r="EI6" s="133"/>
      <c r="EJ6" s="133"/>
      <c r="EM6" s="135" t="s">
        <v>509</v>
      </c>
      <c r="EN6" s="213"/>
      <c r="EP6" s="139" t="s">
        <v>1598</v>
      </c>
      <c r="EQ6" s="133"/>
      <c r="ER6" s="133"/>
      <c r="EU6" s="135" t="s">
        <v>152</v>
      </c>
      <c r="EV6" s="213"/>
      <c r="EX6" s="139" t="s">
        <v>1659</v>
      </c>
      <c r="EY6" s="133"/>
      <c r="EZ6" s="133"/>
      <c r="FC6" s="135" t="s">
        <v>76</v>
      </c>
      <c r="FD6" s="213"/>
      <c r="FF6" s="139" t="s">
        <v>1659</v>
      </c>
      <c r="FG6" s="133"/>
      <c r="FH6" s="133"/>
      <c r="FK6" s="135" t="s">
        <v>76</v>
      </c>
      <c r="FL6" s="213"/>
      <c r="FN6" s="139" t="s">
        <v>1940</v>
      </c>
      <c r="FO6" s="133"/>
      <c r="FP6" s="133"/>
      <c r="FS6" s="135" t="s">
        <v>76</v>
      </c>
      <c r="FT6" s="213"/>
      <c r="FV6" s="139" t="s">
        <v>1659</v>
      </c>
      <c r="FW6" s="133"/>
      <c r="FX6" s="133"/>
      <c r="GA6" s="135" t="s">
        <v>76</v>
      </c>
      <c r="GB6" s="213"/>
      <c r="GD6" s="139" t="s">
        <v>1659</v>
      </c>
      <c r="GE6" s="133"/>
      <c r="GF6" s="133"/>
      <c r="GI6" s="135" t="s">
        <v>76</v>
      </c>
      <c r="GJ6" s="213"/>
      <c r="GL6" s="139" t="s">
        <v>1848</v>
      </c>
      <c r="GM6" s="133"/>
      <c r="GN6" s="133"/>
      <c r="GQ6" s="135" t="s">
        <v>84</v>
      </c>
      <c r="GR6" s="213"/>
      <c r="GT6" s="139" t="s">
        <v>1880</v>
      </c>
      <c r="GU6" s="133"/>
      <c r="GV6" s="133"/>
      <c r="GZ6" s="213"/>
    </row>
    <row r="7" spans="1:208" ht="14.4" x14ac:dyDescent="0.3">
      <c r="B7" s="159" t="s">
        <v>1562</v>
      </c>
      <c r="F7" s="116" t="b">
        <v>1</v>
      </c>
      <c r="G7" s="135"/>
      <c r="H7" s="213"/>
      <c r="I7" s="131"/>
      <c r="J7" s="142" t="s">
        <v>792</v>
      </c>
      <c r="K7" s="148"/>
      <c r="L7" s="148"/>
      <c r="N7" s="135"/>
      <c r="O7" s="135"/>
      <c r="P7" s="213"/>
      <c r="R7" s="142" t="s">
        <v>144</v>
      </c>
      <c r="S7" s="133"/>
      <c r="T7" s="140"/>
      <c r="U7" s="141"/>
      <c r="V7" s="135"/>
      <c r="W7" s="135"/>
      <c r="X7" s="213"/>
      <c r="Z7" s="132" t="s">
        <v>1593</v>
      </c>
      <c r="AA7" s="133"/>
      <c r="AB7" s="133"/>
      <c r="AD7" s="135"/>
      <c r="AE7" s="135"/>
      <c r="AF7" s="213"/>
      <c r="AH7" s="142" t="s">
        <v>1601</v>
      </c>
      <c r="AI7" s="133"/>
      <c r="AJ7" s="140"/>
      <c r="AK7" s="141"/>
      <c r="AL7" s="135" t="b">
        <v>1</v>
      </c>
      <c r="AM7" s="135" t="s">
        <v>129</v>
      </c>
      <c r="AN7" s="213"/>
      <c r="AP7" s="142" t="s">
        <v>575</v>
      </c>
      <c r="AQ7" s="133"/>
      <c r="AR7" s="140"/>
      <c r="AS7" s="141"/>
      <c r="AV7" s="213"/>
      <c r="AX7" s="139" t="s">
        <v>1613</v>
      </c>
      <c r="AY7" s="133" t="s">
        <v>187</v>
      </c>
      <c r="AZ7" s="133">
        <v>-75</v>
      </c>
      <c r="BA7" s="116">
        <v>75</v>
      </c>
      <c r="BB7" s="135" t="b">
        <v>0</v>
      </c>
      <c r="BD7" s="213"/>
      <c r="BF7" s="159" t="s">
        <v>1620</v>
      </c>
      <c r="BG7" s="148" t="s">
        <v>1013</v>
      </c>
      <c r="BH7" s="148">
        <v>-40</v>
      </c>
      <c r="BI7" s="116">
        <v>47</v>
      </c>
      <c r="BJ7" s="135" t="b">
        <v>0</v>
      </c>
      <c r="BL7" s="213"/>
      <c r="BN7" s="139" t="s">
        <v>77</v>
      </c>
      <c r="BO7" s="133"/>
      <c r="BP7" s="133"/>
      <c r="BR7" s="135" t="b">
        <v>0</v>
      </c>
      <c r="BS7" s="135" t="s">
        <v>77</v>
      </c>
      <c r="BT7" s="213"/>
      <c r="BV7" s="139" t="s">
        <v>77</v>
      </c>
      <c r="BW7" s="133"/>
      <c r="BX7" s="133"/>
      <c r="CA7" s="135" t="s">
        <v>77</v>
      </c>
      <c r="CB7" s="213"/>
      <c r="CD7" s="139" t="s">
        <v>77</v>
      </c>
      <c r="CE7" s="133"/>
      <c r="CF7" s="133"/>
      <c r="CI7" s="135" t="s">
        <v>77</v>
      </c>
      <c r="CJ7" s="213"/>
      <c r="CL7" s="139" t="s">
        <v>77</v>
      </c>
      <c r="CM7" s="133"/>
      <c r="CN7" s="133"/>
      <c r="CQ7" s="135" t="s">
        <v>77</v>
      </c>
      <c r="CR7" s="213"/>
      <c r="CT7" s="139" t="s">
        <v>77</v>
      </c>
      <c r="CU7" s="133"/>
      <c r="CV7" s="133"/>
      <c r="CY7" s="135" t="s">
        <v>77</v>
      </c>
      <c r="CZ7" s="213"/>
      <c r="DB7" s="139" t="s">
        <v>1598</v>
      </c>
      <c r="DC7" s="133"/>
      <c r="DD7" s="133"/>
      <c r="DG7" s="135" t="s">
        <v>152</v>
      </c>
      <c r="DH7" s="213"/>
      <c r="DJ7" s="142" t="s">
        <v>1672</v>
      </c>
      <c r="DK7" s="133" t="s">
        <v>46</v>
      </c>
      <c r="DL7" s="99">
        <v>0</v>
      </c>
      <c r="DM7" s="99">
        <v>200</v>
      </c>
      <c r="DN7" s="135" t="b">
        <v>0</v>
      </c>
      <c r="DP7" s="213"/>
      <c r="DR7" s="142" t="s">
        <v>1672</v>
      </c>
      <c r="DS7" s="133" t="s">
        <v>46</v>
      </c>
      <c r="DT7" s="99">
        <v>0</v>
      </c>
      <c r="DU7" s="99">
        <v>200</v>
      </c>
      <c r="DV7" s="135" t="b">
        <v>0</v>
      </c>
      <c r="DX7" s="213"/>
      <c r="DZ7" s="142" t="s">
        <v>1672</v>
      </c>
      <c r="EA7" s="133" t="s">
        <v>46</v>
      </c>
      <c r="EB7" s="99">
        <v>0</v>
      </c>
      <c r="EC7" s="99">
        <v>200</v>
      </c>
      <c r="ED7" s="135" t="b">
        <v>0</v>
      </c>
      <c r="EF7" s="213"/>
      <c r="EH7" s="142" t="s">
        <v>77</v>
      </c>
      <c r="EI7" s="133"/>
      <c r="EJ7" s="140"/>
      <c r="EK7" s="141"/>
      <c r="EM7" s="135" t="s">
        <v>77</v>
      </c>
      <c r="EN7" s="213"/>
      <c r="EP7" s="142" t="s">
        <v>77</v>
      </c>
      <c r="EQ7" s="133"/>
      <c r="ER7" s="140"/>
      <c r="ES7" s="141"/>
      <c r="EU7" s="135" t="s">
        <v>77</v>
      </c>
      <c r="EV7" s="213"/>
      <c r="EX7" s="142" t="s">
        <v>77</v>
      </c>
      <c r="EY7" s="133"/>
      <c r="EZ7" s="140"/>
      <c r="FA7" s="141"/>
      <c r="FC7" s="135" t="s">
        <v>77</v>
      </c>
      <c r="FD7" s="213"/>
      <c r="FF7" s="142" t="s">
        <v>77</v>
      </c>
      <c r="FG7" s="133"/>
      <c r="FH7" s="140"/>
      <c r="FI7" s="141"/>
      <c r="FK7" s="135" t="s">
        <v>77</v>
      </c>
      <c r="FL7" s="213"/>
      <c r="FN7" s="142" t="s">
        <v>77</v>
      </c>
      <c r="FO7" s="133"/>
      <c r="FP7" s="140"/>
      <c r="FQ7" s="141"/>
      <c r="FS7" s="135" t="s">
        <v>77</v>
      </c>
      <c r="FT7" s="213"/>
      <c r="FV7" s="142" t="s">
        <v>77</v>
      </c>
      <c r="FW7" s="133"/>
      <c r="FX7" s="140"/>
      <c r="FY7" s="141"/>
      <c r="GA7" s="135" t="s">
        <v>77</v>
      </c>
      <c r="GB7" s="213"/>
      <c r="GD7" s="142" t="s">
        <v>77</v>
      </c>
      <c r="GE7" s="133"/>
      <c r="GF7" s="140"/>
      <c r="GG7" s="141"/>
      <c r="GI7" s="135" t="s">
        <v>77</v>
      </c>
      <c r="GJ7" s="213"/>
      <c r="GL7" s="142" t="s">
        <v>1659</v>
      </c>
      <c r="GM7" s="133"/>
      <c r="GN7" s="140"/>
      <c r="GO7" s="141"/>
      <c r="GQ7" s="135" t="s">
        <v>76</v>
      </c>
      <c r="GR7" s="213"/>
      <c r="GT7" s="142" t="s">
        <v>1878</v>
      </c>
      <c r="GU7" s="133"/>
      <c r="GV7" s="145">
        <v>0</v>
      </c>
      <c r="GW7" s="146">
        <v>10000000</v>
      </c>
      <c r="GX7" s="135" t="b">
        <v>0</v>
      </c>
      <c r="GZ7" s="213"/>
    </row>
    <row r="8" spans="1:208" ht="14.4" x14ac:dyDescent="0.3">
      <c r="B8" s="159" t="s">
        <v>2020</v>
      </c>
      <c r="I8" s="131"/>
      <c r="J8" s="159" t="s">
        <v>379</v>
      </c>
      <c r="K8" s="148"/>
      <c r="L8" s="150"/>
      <c r="M8" s="141"/>
      <c r="N8" s="135"/>
      <c r="O8" s="135"/>
      <c r="P8" s="213"/>
      <c r="R8" s="142" t="s">
        <v>218</v>
      </c>
      <c r="S8" s="133"/>
      <c r="T8" s="140"/>
      <c r="U8" s="141"/>
      <c r="V8" s="135"/>
      <c r="W8" s="135"/>
      <c r="X8" s="213"/>
      <c r="Z8" s="132" t="s">
        <v>905</v>
      </c>
      <c r="AA8" s="133"/>
      <c r="AB8" s="133"/>
      <c r="AD8" s="135"/>
      <c r="AE8" s="135"/>
      <c r="AF8" s="213"/>
      <c r="AH8" s="142" t="s">
        <v>1602</v>
      </c>
      <c r="AI8" s="133"/>
      <c r="AJ8" s="140"/>
      <c r="AK8" s="141"/>
      <c r="AL8" s="135" t="b">
        <v>1</v>
      </c>
      <c r="AN8" s="213"/>
      <c r="AP8" s="142" t="s">
        <v>1888</v>
      </c>
      <c r="AQ8" s="133"/>
      <c r="AR8" s="140"/>
      <c r="AS8" s="141"/>
      <c r="AV8" s="213"/>
      <c r="AX8" s="142" t="s">
        <v>1614</v>
      </c>
      <c r="AY8" s="133" t="s">
        <v>187</v>
      </c>
      <c r="AZ8" s="145">
        <v>-180</v>
      </c>
      <c r="BA8" s="146">
        <v>180</v>
      </c>
      <c r="BB8" s="135" t="b">
        <v>0</v>
      </c>
      <c r="BD8" s="213"/>
      <c r="BF8" s="142" t="s">
        <v>1621</v>
      </c>
      <c r="BG8" s="148" t="s">
        <v>1013</v>
      </c>
      <c r="BH8" s="145">
        <v>-52</v>
      </c>
      <c r="BI8" s="146">
        <v>40</v>
      </c>
      <c r="BJ8" s="135" t="b">
        <v>0</v>
      </c>
      <c r="BL8" s="213"/>
      <c r="BN8" s="142" t="s">
        <v>1894</v>
      </c>
      <c r="BO8" s="133"/>
      <c r="BP8" s="140"/>
      <c r="BQ8" s="141"/>
      <c r="BS8" s="135" t="s">
        <v>473</v>
      </c>
      <c r="BT8" s="213"/>
      <c r="BV8" s="142" t="s">
        <v>151</v>
      </c>
      <c r="BW8" s="133"/>
      <c r="BX8" s="140"/>
      <c r="BY8" s="141"/>
      <c r="CB8" s="213"/>
      <c r="CD8" s="142" t="s">
        <v>1656</v>
      </c>
      <c r="CE8" s="133"/>
      <c r="CF8" s="140"/>
      <c r="CG8" s="141"/>
      <c r="CI8" s="135" t="s">
        <v>338</v>
      </c>
      <c r="CJ8" s="213"/>
      <c r="CL8" s="142" t="s">
        <v>1659</v>
      </c>
      <c r="CM8" s="133"/>
      <c r="CN8" s="140"/>
      <c r="CO8" s="141"/>
      <c r="CQ8" s="135" t="s">
        <v>76</v>
      </c>
      <c r="CR8" s="213"/>
      <c r="CT8" s="142" t="s">
        <v>1662</v>
      </c>
      <c r="CU8" s="133"/>
      <c r="CV8" s="140"/>
      <c r="CW8" s="141"/>
      <c r="CZ8" s="213"/>
      <c r="DB8" s="142" t="s">
        <v>1669</v>
      </c>
      <c r="DC8" s="133" t="s">
        <v>136</v>
      </c>
      <c r="DD8" s="145">
        <v>0</v>
      </c>
      <c r="DE8" s="146">
        <v>200</v>
      </c>
      <c r="DF8" s="135" t="b">
        <v>0</v>
      </c>
      <c r="DH8" s="213"/>
      <c r="DJ8" s="142" t="s">
        <v>1673</v>
      </c>
      <c r="DK8" s="133" t="s">
        <v>40</v>
      </c>
      <c r="DL8" s="99">
        <v>0</v>
      </c>
      <c r="DM8" s="99">
        <v>100</v>
      </c>
      <c r="DN8" s="135" t="b">
        <v>0</v>
      </c>
      <c r="DP8" s="213"/>
      <c r="DR8" s="142" t="s">
        <v>37</v>
      </c>
      <c r="DS8" s="133" t="s">
        <v>244</v>
      </c>
      <c r="DT8" s="99">
        <v>0</v>
      </c>
      <c r="DU8" s="99">
        <v>14</v>
      </c>
      <c r="DV8" s="135" t="b">
        <v>0</v>
      </c>
      <c r="DX8" s="213"/>
      <c r="DZ8" s="142" t="s">
        <v>1727</v>
      </c>
      <c r="EA8" s="99" t="s">
        <v>586</v>
      </c>
      <c r="EB8" s="99">
        <v>0</v>
      </c>
      <c r="EC8" s="141"/>
      <c r="ED8" s="135" t="b">
        <v>0</v>
      </c>
      <c r="EF8" s="213"/>
      <c r="EH8" s="142" t="s">
        <v>1748</v>
      </c>
      <c r="EI8" s="133" t="s">
        <v>40</v>
      </c>
      <c r="EJ8" s="145">
        <v>0</v>
      </c>
      <c r="EK8" s="146">
        <v>100</v>
      </c>
      <c r="EL8" s="135" t="b">
        <v>0</v>
      </c>
      <c r="EN8" s="213"/>
      <c r="EP8" s="142" t="s">
        <v>1749</v>
      </c>
      <c r="EQ8" s="133"/>
      <c r="ER8" s="140"/>
      <c r="ES8" s="141"/>
      <c r="EU8" s="135" t="s">
        <v>166</v>
      </c>
      <c r="EV8" s="213"/>
      <c r="EX8" s="142" t="s">
        <v>1760</v>
      </c>
      <c r="EY8" s="133"/>
      <c r="EZ8" s="140"/>
      <c r="FA8" s="141"/>
      <c r="FC8" s="135" t="s">
        <v>395</v>
      </c>
      <c r="FD8" s="213"/>
      <c r="FF8" s="142" t="s">
        <v>1789</v>
      </c>
      <c r="FG8" s="133"/>
      <c r="FH8" s="140"/>
      <c r="FI8" s="141"/>
      <c r="FK8" s="135" t="s">
        <v>384</v>
      </c>
      <c r="FL8" s="213"/>
      <c r="FN8" s="142" t="s">
        <v>1789</v>
      </c>
      <c r="FO8" s="133"/>
      <c r="FP8" s="140"/>
      <c r="FQ8" s="141"/>
      <c r="FS8" s="135" t="s">
        <v>384</v>
      </c>
      <c r="FT8" s="213"/>
      <c r="FV8" s="142" t="s">
        <v>1789</v>
      </c>
      <c r="FW8" s="133"/>
      <c r="FX8" s="140"/>
      <c r="FY8" s="141"/>
      <c r="GA8" s="135" t="s">
        <v>384</v>
      </c>
      <c r="GB8" s="213"/>
      <c r="GD8" s="142" t="s">
        <v>1789</v>
      </c>
      <c r="GE8" s="133"/>
      <c r="GF8" s="140"/>
      <c r="GG8" s="141"/>
      <c r="GI8" s="135" t="s">
        <v>384</v>
      </c>
      <c r="GJ8" s="213"/>
      <c r="GL8" s="142" t="s">
        <v>1849</v>
      </c>
      <c r="GM8" s="133"/>
      <c r="GN8" s="140"/>
      <c r="GO8" s="141"/>
      <c r="GQ8" s="135" t="s">
        <v>79</v>
      </c>
      <c r="GR8" s="213"/>
      <c r="GT8" s="142" t="s">
        <v>1879</v>
      </c>
      <c r="GU8" s="133"/>
      <c r="GV8" s="140"/>
      <c r="GW8" s="141"/>
      <c r="GZ8" s="213"/>
    </row>
    <row r="9" spans="1:208" ht="14.4" x14ac:dyDescent="0.3">
      <c r="B9" s="142" t="s">
        <v>1576</v>
      </c>
      <c r="C9" s="133" t="s">
        <v>116</v>
      </c>
      <c r="D9" s="140">
        <v>29221</v>
      </c>
      <c r="E9" s="141">
        <f ca="1">TODAY()</f>
        <v>42879</v>
      </c>
      <c r="F9" s="135" t="b">
        <v>0</v>
      </c>
      <c r="G9" s="135"/>
      <c r="H9" s="213"/>
      <c r="I9" s="131"/>
      <c r="J9" s="142" t="s">
        <v>108</v>
      </c>
      <c r="K9" s="148"/>
      <c r="L9" s="150"/>
      <c r="M9" s="141"/>
      <c r="N9" s="135"/>
      <c r="O9" s="135"/>
      <c r="P9" s="213"/>
      <c r="R9" s="142" t="s">
        <v>1586</v>
      </c>
      <c r="S9" s="133"/>
      <c r="T9" s="133"/>
      <c r="V9" s="135"/>
      <c r="W9" s="135"/>
      <c r="X9" s="213"/>
      <c r="Z9" s="132" t="s">
        <v>1596</v>
      </c>
      <c r="AA9" s="133"/>
      <c r="AB9" s="140"/>
      <c r="AC9" s="141"/>
      <c r="AD9" s="135"/>
      <c r="AE9" s="135"/>
      <c r="AF9" s="213"/>
      <c r="AH9" s="142" t="s">
        <v>1603</v>
      </c>
      <c r="AI9" s="133"/>
      <c r="AJ9" s="133"/>
      <c r="AL9" s="135" t="b">
        <v>1</v>
      </c>
      <c r="AM9" s="135" t="s">
        <v>471</v>
      </c>
      <c r="AN9" s="213"/>
      <c r="AP9" s="142" t="s">
        <v>576</v>
      </c>
      <c r="AQ9" s="133"/>
      <c r="AR9" s="133"/>
      <c r="AV9" s="213"/>
      <c r="AX9" s="142" t="s">
        <v>1615</v>
      </c>
      <c r="AY9" s="133" t="s">
        <v>211</v>
      </c>
      <c r="AZ9" s="145">
        <v>-50</v>
      </c>
      <c r="BA9" s="146">
        <v>5000</v>
      </c>
      <c r="BB9" s="135" t="b">
        <v>0</v>
      </c>
      <c r="BD9" s="213"/>
      <c r="BF9" s="142" t="s">
        <v>1622</v>
      </c>
      <c r="BG9" s="148" t="s">
        <v>115</v>
      </c>
      <c r="BH9" s="145">
        <v>0</v>
      </c>
      <c r="BI9" s="146">
        <v>425</v>
      </c>
      <c r="BJ9" s="135" t="b">
        <v>0</v>
      </c>
      <c r="BL9" s="213"/>
      <c r="BN9" s="159" t="s">
        <v>1642</v>
      </c>
      <c r="BO9" s="140" t="s">
        <v>46</v>
      </c>
      <c r="BP9" s="99">
        <v>0</v>
      </c>
      <c r="BQ9" s="99">
        <v>500</v>
      </c>
      <c r="BR9" s="135" t="b">
        <v>0</v>
      </c>
      <c r="BT9" s="213"/>
      <c r="BV9" s="142" t="s">
        <v>1655</v>
      </c>
      <c r="BW9" s="133" t="s">
        <v>273</v>
      </c>
      <c r="BX9" s="99">
        <v>0</v>
      </c>
      <c r="BY9" s="99">
        <v>3500000</v>
      </c>
      <c r="BZ9" s="135" t="b">
        <v>0</v>
      </c>
      <c r="CB9" s="213"/>
      <c r="CD9" s="142" t="s">
        <v>1658</v>
      </c>
      <c r="CE9" s="133" t="s">
        <v>46</v>
      </c>
      <c r="CF9" s="145">
        <v>0</v>
      </c>
      <c r="CG9" s="146">
        <v>200</v>
      </c>
      <c r="CH9" s="135" t="b">
        <v>0</v>
      </c>
      <c r="CJ9" s="213"/>
      <c r="CL9" s="142"/>
      <c r="CM9" s="133"/>
      <c r="CN9" s="133"/>
      <c r="CR9" s="213"/>
      <c r="CT9" s="142" t="s">
        <v>1896</v>
      </c>
      <c r="CU9" s="133"/>
      <c r="CV9" s="140"/>
      <c r="CW9" s="141"/>
      <c r="CZ9" s="213"/>
      <c r="DB9" s="142" t="s">
        <v>1670</v>
      </c>
      <c r="DC9" s="133"/>
      <c r="DD9" s="140"/>
      <c r="DE9" s="141"/>
      <c r="DG9" s="135" t="s">
        <v>83</v>
      </c>
      <c r="DH9" s="213"/>
      <c r="DJ9" s="142" t="s">
        <v>1674</v>
      </c>
      <c r="DK9" s="133" t="s">
        <v>40</v>
      </c>
      <c r="DL9" s="99">
        <v>0</v>
      </c>
      <c r="DM9" s="99">
        <v>100</v>
      </c>
      <c r="DN9" s="135" t="b">
        <v>0</v>
      </c>
      <c r="DP9" s="213"/>
      <c r="DR9" s="142" t="s">
        <v>1691</v>
      </c>
      <c r="DS9" s="99" t="s">
        <v>1976</v>
      </c>
      <c r="DT9" s="99">
        <v>0</v>
      </c>
      <c r="DU9" s="116">
        <v>1000</v>
      </c>
      <c r="DV9" s="135" t="b">
        <v>0</v>
      </c>
      <c r="DX9" s="213"/>
      <c r="DZ9" s="142" t="s">
        <v>1918</v>
      </c>
      <c r="EA9" s="99" t="s">
        <v>586</v>
      </c>
      <c r="EB9" s="99">
        <v>0</v>
      </c>
      <c r="ED9" s="135" t="b">
        <v>0</v>
      </c>
      <c r="EF9" s="213"/>
      <c r="EH9" s="142"/>
      <c r="EI9" s="133"/>
      <c r="EJ9" s="133"/>
      <c r="EN9" s="213"/>
      <c r="EP9" s="142" t="s">
        <v>1926</v>
      </c>
      <c r="EQ9" s="164" t="s">
        <v>1026</v>
      </c>
      <c r="ER9" s="133">
        <v>-100</v>
      </c>
      <c r="ES9" s="116">
        <v>10000</v>
      </c>
      <c r="ET9" s="135" t="b">
        <v>0</v>
      </c>
      <c r="EV9" s="213"/>
      <c r="EX9" s="142" t="s">
        <v>1759</v>
      </c>
      <c r="EY9" s="133" t="s">
        <v>46</v>
      </c>
      <c r="EZ9" s="133">
        <v>0</v>
      </c>
      <c r="FA9" s="116">
        <v>50000</v>
      </c>
      <c r="FB9" s="135" t="b">
        <v>0</v>
      </c>
      <c r="FD9" s="213"/>
      <c r="FF9" s="142" t="s">
        <v>1937</v>
      </c>
      <c r="FG9" s="133" t="s">
        <v>275</v>
      </c>
      <c r="FH9" s="133">
        <v>0</v>
      </c>
      <c r="FI9" s="116">
        <v>50000</v>
      </c>
      <c r="FJ9" s="135" t="b">
        <v>0</v>
      </c>
      <c r="FL9" s="213"/>
      <c r="FN9" s="142" t="s">
        <v>1941</v>
      </c>
      <c r="FO9" s="133" t="s">
        <v>388</v>
      </c>
      <c r="FP9" s="133">
        <v>0</v>
      </c>
      <c r="FQ9" s="116">
        <v>1000</v>
      </c>
      <c r="FR9" s="135" t="b">
        <v>0</v>
      </c>
      <c r="FT9" s="213"/>
      <c r="FV9" s="142" t="s">
        <v>1826</v>
      </c>
      <c r="FW9" s="99" t="s">
        <v>388</v>
      </c>
      <c r="FX9" s="99">
        <v>0</v>
      </c>
      <c r="FY9" s="147">
        <v>1000</v>
      </c>
      <c r="FZ9" s="135" t="b">
        <v>0</v>
      </c>
      <c r="GB9" s="213"/>
      <c r="GD9" s="142" t="s">
        <v>1830</v>
      </c>
      <c r="GE9" s="133" t="s">
        <v>388</v>
      </c>
      <c r="GF9" s="99">
        <v>0</v>
      </c>
      <c r="GG9" s="99">
        <v>1000</v>
      </c>
      <c r="GH9" s="135" t="b">
        <v>0</v>
      </c>
      <c r="GJ9" s="213"/>
      <c r="GL9" s="142" t="s">
        <v>1850</v>
      </c>
      <c r="GM9" s="133" t="s">
        <v>5</v>
      </c>
      <c r="GN9" s="133">
        <v>0</v>
      </c>
      <c r="GO9" s="116">
        <v>50000</v>
      </c>
      <c r="GP9" s="135" t="b">
        <v>0</v>
      </c>
      <c r="GR9" s="213"/>
      <c r="GT9" s="142"/>
      <c r="GU9" s="133"/>
      <c r="GV9" s="133"/>
      <c r="GZ9" s="213"/>
    </row>
    <row r="10" spans="1:208" ht="14.4" x14ac:dyDescent="0.3">
      <c r="B10" s="142" t="s">
        <v>1577</v>
      </c>
      <c r="C10" s="148" t="s">
        <v>116</v>
      </c>
      <c r="D10" s="140">
        <v>29221</v>
      </c>
      <c r="E10" s="141">
        <f ca="1">TODAY()</f>
        <v>42879</v>
      </c>
      <c r="F10" s="135" t="b">
        <v>0</v>
      </c>
      <c r="G10" s="135"/>
      <c r="H10" s="213"/>
      <c r="I10" s="131"/>
      <c r="J10" s="142" t="s">
        <v>74</v>
      </c>
      <c r="K10" s="148"/>
      <c r="L10" s="148"/>
      <c r="N10" s="135"/>
      <c r="O10" s="135"/>
      <c r="P10" s="213"/>
      <c r="R10" s="142" t="s">
        <v>220</v>
      </c>
      <c r="S10" s="133"/>
      <c r="T10" s="148"/>
      <c r="V10" s="135"/>
      <c r="W10" s="135"/>
      <c r="X10" s="213"/>
      <c r="Z10" s="132" t="s">
        <v>899</v>
      </c>
      <c r="AA10" s="133"/>
      <c r="AB10" s="133"/>
      <c r="AD10" s="135"/>
      <c r="AE10" s="135"/>
      <c r="AF10" s="213"/>
      <c r="AH10" s="142" t="s">
        <v>1884</v>
      </c>
      <c r="AI10" s="133"/>
      <c r="AJ10" s="148"/>
      <c r="AL10" s="135" t="b">
        <v>1</v>
      </c>
      <c r="AM10" s="135" t="s">
        <v>342</v>
      </c>
      <c r="AN10" s="213"/>
      <c r="AP10" s="142" t="s">
        <v>1889</v>
      </c>
      <c r="AQ10" s="133"/>
      <c r="AR10" s="148"/>
      <c r="AV10" s="213"/>
      <c r="AX10" s="142" t="s">
        <v>1616</v>
      </c>
      <c r="AY10" s="133" t="s">
        <v>211</v>
      </c>
      <c r="AZ10" s="133">
        <v>0</v>
      </c>
      <c r="BA10" s="116">
        <v>10000</v>
      </c>
      <c r="BB10" s="135" t="b">
        <v>0</v>
      </c>
      <c r="BD10" s="213"/>
      <c r="BF10" s="142" t="s">
        <v>1623</v>
      </c>
      <c r="BG10" s="148" t="s">
        <v>254</v>
      </c>
      <c r="BH10" s="148">
        <v>-999</v>
      </c>
      <c r="BJ10" s="135" t="b">
        <v>0</v>
      </c>
      <c r="BL10" s="213"/>
      <c r="BN10" s="142" t="s">
        <v>1639</v>
      </c>
      <c r="BO10" s="133"/>
      <c r="BP10" s="140"/>
      <c r="BQ10" s="141"/>
      <c r="BS10" s="135" t="s">
        <v>279</v>
      </c>
      <c r="BT10" s="213"/>
      <c r="BV10" s="142" t="s">
        <v>1654</v>
      </c>
      <c r="BW10" s="133" t="s">
        <v>275</v>
      </c>
      <c r="BX10" s="99">
        <v>0</v>
      </c>
      <c r="BY10" s="99">
        <v>150000</v>
      </c>
      <c r="BZ10" s="135" t="b">
        <v>0</v>
      </c>
      <c r="CB10" s="213"/>
      <c r="CD10" s="142" t="s">
        <v>1657</v>
      </c>
      <c r="CE10" s="133"/>
      <c r="CF10" s="133"/>
      <c r="CJ10" s="213"/>
      <c r="CL10" s="142"/>
      <c r="CM10" s="133"/>
      <c r="CN10" s="148"/>
      <c r="CR10" s="213"/>
      <c r="CT10" s="142" t="s">
        <v>1660</v>
      </c>
      <c r="CU10" s="133" t="s">
        <v>40</v>
      </c>
      <c r="CV10" s="99">
        <v>0</v>
      </c>
      <c r="CW10" s="99">
        <v>100</v>
      </c>
      <c r="CX10" s="135" t="b">
        <v>0</v>
      </c>
      <c r="CZ10" s="213"/>
      <c r="DB10" s="142" t="s">
        <v>1665</v>
      </c>
      <c r="DC10" s="133"/>
      <c r="DD10" s="133"/>
      <c r="DG10" s="135" t="s">
        <v>159</v>
      </c>
      <c r="DH10" s="213"/>
      <c r="DJ10" s="142" t="s">
        <v>1675</v>
      </c>
      <c r="DK10" s="133" t="s">
        <v>40</v>
      </c>
      <c r="DL10" s="99">
        <v>0</v>
      </c>
      <c r="DM10" s="99">
        <v>100</v>
      </c>
      <c r="DN10" s="135" t="b">
        <v>0</v>
      </c>
      <c r="DP10" s="213"/>
      <c r="DR10" s="142" t="s">
        <v>1692</v>
      </c>
      <c r="DS10" s="99" t="s">
        <v>1977</v>
      </c>
      <c r="DT10" s="99">
        <v>0</v>
      </c>
      <c r="DU10" s="116">
        <v>1000</v>
      </c>
      <c r="DV10" s="135" t="b">
        <v>0</v>
      </c>
      <c r="DX10" s="213"/>
      <c r="DZ10" s="142" t="s">
        <v>1919</v>
      </c>
      <c r="EA10" s="99" t="s">
        <v>513</v>
      </c>
      <c r="EB10" s="99">
        <v>0</v>
      </c>
      <c r="ED10" s="135" t="b">
        <v>0</v>
      </c>
      <c r="EF10" s="213"/>
      <c r="EH10" s="142"/>
      <c r="EI10" s="133"/>
      <c r="EJ10" s="148"/>
      <c r="EN10" s="213"/>
      <c r="EP10" s="142" t="s">
        <v>1927</v>
      </c>
      <c r="EQ10" s="164" t="s">
        <v>1026</v>
      </c>
      <c r="ER10" s="148">
        <v>0</v>
      </c>
      <c r="ES10" s="116">
        <v>1</v>
      </c>
      <c r="ET10" s="135" t="b">
        <v>1</v>
      </c>
      <c r="EV10" s="213"/>
      <c r="EX10" s="142" t="s">
        <v>1761</v>
      </c>
      <c r="EY10" s="133" t="s">
        <v>118</v>
      </c>
      <c r="EZ10" s="148">
        <v>0</v>
      </c>
      <c r="FA10" s="116">
        <v>50000</v>
      </c>
      <c r="FB10" s="135" t="b">
        <v>0</v>
      </c>
      <c r="FD10" s="213"/>
      <c r="FF10" s="142" t="s">
        <v>1791</v>
      </c>
      <c r="FG10" s="133" t="s">
        <v>40</v>
      </c>
      <c r="FH10" s="148">
        <v>0</v>
      </c>
      <c r="FI10" s="116">
        <v>100</v>
      </c>
      <c r="FJ10" s="135" t="b">
        <v>0</v>
      </c>
      <c r="FL10" s="213"/>
      <c r="FN10" s="142" t="s">
        <v>1801</v>
      </c>
      <c r="FO10" s="133" t="s">
        <v>388</v>
      </c>
      <c r="FP10" s="148">
        <v>0</v>
      </c>
      <c r="FQ10" s="116">
        <v>1000</v>
      </c>
      <c r="FR10" s="135" t="b">
        <v>0</v>
      </c>
      <c r="FT10" s="213"/>
      <c r="FV10" s="142" t="s">
        <v>2010</v>
      </c>
      <c r="FW10" s="99" t="s">
        <v>388</v>
      </c>
      <c r="FX10" s="99">
        <v>0</v>
      </c>
      <c r="FY10" s="147">
        <v>1000</v>
      </c>
      <c r="FZ10" s="135" t="b">
        <v>0</v>
      </c>
      <c r="GB10" s="213"/>
      <c r="GD10" s="142" t="s">
        <v>1831</v>
      </c>
      <c r="GE10" s="133" t="s">
        <v>388</v>
      </c>
      <c r="GF10" s="99">
        <v>0</v>
      </c>
      <c r="GG10" s="99">
        <v>1000</v>
      </c>
      <c r="GH10" s="135" t="b">
        <v>0</v>
      </c>
      <c r="GJ10" s="213"/>
      <c r="GL10" s="142" t="s">
        <v>1851</v>
      </c>
      <c r="GM10" s="133" t="s">
        <v>5</v>
      </c>
      <c r="GN10" s="148">
        <v>0</v>
      </c>
      <c r="GO10" s="116">
        <v>50000</v>
      </c>
      <c r="GP10" s="135" t="b">
        <v>0</v>
      </c>
      <c r="GR10" s="213"/>
      <c r="GT10" s="142"/>
      <c r="GU10" s="133"/>
      <c r="GV10" s="148"/>
      <c r="GZ10" s="213"/>
    </row>
    <row r="11" spans="1:208" ht="14.4" x14ac:dyDescent="0.3">
      <c r="B11" s="139" t="s">
        <v>2025</v>
      </c>
      <c r="C11" s="133" t="s">
        <v>2026</v>
      </c>
      <c r="D11" s="133">
        <v>0</v>
      </c>
      <c r="E11" s="116">
        <v>100</v>
      </c>
      <c r="H11" s="213"/>
      <c r="I11" s="131"/>
      <c r="J11" s="142" t="s">
        <v>2001</v>
      </c>
      <c r="K11" s="148" t="s">
        <v>2002</v>
      </c>
      <c r="L11" s="148"/>
      <c r="N11" s="135"/>
      <c r="O11" s="135"/>
      <c r="P11" s="213"/>
      <c r="R11" s="142" t="s">
        <v>145</v>
      </c>
      <c r="S11" s="133"/>
      <c r="T11" s="148"/>
      <c r="V11" s="135"/>
      <c r="W11" s="135"/>
      <c r="X11" s="213"/>
      <c r="Z11" s="132" t="s">
        <v>900</v>
      </c>
      <c r="AA11" s="133"/>
      <c r="AB11" s="148"/>
      <c r="AD11" s="135"/>
      <c r="AE11" s="135"/>
      <c r="AF11" s="213"/>
      <c r="AH11" s="142" t="s">
        <v>1604</v>
      </c>
      <c r="AI11" s="133"/>
      <c r="AJ11" s="148"/>
      <c r="AL11" s="135" t="b">
        <v>1</v>
      </c>
      <c r="AM11" s="135" t="s">
        <v>378</v>
      </c>
      <c r="AN11" s="213"/>
      <c r="AP11" s="142" t="s">
        <v>577</v>
      </c>
      <c r="AQ11" s="133"/>
      <c r="AR11" s="148"/>
      <c r="AV11" s="213"/>
      <c r="AX11" s="142" t="s">
        <v>1617</v>
      </c>
      <c r="AY11" s="133" t="s">
        <v>251</v>
      </c>
      <c r="AZ11" s="148"/>
      <c r="BD11" s="213"/>
      <c r="BF11" s="142" t="s">
        <v>1624</v>
      </c>
      <c r="BG11" s="148" t="s">
        <v>40</v>
      </c>
      <c r="BH11" s="148">
        <v>0</v>
      </c>
      <c r="BI11" s="116">
        <v>100</v>
      </c>
      <c r="BJ11" s="135" t="b">
        <v>0</v>
      </c>
      <c r="BL11" s="213"/>
      <c r="BN11" s="142" t="s">
        <v>1640</v>
      </c>
      <c r="BO11" s="99" t="s">
        <v>275</v>
      </c>
      <c r="BT11" s="213"/>
      <c r="BV11" s="142" t="s">
        <v>1651</v>
      </c>
      <c r="BW11" s="133"/>
      <c r="BX11" s="148"/>
      <c r="CA11" s="135" t="s">
        <v>184</v>
      </c>
      <c r="CB11" s="213"/>
      <c r="CD11" s="142"/>
      <c r="CE11" s="133"/>
      <c r="CF11" s="148"/>
      <c r="CJ11" s="213"/>
      <c r="CL11" s="142"/>
      <c r="CM11" s="133"/>
      <c r="CN11" s="148"/>
      <c r="CR11" s="213"/>
      <c r="CT11" s="142" t="s">
        <v>1664</v>
      </c>
      <c r="CU11" s="133" t="s">
        <v>382</v>
      </c>
      <c r="CV11" s="99">
        <v>0</v>
      </c>
      <c r="CW11" s="99">
        <v>200</v>
      </c>
      <c r="CX11" s="135" t="b">
        <v>0</v>
      </c>
      <c r="CZ11" s="213"/>
      <c r="DB11" s="142" t="s">
        <v>1666</v>
      </c>
      <c r="DC11" s="133"/>
      <c r="DD11" s="148"/>
      <c r="DH11" s="213"/>
      <c r="DJ11" s="149" t="s">
        <v>1676</v>
      </c>
      <c r="DK11" s="116" t="s">
        <v>1566</v>
      </c>
      <c r="DL11" s="116">
        <v>0</v>
      </c>
      <c r="DM11" s="116">
        <v>3</v>
      </c>
      <c r="DN11" s="135" t="b">
        <v>0</v>
      </c>
      <c r="DP11" s="213"/>
      <c r="DR11" s="142" t="s">
        <v>1693</v>
      </c>
      <c r="DS11" s="99" t="s">
        <v>1976</v>
      </c>
      <c r="DT11" s="99">
        <v>0</v>
      </c>
      <c r="DU11" s="116">
        <v>1000</v>
      </c>
      <c r="DV11" s="135" t="b">
        <v>0</v>
      </c>
      <c r="DX11" s="213"/>
      <c r="DZ11" s="142" t="s">
        <v>1920</v>
      </c>
      <c r="EA11" s="99" t="s">
        <v>512</v>
      </c>
      <c r="EB11" s="99">
        <v>0</v>
      </c>
      <c r="ED11" s="135" t="b">
        <v>0</v>
      </c>
      <c r="EF11" s="213"/>
      <c r="EH11" s="142"/>
      <c r="EI11" s="133"/>
      <c r="EJ11" s="148"/>
      <c r="EN11" s="213"/>
      <c r="EP11" s="142" t="s">
        <v>1928</v>
      </c>
      <c r="EQ11" s="164" t="s">
        <v>1027</v>
      </c>
      <c r="ER11" s="148">
        <v>-1900</v>
      </c>
      <c r="ES11" s="116">
        <v>200000</v>
      </c>
      <c r="ET11" s="135" t="b">
        <v>0</v>
      </c>
      <c r="EV11" s="213"/>
      <c r="EX11" s="142" t="s">
        <v>1935</v>
      </c>
      <c r="EY11" s="133" t="s">
        <v>1549</v>
      </c>
      <c r="EZ11" s="148">
        <v>0</v>
      </c>
      <c r="FA11" s="116">
        <v>5650</v>
      </c>
      <c r="FB11" s="135" t="b">
        <v>0</v>
      </c>
      <c r="FD11" s="213"/>
      <c r="FF11" s="142" t="s">
        <v>1792</v>
      </c>
      <c r="FG11" s="148" t="s">
        <v>119</v>
      </c>
      <c r="FH11" s="148">
        <v>0</v>
      </c>
      <c r="FI11" s="116">
        <v>25000</v>
      </c>
      <c r="FJ11" s="135" t="b">
        <v>0</v>
      </c>
      <c r="FL11" s="213"/>
      <c r="FN11" s="142" t="s">
        <v>1802</v>
      </c>
      <c r="FO11" s="133" t="s">
        <v>388</v>
      </c>
      <c r="FP11" s="148">
        <v>0</v>
      </c>
      <c r="FQ11" s="116">
        <v>1000</v>
      </c>
      <c r="FR11" s="135" t="b">
        <v>0</v>
      </c>
      <c r="FT11" s="213"/>
      <c r="FV11" s="142" t="s">
        <v>1950</v>
      </c>
      <c r="FW11" s="99" t="s">
        <v>539</v>
      </c>
      <c r="FX11" s="99">
        <v>0</v>
      </c>
      <c r="FZ11" s="135" t="b">
        <v>0</v>
      </c>
      <c r="GB11" s="213"/>
      <c r="GD11" s="142" t="s">
        <v>1832</v>
      </c>
      <c r="GE11" s="133" t="s">
        <v>388</v>
      </c>
      <c r="GF11" s="99">
        <v>0</v>
      </c>
      <c r="GG11" s="99">
        <v>1000</v>
      </c>
      <c r="GH11" s="135" t="b">
        <v>0</v>
      </c>
      <c r="GJ11" s="213"/>
      <c r="GL11" s="142" t="s">
        <v>1853</v>
      </c>
      <c r="GM11" s="133" t="s">
        <v>5</v>
      </c>
      <c r="GN11" s="148">
        <v>0</v>
      </c>
      <c r="GO11" s="116">
        <v>50000</v>
      </c>
      <c r="GP11" s="135" t="b">
        <v>0</v>
      </c>
      <c r="GR11" s="213"/>
      <c r="GT11" s="142"/>
      <c r="GU11" s="133"/>
      <c r="GV11" s="148"/>
      <c r="GZ11" s="213"/>
    </row>
    <row r="12" spans="1:208" ht="14.4" x14ac:dyDescent="0.3">
      <c r="B12" s="142"/>
      <c r="D12" s="148"/>
      <c r="F12" s="135"/>
      <c r="G12" s="135"/>
      <c r="H12" s="213"/>
      <c r="I12" s="131"/>
      <c r="J12" s="142" t="s">
        <v>1579</v>
      </c>
      <c r="K12" s="148" t="s">
        <v>187</v>
      </c>
      <c r="L12" s="148"/>
      <c r="P12" s="213"/>
      <c r="R12" s="142" t="s">
        <v>1590</v>
      </c>
      <c r="V12" s="135" t="b">
        <v>0</v>
      </c>
      <c r="W12" s="135"/>
      <c r="X12" s="213"/>
      <c r="Z12" s="132" t="s">
        <v>1597</v>
      </c>
      <c r="AA12" s="133"/>
      <c r="AB12" s="148"/>
      <c r="AD12" s="135"/>
      <c r="AE12" s="135"/>
      <c r="AF12" s="213"/>
      <c r="AH12" s="142" t="s">
        <v>996</v>
      </c>
      <c r="AI12" s="133"/>
      <c r="AJ12" s="148"/>
      <c r="AL12" s="135" t="b">
        <v>1</v>
      </c>
      <c r="AM12" s="135" t="s">
        <v>70</v>
      </c>
      <c r="AN12" s="213"/>
      <c r="AP12" s="142" t="s">
        <v>1890</v>
      </c>
      <c r="AQ12" s="133"/>
      <c r="AR12" s="148"/>
      <c r="AV12" s="213"/>
      <c r="AX12" s="142" t="s">
        <v>1618</v>
      </c>
      <c r="AY12" s="133"/>
      <c r="AZ12" s="148"/>
      <c r="BD12" s="213"/>
      <c r="BF12" s="142" t="s">
        <v>1891</v>
      </c>
      <c r="BG12" s="148" t="s">
        <v>1013</v>
      </c>
      <c r="BH12" s="148">
        <v>-35</v>
      </c>
      <c r="BI12" s="116">
        <v>40</v>
      </c>
      <c r="BJ12" s="135" t="b">
        <v>0</v>
      </c>
      <c r="BL12" s="213"/>
      <c r="BN12" s="142" t="s">
        <v>1641</v>
      </c>
      <c r="BO12" s="164" t="s">
        <v>91</v>
      </c>
      <c r="BP12" s="99">
        <v>0</v>
      </c>
      <c r="BQ12" s="99">
        <v>500</v>
      </c>
      <c r="BR12" s="135" t="b">
        <v>0</v>
      </c>
      <c r="BT12" s="213"/>
      <c r="BV12" s="142" t="s">
        <v>1653</v>
      </c>
      <c r="BW12" s="133" t="s">
        <v>46</v>
      </c>
      <c r="BX12" s="99">
        <v>0</v>
      </c>
      <c r="BY12" s="99">
        <v>50</v>
      </c>
      <c r="BZ12" s="135" t="b">
        <v>0</v>
      </c>
      <c r="CB12" s="213"/>
      <c r="CD12" s="142"/>
      <c r="CE12" s="133"/>
      <c r="CF12" s="148"/>
      <c r="CJ12" s="213"/>
      <c r="CL12" s="142"/>
      <c r="CM12" s="133"/>
      <c r="CN12" s="148"/>
      <c r="CR12" s="213"/>
      <c r="CT12" s="142" t="s">
        <v>1661</v>
      </c>
      <c r="CU12" s="133"/>
      <c r="CV12" s="148"/>
      <c r="CY12" s="135" t="s">
        <v>76</v>
      </c>
      <c r="CZ12" s="213"/>
      <c r="DB12" s="142" t="s">
        <v>1668</v>
      </c>
      <c r="DC12" s="133" t="s">
        <v>177</v>
      </c>
      <c r="DD12" s="99">
        <v>0</v>
      </c>
      <c r="DE12" s="99">
        <v>10</v>
      </c>
      <c r="DF12" s="135" t="b">
        <v>0</v>
      </c>
      <c r="DH12" s="213"/>
      <c r="DJ12" s="142" t="s">
        <v>1677</v>
      </c>
      <c r="DK12" s="133" t="s">
        <v>245</v>
      </c>
      <c r="DL12" s="99">
        <v>2</v>
      </c>
      <c r="DM12" s="99">
        <v>20</v>
      </c>
      <c r="DN12" s="135" t="b">
        <v>0</v>
      </c>
      <c r="DP12" s="213"/>
      <c r="DR12" s="142" t="s">
        <v>1899</v>
      </c>
      <c r="DS12" s="99" t="s">
        <v>1976</v>
      </c>
      <c r="DT12" s="99">
        <v>0</v>
      </c>
      <c r="DU12" s="116">
        <v>1000</v>
      </c>
      <c r="DV12" s="135" t="b">
        <v>0</v>
      </c>
      <c r="DX12" s="213"/>
      <c r="DZ12" s="142" t="s">
        <v>1730</v>
      </c>
      <c r="EA12" s="151" t="s">
        <v>1567</v>
      </c>
      <c r="EB12" s="99">
        <v>0</v>
      </c>
      <c r="ED12" s="135" t="b">
        <v>0</v>
      </c>
      <c r="EF12" s="213"/>
      <c r="EH12" s="142"/>
      <c r="EI12" s="133"/>
      <c r="EJ12" s="148"/>
      <c r="EN12" s="213"/>
      <c r="EP12" s="142" t="s">
        <v>1929</v>
      </c>
      <c r="EQ12" s="164" t="s">
        <v>1027</v>
      </c>
      <c r="ER12" s="148">
        <v>0</v>
      </c>
      <c r="ES12" s="116">
        <v>1</v>
      </c>
      <c r="ET12" s="135" t="b">
        <v>1</v>
      </c>
      <c r="EV12" s="213"/>
      <c r="EX12" s="142" t="s">
        <v>1763</v>
      </c>
      <c r="EY12" s="133" t="s">
        <v>118</v>
      </c>
      <c r="EZ12" s="148">
        <v>0</v>
      </c>
      <c r="FA12" s="116">
        <v>50000</v>
      </c>
      <c r="FB12" s="135" t="b">
        <v>0</v>
      </c>
      <c r="FD12" s="213"/>
      <c r="FF12" s="142" t="s">
        <v>1938</v>
      </c>
      <c r="FG12" s="148" t="s">
        <v>91</v>
      </c>
      <c r="FH12" s="148">
        <v>0</v>
      </c>
      <c r="FI12" s="116">
        <v>10000</v>
      </c>
      <c r="FJ12" s="135" t="b">
        <v>0</v>
      </c>
      <c r="FL12" s="213"/>
      <c r="FN12" s="142" t="s">
        <v>1803</v>
      </c>
      <c r="FO12" s="133" t="s">
        <v>388</v>
      </c>
      <c r="FP12" s="148">
        <v>0</v>
      </c>
      <c r="FQ12" s="116">
        <v>1000</v>
      </c>
      <c r="FR12" s="135" t="b">
        <v>0</v>
      </c>
      <c r="FT12" s="213"/>
      <c r="FV12" s="149" t="s">
        <v>1828</v>
      </c>
      <c r="FW12" s="99" t="s">
        <v>388</v>
      </c>
      <c r="FX12" s="99">
        <v>0</v>
      </c>
      <c r="FY12" s="147">
        <v>1000</v>
      </c>
      <c r="FZ12" s="135" t="b">
        <v>0</v>
      </c>
      <c r="GB12" s="213"/>
      <c r="GD12" s="142" t="s">
        <v>1833</v>
      </c>
      <c r="GE12" s="133" t="s">
        <v>388</v>
      </c>
      <c r="GF12" s="99">
        <v>0</v>
      </c>
      <c r="GG12" s="99">
        <v>1000</v>
      </c>
      <c r="GH12" s="135" t="b">
        <v>0</v>
      </c>
      <c r="GJ12" s="213"/>
      <c r="GL12" s="142" t="s">
        <v>1969</v>
      </c>
      <c r="GM12" s="133" t="s">
        <v>11</v>
      </c>
      <c r="GN12" s="148">
        <v>0</v>
      </c>
      <c r="GO12" s="116">
        <v>10</v>
      </c>
      <c r="GP12" s="135" t="b">
        <v>0</v>
      </c>
      <c r="GR12" s="213"/>
      <c r="GT12" s="142"/>
      <c r="GU12" s="133"/>
      <c r="GV12" s="148"/>
      <c r="GZ12" s="213"/>
    </row>
    <row r="13" spans="1:208" ht="14.4" x14ac:dyDescent="0.3">
      <c r="B13" s="142"/>
      <c r="D13" s="148"/>
      <c r="F13" s="135"/>
      <c r="G13" s="135"/>
      <c r="H13" s="213"/>
      <c r="I13" s="131"/>
      <c r="J13" s="159" t="s">
        <v>1585</v>
      </c>
      <c r="K13" s="148" t="s">
        <v>187</v>
      </c>
      <c r="L13" s="148"/>
      <c r="N13" s="135"/>
      <c r="O13" s="135"/>
      <c r="P13" s="213"/>
      <c r="R13" s="142" t="s">
        <v>146</v>
      </c>
      <c r="S13" s="133"/>
      <c r="T13" s="133"/>
      <c r="V13" s="135"/>
      <c r="W13" s="135"/>
      <c r="X13" s="213"/>
      <c r="Z13" s="142"/>
      <c r="AA13" s="133"/>
      <c r="AB13" s="148"/>
      <c r="AD13" s="135"/>
      <c r="AE13" s="135"/>
      <c r="AF13" s="213"/>
      <c r="AH13" s="142" t="s">
        <v>36</v>
      </c>
      <c r="AI13" s="133"/>
      <c r="AJ13" s="133"/>
      <c r="AL13" s="135" t="b">
        <v>1</v>
      </c>
      <c r="AM13" s="135" t="s">
        <v>1291</v>
      </c>
      <c r="AN13" s="213"/>
      <c r="AP13" s="142" t="s">
        <v>1637</v>
      </c>
      <c r="AQ13" s="136"/>
      <c r="AR13" s="136"/>
      <c r="AS13" s="138"/>
      <c r="AT13" s="135" t="b">
        <v>1</v>
      </c>
      <c r="AV13" s="213"/>
      <c r="AX13" s="142"/>
      <c r="AY13" s="133"/>
      <c r="AZ13" s="133"/>
      <c r="BD13" s="213"/>
      <c r="BF13" s="142" t="s">
        <v>1626</v>
      </c>
      <c r="BG13" s="148" t="s">
        <v>42</v>
      </c>
      <c r="BH13" s="148">
        <v>0</v>
      </c>
      <c r="BI13" s="116">
        <v>30</v>
      </c>
      <c r="BJ13" s="135" t="b">
        <v>0</v>
      </c>
      <c r="BL13" s="213"/>
      <c r="BN13" s="142" t="s">
        <v>1643</v>
      </c>
      <c r="BO13" s="164" t="s">
        <v>185</v>
      </c>
      <c r="BP13" s="99">
        <v>0</v>
      </c>
      <c r="BQ13" s="99">
        <v>500</v>
      </c>
      <c r="BR13" s="135" t="b">
        <v>0</v>
      </c>
      <c r="BT13" s="213"/>
      <c r="BV13" s="142" t="s">
        <v>1652</v>
      </c>
      <c r="BW13" s="133" t="s">
        <v>46</v>
      </c>
      <c r="BX13" s="99">
        <v>0</v>
      </c>
      <c r="BY13" s="99">
        <v>110</v>
      </c>
      <c r="BZ13" s="135" t="b">
        <v>0</v>
      </c>
      <c r="CB13" s="213"/>
      <c r="CD13" s="142"/>
      <c r="CE13" s="133"/>
      <c r="CF13" s="133"/>
      <c r="CJ13" s="213"/>
      <c r="CL13" s="142"/>
      <c r="CM13" s="133"/>
      <c r="CN13" s="133"/>
      <c r="CR13" s="213"/>
      <c r="CT13" s="142"/>
      <c r="CU13" s="133"/>
      <c r="CV13" s="133"/>
      <c r="CZ13" s="213"/>
      <c r="DB13" s="142" t="s">
        <v>1667</v>
      </c>
      <c r="DC13" s="133"/>
      <c r="DD13" s="148"/>
      <c r="DG13" s="135" t="s">
        <v>508</v>
      </c>
      <c r="DH13" s="213"/>
      <c r="DJ13" s="142" t="s">
        <v>1678</v>
      </c>
      <c r="DK13" s="133" t="s">
        <v>245</v>
      </c>
      <c r="DL13" s="99">
        <v>5</v>
      </c>
      <c r="DM13" s="99">
        <v>50</v>
      </c>
      <c r="DN13" s="135" t="b">
        <v>0</v>
      </c>
      <c r="DP13" s="213"/>
      <c r="DR13" s="142" t="s">
        <v>1694</v>
      </c>
      <c r="DS13" s="99" t="s">
        <v>1976</v>
      </c>
      <c r="DT13" s="99">
        <v>0</v>
      </c>
      <c r="DU13" s="116">
        <v>1000</v>
      </c>
      <c r="DV13" s="135" t="b">
        <v>0</v>
      </c>
      <c r="DX13" s="213"/>
      <c r="DZ13" s="149" t="s">
        <v>1731</v>
      </c>
      <c r="EF13" s="213"/>
      <c r="EH13" s="142"/>
      <c r="EI13" s="133"/>
      <c r="EJ13" s="133"/>
      <c r="EN13" s="213"/>
      <c r="EP13" s="142" t="s">
        <v>1930</v>
      </c>
      <c r="EQ13" s="164" t="s">
        <v>1027</v>
      </c>
      <c r="ER13" s="133">
        <v>-10000</v>
      </c>
      <c r="ES13" s="116">
        <v>10000</v>
      </c>
      <c r="ET13" s="135" t="b">
        <v>0</v>
      </c>
      <c r="EV13" s="213"/>
      <c r="EX13" s="142" t="s">
        <v>1764</v>
      </c>
      <c r="EY13" s="133" t="s">
        <v>40</v>
      </c>
      <c r="EZ13" s="133">
        <v>0</v>
      </c>
      <c r="FA13" s="116">
        <v>100</v>
      </c>
      <c r="FB13" s="135" t="b">
        <v>0</v>
      </c>
      <c r="FD13" s="213"/>
      <c r="FF13" s="142" t="s">
        <v>1799</v>
      </c>
      <c r="FG13" s="133" t="s">
        <v>1549</v>
      </c>
      <c r="FH13" s="133">
        <v>0</v>
      </c>
      <c r="FI13" s="116">
        <v>1000</v>
      </c>
      <c r="FJ13" s="135" t="b">
        <v>0</v>
      </c>
      <c r="FL13" s="213"/>
      <c r="FN13" s="142" t="s">
        <v>1804</v>
      </c>
      <c r="FO13" s="133" t="s">
        <v>388</v>
      </c>
      <c r="FP13" s="133">
        <v>0</v>
      </c>
      <c r="FQ13" s="116">
        <v>1000</v>
      </c>
      <c r="FR13" s="135" t="b">
        <v>0</v>
      </c>
      <c r="FT13" s="213"/>
      <c r="FV13" s="149" t="s">
        <v>2011</v>
      </c>
      <c r="FW13" s="99" t="s">
        <v>388</v>
      </c>
      <c r="FX13" s="99">
        <v>0</v>
      </c>
      <c r="FY13" s="147">
        <v>1000</v>
      </c>
      <c r="FZ13" s="135" t="b">
        <v>0</v>
      </c>
      <c r="GB13" s="213"/>
      <c r="GD13" s="142" t="s">
        <v>1834</v>
      </c>
      <c r="GE13" s="133" t="s">
        <v>388</v>
      </c>
      <c r="GF13" s="99">
        <v>0</v>
      </c>
      <c r="GG13" s="99">
        <v>1000</v>
      </c>
      <c r="GH13" s="135" t="b">
        <v>0</v>
      </c>
      <c r="GJ13" s="213"/>
      <c r="GL13" s="142" t="s">
        <v>1854</v>
      </c>
      <c r="GM13" s="133" t="s">
        <v>13</v>
      </c>
      <c r="GN13" s="133">
        <v>0</v>
      </c>
      <c r="GO13" s="116">
        <v>100</v>
      </c>
      <c r="GP13" s="135" t="b">
        <v>0</v>
      </c>
      <c r="GR13" s="213"/>
      <c r="GT13" s="142"/>
      <c r="GU13" s="133"/>
      <c r="GV13" s="133"/>
      <c r="GZ13" s="213"/>
    </row>
    <row r="14" spans="1:208" ht="14.4" x14ac:dyDescent="0.3">
      <c r="B14" s="142"/>
      <c r="F14" s="135"/>
      <c r="G14" s="135"/>
      <c r="H14" s="213"/>
      <c r="I14" s="131"/>
      <c r="J14" s="149" t="s">
        <v>2024</v>
      </c>
      <c r="N14" s="135"/>
      <c r="O14" s="135"/>
      <c r="P14" s="213"/>
      <c r="R14" s="142" t="s">
        <v>222</v>
      </c>
      <c r="S14" s="133"/>
      <c r="T14" s="152"/>
      <c r="V14" s="135"/>
      <c r="W14" s="135"/>
      <c r="X14" s="213"/>
      <c r="Z14" s="142"/>
      <c r="AA14" s="133"/>
      <c r="AB14" s="133"/>
      <c r="AD14" s="135"/>
      <c r="AE14" s="135"/>
      <c r="AF14" s="213"/>
      <c r="AH14" s="142" t="s">
        <v>999</v>
      </c>
      <c r="AI14" s="133"/>
      <c r="AJ14" s="152"/>
      <c r="AL14" s="135" t="b">
        <v>1</v>
      </c>
      <c r="AN14" s="213"/>
      <c r="AP14" s="142" t="s">
        <v>1598</v>
      </c>
      <c r="AQ14" s="153"/>
      <c r="AR14" s="154"/>
      <c r="AS14" s="155"/>
      <c r="AT14" s="135" t="b">
        <v>1</v>
      </c>
      <c r="AU14" s="135" t="s">
        <v>152</v>
      </c>
      <c r="AV14" s="213"/>
      <c r="AX14" s="142"/>
      <c r="AY14" s="133"/>
      <c r="AZ14" s="152"/>
      <c r="BD14" s="213"/>
      <c r="BF14" s="142" t="s">
        <v>1627</v>
      </c>
      <c r="BG14" s="148" t="s">
        <v>1568</v>
      </c>
      <c r="BH14" s="148">
        <v>0</v>
      </c>
      <c r="BI14" s="116">
        <v>55</v>
      </c>
      <c r="BJ14" s="135" t="b">
        <v>0</v>
      </c>
      <c r="BL14" s="213"/>
      <c r="BN14" s="142" t="s">
        <v>1644</v>
      </c>
      <c r="BO14" s="164" t="s">
        <v>186</v>
      </c>
      <c r="BP14" s="99">
        <v>0</v>
      </c>
      <c r="BQ14" s="99">
        <v>500</v>
      </c>
      <c r="BR14" s="135" t="b">
        <v>0</v>
      </c>
      <c r="BT14" s="213"/>
      <c r="BV14" s="142"/>
      <c r="BW14" s="133"/>
      <c r="BX14" s="152"/>
      <c r="CB14" s="213"/>
      <c r="CD14" s="142"/>
      <c r="CE14" s="133"/>
      <c r="CF14" s="152"/>
      <c r="CJ14" s="213"/>
      <c r="CL14" s="142"/>
      <c r="CM14" s="133"/>
      <c r="CN14" s="152"/>
      <c r="CR14" s="213"/>
      <c r="CT14" s="142"/>
      <c r="CU14" s="133"/>
      <c r="CV14" s="152"/>
      <c r="CZ14" s="213"/>
      <c r="DB14" s="142"/>
      <c r="DC14" s="133"/>
      <c r="DD14" s="152"/>
      <c r="DH14" s="213"/>
      <c r="DJ14" s="142" t="s">
        <v>1679</v>
      </c>
      <c r="DK14" s="133" t="s">
        <v>44</v>
      </c>
      <c r="DL14" s="99">
        <v>0</v>
      </c>
      <c r="DM14" s="156">
        <v>1000</v>
      </c>
      <c r="DN14" s="135" t="b">
        <v>0</v>
      </c>
      <c r="DP14" s="213"/>
      <c r="DR14" s="142" t="s">
        <v>1695</v>
      </c>
      <c r="DS14" s="99" t="s">
        <v>47</v>
      </c>
      <c r="DT14" s="99">
        <v>0</v>
      </c>
      <c r="DV14" s="135" t="b">
        <v>0</v>
      </c>
      <c r="DX14" s="213"/>
      <c r="DZ14" s="142" t="s">
        <v>1921</v>
      </c>
      <c r="EA14" s="133"/>
      <c r="EB14" s="133"/>
      <c r="EE14" s="135" t="s">
        <v>1291</v>
      </c>
      <c r="EF14" s="213"/>
      <c r="EH14" s="142"/>
      <c r="EI14" s="133"/>
      <c r="EJ14" s="152"/>
      <c r="EN14" s="213"/>
      <c r="EP14" s="142" t="s">
        <v>1931</v>
      </c>
      <c r="EQ14" s="164" t="s">
        <v>1027</v>
      </c>
      <c r="ER14" s="152">
        <v>0</v>
      </c>
      <c r="ES14" s="116">
        <v>1</v>
      </c>
      <c r="ET14" s="135" t="b">
        <v>1</v>
      </c>
      <c r="EV14" s="213"/>
      <c r="EX14" s="142" t="s">
        <v>1765</v>
      </c>
      <c r="EY14" s="133" t="s">
        <v>119</v>
      </c>
      <c r="EZ14" s="152">
        <v>0</v>
      </c>
      <c r="FA14" s="116">
        <v>25000</v>
      </c>
      <c r="FB14" s="135" t="b">
        <v>0</v>
      </c>
      <c r="FD14" s="213"/>
      <c r="FF14" s="142" t="s">
        <v>1794</v>
      </c>
      <c r="FG14" s="133" t="s">
        <v>275</v>
      </c>
      <c r="FH14" s="152">
        <v>0</v>
      </c>
      <c r="FI14" s="147">
        <v>50000</v>
      </c>
      <c r="FJ14" s="135" t="b">
        <v>0</v>
      </c>
      <c r="FL14" s="213"/>
      <c r="FN14" s="142" t="s">
        <v>1805</v>
      </c>
      <c r="FO14" s="133" t="s">
        <v>388</v>
      </c>
      <c r="FP14" s="152">
        <v>0</v>
      </c>
      <c r="FQ14" s="116">
        <v>1000</v>
      </c>
      <c r="FR14" s="135" t="b">
        <v>0</v>
      </c>
      <c r="FT14" s="213"/>
      <c r="FV14" s="149" t="s">
        <v>1951</v>
      </c>
      <c r="FW14" s="99" t="s">
        <v>539</v>
      </c>
      <c r="FX14" s="99">
        <v>0</v>
      </c>
      <c r="FZ14" s="135" t="b">
        <v>0</v>
      </c>
      <c r="GB14" s="213"/>
      <c r="GD14" s="142" t="s">
        <v>1835</v>
      </c>
      <c r="GE14" s="133" t="s">
        <v>388</v>
      </c>
      <c r="GF14" s="99">
        <v>0</v>
      </c>
      <c r="GG14" s="99">
        <v>1000</v>
      </c>
      <c r="GH14" s="135" t="b">
        <v>0</v>
      </c>
      <c r="GJ14" s="213"/>
      <c r="GL14" s="142" t="s">
        <v>1858</v>
      </c>
      <c r="GM14" s="133" t="s">
        <v>16</v>
      </c>
      <c r="GN14" s="152">
        <v>0</v>
      </c>
      <c r="GO14" s="116">
        <v>100</v>
      </c>
      <c r="GP14" s="135" t="b">
        <v>0</v>
      </c>
      <c r="GR14" s="213"/>
      <c r="GT14" s="142"/>
      <c r="GU14" s="133"/>
      <c r="GV14" s="152"/>
      <c r="GZ14" s="213"/>
    </row>
    <row r="15" spans="1:208" ht="14.4" x14ac:dyDescent="0.3">
      <c r="B15" s="142"/>
      <c r="D15" s="152"/>
      <c r="F15" s="135"/>
      <c r="G15" s="135"/>
      <c r="H15" s="213"/>
      <c r="I15" s="131"/>
      <c r="J15" s="142" t="s">
        <v>1580</v>
      </c>
      <c r="K15" s="148" t="s">
        <v>211</v>
      </c>
      <c r="L15" s="148"/>
      <c r="N15" s="135"/>
      <c r="O15" s="135"/>
      <c r="P15" s="213"/>
      <c r="R15" s="142" t="s">
        <v>147</v>
      </c>
      <c r="S15" s="133"/>
      <c r="T15" s="152"/>
      <c r="U15" s="147"/>
      <c r="V15" s="135"/>
      <c r="W15" s="135"/>
      <c r="X15" s="213"/>
      <c r="Z15" s="142"/>
      <c r="AA15" s="133"/>
      <c r="AB15" s="152"/>
      <c r="AD15" s="135"/>
      <c r="AE15" s="135"/>
      <c r="AF15" s="213"/>
      <c r="AH15" s="142" t="s">
        <v>1605</v>
      </c>
      <c r="AI15" s="133"/>
      <c r="AJ15" s="152"/>
      <c r="AK15" s="147"/>
      <c r="AL15" s="135" t="b">
        <v>1</v>
      </c>
      <c r="AM15" s="135" t="s">
        <v>155</v>
      </c>
      <c r="AN15" s="213"/>
      <c r="AP15" s="142" t="s">
        <v>1578</v>
      </c>
      <c r="AQ15" s="133"/>
      <c r="AR15" s="157"/>
      <c r="AS15" s="141"/>
      <c r="AU15" s="135" t="s">
        <v>1050</v>
      </c>
      <c r="AV15" s="213"/>
      <c r="AX15" s="142"/>
      <c r="AY15" s="133"/>
      <c r="AZ15" s="152"/>
      <c r="BA15" s="147"/>
      <c r="BD15" s="213"/>
      <c r="BF15" s="142" t="s">
        <v>1628</v>
      </c>
      <c r="BG15" s="148" t="s">
        <v>1568</v>
      </c>
      <c r="BH15" s="152">
        <v>0</v>
      </c>
      <c r="BI15" s="116">
        <v>55</v>
      </c>
      <c r="BJ15" s="135" t="b">
        <v>0</v>
      </c>
      <c r="BL15" s="213"/>
      <c r="BN15" s="142" t="s">
        <v>1645</v>
      </c>
      <c r="BO15" s="148" t="s">
        <v>1569</v>
      </c>
      <c r="BP15" s="133">
        <v>0</v>
      </c>
      <c r="BR15" s="135" t="b">
        <v>0</v>
      </c>
      <c r="BT15" s="213"/>
      <c r="BV15" s="142"/>
      <c r="BW15" s="133"/>
      <c r="BX15" s="152"/>
      <c r="BY15" s="147"/>
      <c r="CB15" s="213"/>
      <c r="CD15" s="142"/>
      <c r="CE15" s="133"/>
      <c r="CF15" s="152"/>
      <c r="CG15" s="147"/>
      <c r="CJ15" s="213"/>
      <c r="CL15" s="142"/>
      <c r="CM15" s="133"/>
      <c r="CN15" s="152"/>
      <c r="CO15" s="147"/>
      <c r="CR15" s="213"/>
      <c r="CT15" s="142"/>
      <c r="CU15" s="133"/>
      <c r="CV15" s="152"/>
      <c r="CW15" s="147"/>
      <c r="CZ15" s="213"/>
      <c r="DB15" s="142"/>
      <c r="DC15" s="133"/>
      <c r="DD15" s="152"/>
      <c r="DE15" s="147"/>
      <c r="DH15" s="213"/>
      <c r="DJ15" s="142" t="s">
        <v>1680</v>
      </c>
      <c r="DK15" s="99" t="s">
        <v>133</v>
      </c>
      <c r="DL15" s="152"/>
      <c r="DM15" s="147"/>
      <c r="DN15" s="135" t="b">
        <v>0</v>
      </c>
      <c r="DO15" s="135" t="s">
        <v>1291</v>
      </c>
      <c r="DP15" s="213"/>
      <c r="DR15" s="142" t="s">
        <v>1696</v>
      </c>
      <c r="DS15" s="164" t="s">
        <v>1011</v>
      </c>
      <c r="DT15" s="99">
        <v>0</v>
      </c>
      <c r="DU15" s="116">
        <v>1</v>
      </c>
      <c r="DV15" s="135" t="b">
        <v>0</v>
      </c>
      <c r="DX15" s="213"/>
      <c r="DZ15" s="142" t="s">
        <v>798</v>
      </c>
      <c r="EA15" s="133"/>
      <c r="EB15" s="152"/>
      <c r="EE15" s="135" t="s">
        <v>1291</v>
      </c>
      <c r="EF15" s="213"/>
      <c r="EH15" s="142"/>
      <c r="EI15" s="133"/>
      <c r="EJ15" s="152"/>
      <c r="EK15" s="147"/>
      <c r="EN15" s="213"/>
      <c r="EP15" s="142" t="s">
        <v>1750</v>
      </c>
      <c r="EQ15" s="148" t="s">
        <v>1013</v>
      </c>
      <c r="ER15" s="152">
        <v>-20</v>
      </c>
      <c r="ES15" s="147">
        <v>40</v>
      </c>
      <c r="ET15" s="135" t="b">
        <v>0</v>
      </c>
      <c r="EV15" s="213"/>
      <c r="EX15" s="142" t="s">
        <v>1766</v>
      </c>
      <c r="EY15" s="133" t="s">
        <v>91</v>
      </c>
      <c r="EZ15" s="152">
        <v>0</v>
      </c>
      <c r="FA15" s="147">
        <v>10000</v>
      </c>
      <c r="FB15" s="135" t="b">
        <v>0</v>
      </c>
      <c r="FD15" s="213"/>
      <c r="FF15" s="142" t="s">
        <v>1795</v>
      </c>
      <c r="FG15" s="133" t="s">
        <v>40</v>
      </c>
      <c r="FH15" s="133">
        <v>0</v>
      </c>
      <c r="FI15" s="147">
        <v>100</v>
      </c>
      <c r="FJ15" s="135" t="b">
        <v>0</v>
      </c>
      <c r="FL15" s="213"/>
      <c r="FN15" s="142" t="s">
        <v>1942</v>
      </c>
      <c r="FO15" s="133" t="s">
        <v>388</v>
      </c>
      <c r="FP15" s="152">
        <v>0</v>
      </c>
      <c r="FQ15" s="116">
        <v>1000</v>
      </c>
      <c r="FR15" s="135" t="b">
        <v>0</v>
      </c>
      <c r="FT15" s="213"/>
      <c r="FV15" s="149"/>
      <c r="FW15" s="99"/>
      <c r="FX15" s="99"/>
      <c r="GB15" s="213"/>
      <c r="GD15" s="142" t="s">
        <v>1836</v>
      </c>
      <c r="GE15" s="133" t="s">
        <v>388</v>
      </c>
      <c r="GF15" s="99">
        <v>0</v>
      </c>
      <c r="GG15" s="99">
        <v>1000</v>
      </c>
      <c r="GH15" s="135" t="b">
        <v>0</v>
      </c>
      <c r="GJ15" s="213"/>
      <c r="GL15" s="142" t="s">
        <v>1855</v>
      </c>
      <c r="GM15" s="133" t="s">
        <v>18</v>
      </c>
      <c r="GN15" s="152">
        <v>0</v>
      </c>
      <c r="GO15" s="147">
        <v>100</v>
      </c>
      <c r="GP15" s="135" t="b">
        <v>0</v>
      </c>
      <c r="GR15" s="213"/>
      <c r="GT15" s="142"/>
      <c r="GU15" s="133"/>
      <c r="GV15" s="152"/>
      <c r="GW15" s="147"/>
      <c r="GZ15" s="213"/>
    </row>
    <row r="16" spans="1:208" ht="14.4" x14ac:dyDescent="0.3">
      <c r="B16" s="142"/>
      <c r="D16" s="152"/>
      <c r="E16" s="147"/>
      <c r="F16" s="135"/>
      <c r="G16" s="135"/>
      <c r="H16" s="213"/>
      <c r="I16" s="131"/>
      <c r="J16" s="142" t="s">
        <v>1581</v>
      </c>
      <c r="K16" s="148" t="s">
        <v>41</v>
      </c>
      <c r="L16" s="148"/>
      <c r="N16" s="135"/>
      <c r="O16" s="135"/>
      <c r="P16" s="213"/>
      <c r="R16" s="142" t="s">
        <v>1591</v>
      </c>
      <c r="S16" s="133"/>
      <c r="T16" s="133"/>
      <c r="U16" s="147"/>
      <c r="V16" s="135"/>
      <c r="W16" s="135"/>
      <c r="X16" s="213"/>
      <c r="Z16" s="142"/>
      <c r="AA16" s="133"/>
      <c r="AB16" s="152"/>
      <c r="AC16" s="147"/>
      <c r="AD16" s="135"/>
      <c r="AE16" s="135"/>
      <c r="AF16" s="213"/>
      <c r="AH16" s="142"/>
      <c r="AI16" s="133"/>
      <c r="AJ16" s="133"/>
      <c r="AK16" s="147"/>
      <c r="AN16" s="213"/>
      <c r="AP16" s="142" t="s">
        <v>1576</v>
      </c>
      <c r="AQ16" s="148" t="s">
        <v>116</v>
      </c>
      <c r="AR16" s="157">
        <v>29221</v>
      </c>
      <c r="AS16" s="141">
        <f ca="1">TODAY()</f>
        <v>42879</v>
      </c>
      <c r="AT16" s="135" t="b">
        <v>0</v>
      </c>
      <c r="AV16" s="213"/>
      <c r="AX16" s="142"/>
      <c r="AY16" s="133"/>
      <c r="AZ16" s="133"/>
      <c r="BA16" s="147"/>
      <c r="BD16" s="213"/>
      <c r="BF16" s="142" t="s">
        <v>1629</v>
      </c>
      <c r="BG16" s="148" t="s">
        <v>1013</v>
      </c>
      <c r="BH16" s="152">
        <v>-20</v>
      </c>
      <c r="BI16" s="147">
        <v>40</v>
      </c>
      <c r="BJ16" s="135" t="b">
        <v>0</v>
      </c>
      <c r="BL16" s="213"/>
      <c r="BN16" s="142" t="s">
        <v>1646</v>
      </c>
      <c r="BO16" s="133"/>
      <c r="BP16" s="152"/>
      <c r="BQ16" s="147"/>
      <c r="BS16" s="135" t="s">
        <v>492</v>
      </c>
      <c r="BT16" s="213"/>
      <c r="BV16" s="142"/>
      <c r="BW16" s="133"/>
      <c r="BX16" s="133"/>
      <c r="BY16" s="147"/>
      <c r="CB16" s="213"/>
      <c r="CD16" s="142"/>
      <c r="CE16" s="133"/>
      <c r="CF16" s="133"/>
      <c r="CG16" s="147"/>
      <c r="CJ16" s="213"/>
      <c r="CL16" s="142"/>
      <c r="CM16" s="133"/>
      <c r="CN16" s="133"/>
      <c r="CO16" s="147"/>
      <c r="CR16" s="213"/>
      <c r="CT16" s="142"/>
      <c r="CU16" s="133"/>
      <c r="CV16" s="133"/>
      <c r="CW16" s="147"/>
      <c r="CZ16" s="213"/>
      <c r="DB16" s="142"/>
      <c r="DC16" s="133"/>
      <c r="DD16" s="133"/>
      <c r="DE16" s="147"/>
      <c r="DH16" s="213"/>
      <c r="DJ16" s="142" t="s">
        <v>1681</v>
      </c>
      <c r="DK16" s="99" t="s">
        <v>635</v>
      </c>
      <c r="DL16" s="99">
        <v>0</v>
      </c>
      <c r="DM16" s="147"/>
      <c r="DN16" s="135" t="b">
        <v>0</v>
      </c>
      <c r="DP16" s="213"/>
      <c r="DR16" s="142" t="s">
        <v>1900</v>
      </c>
      <c r="DS16" s="164" t="s">
        <v>1021</v>
      </c>
      <c r="DT16" s="99">
        <v>0</v>
      </c>
      <c r="DU16" s="116">
        <v>1000000</v>
      </c>
      <c r="DV16" s="135" t="b">
        <v>0</v>
      </c>
      <c r="DX16" s="213"/>
      <c r="DZ16" s="142" t="s">
        <v>485</v>
      </c>
      <c r="EA16" s="133"/>
      <c r="EB16" s="152"/>
      <c r="EC16" s="147"/>
      <c r="EE16" s="135" t="s">
        <v>1291</v>
      </c>
      <c r="EF16" s="213"/>
      <c r="EH16" s="142"/>
      <c r="EI16" s="133"/>
      <c r="EJ16" s="133"/>
      <c r="EK16" s="147"/>
      <c r="EN16" s="213"/>
      <c r="EP16" s="142" t="s">
        <v>1751</v>
      </c>
      <c r="EQ16" s="148" t="s">
        <v>1013</v>
      </c>
      <c r="ER16" s="133">
        <v>-25</v>
      </c>
      <c r="ES16" s="147">
        <v>40</v>
      </c>
      <c r="ET16" s="135" t="b">
        <v>0</v>
      </c>
      <c r="EV16" s="213"/>
      <c r="EX16" s="142" t="s">
        <v>1992</v>
      </c>
      <c r="EY16" s="133" t="s">
        <v>118</v>
      </c>
      <c r="EZ16" s="133">
        <v>0</v>
      </c>
      <c r="FA16" s="147">
        <v>50000</v>
      </c>
      <c r="FB16" s="135" t="b">
        <v>0</v>
      </c>
      <c r="FD16" s="213"/>
      <c r="FF16" s="142" t="s">
        <v>1796</v>
      </c>
      <c r="FG16" s="148" t="s">
        <v>119</v>
      </c>
      <c r="FH16" s="133">
        <v>0</v>
      </c>
      <c r="FI16" s="116">
        <v>25000</v>
      </c>
      <c r="FJ16" s="135" t="b">
        <v>0</v>
      </c>
      <c r="FL16" s="213"/>
      <c r="FN16" s="142" t="s">
        <v>1807</v>
      </c>
      <c r="FO16" s="133" t="s">
        <v>388</v>
      </c>
      <c r="FP16" s="133">
        <v>0</v>
      </c>
      <c r="FQ16" s="116">
        <v>1000</v>
      </c>
      <c r="FR16" s="135" t="b">
        <v>0</v>
      </c>
      <c r="FT16" s="213"/>
      <c r="FV16" s="149"/>
      <c r="GB16" s="213"/>
      <c r="GD16" s="142" t="s">
        <v>1837</v>
      </c>
      <c r="GE16" s="133" t="s">
        <v>388</v>
      </c>
      <c r="GF16" s="99">
        <v>0</v>
      </c>
      <c r="GG16" s="99">
        <v>1000</v>
      </c>
      <c r="GH16" s="135" t="b">
        <v>0</v>
      </c>
      <c r="GJ16" s="213"/>
      <c r="GL16" s="142" t="s">
        <v>1856</v>
      </c>
      <c r="GM16" s="148" t="s">
        <v>119</v>
      </c>
      <c r="GN16" s="133">
        <v>0</v>
      </c>
      <c r="GO16" s="146">
        <v>25000</v>
      </c>
      <c r="GP16" s="135" t="b">
        <v>0</v>
      </c>
      <c r="GR16" s="213"/>
      <c r="GT16" s="142"/>
      <c r="GU16" s="133"/>
      <c r="GV16" s="133"/>
      <c r="GW16" s="147"/>
      <c r="GZ16" s="213"/>
    </row>
    <row r="17" spans="2:208" ht="14.4" x14ac:dyDescent="0.3">
      <c r="B17" s="142"/>
      <c r="E17" s="147"/>
      <c r="F17" s="135"/>
      <c r="G17" s="135"/>
      <c r="H17" s="213"/>
      <c r="I17" s="131"/>
      <c r="J17" s="142" t="s">
        <v>1582</v>
      </c>
      <c r="K17" s="148" t="s">
        <v>1013</v>
      </c>
      <c r="L17" s="148"/>
      <c r="N17" s="135"/>
      <c r="O17" s="135"/>
      <c r="P17" s="213"/>
      <c r="R17" s="142" t="s">
        <v>1592</v>
      </c>
      <c r="S17" s="133"/>
      <c r="T17" s="133"/>
      <c r="V17" s="135"/>
      <c r="W17" s="135"/>
      <c r="X17" s="213"/>
      <c r="Z17" s="142"/>
      <c r="AA17" s="133"/>
      <c r="AB17" s="133"/>
      <c r="AC17" s="147"/>
      <c r="AD17" s="135"/>
      <c r="AE17" s="135"/>
      <c r="AF17" s="213"/>
      <c r="AH17" s="142"/>
      <c r="AI17" s="133"/>
      <c r="AJ17" s="133"/>
      <c r="AN17" s="213"/>
      <c r="AP17" s="142" t="s">
        <v>1577</v>
      </c>
      <c r="AQ17" s="148" t="s">
        <v>116</v>
      </c>
      <c r="AR17" s="150">
        <v>29221</v>
      </c>
      <c r="AS17" s="141">
        <f ca="1">TODAY()</f>
        <v>42879</v>
      </c>
      <c r="AT17" s="135" t="b">
        <v>0</v>
      </c>
      <c r="AV17" s="213"/>
      <c r="AX17" s="142"/>
      <c r="AY17" s="133"/>
      <c r="AZ17" s="133"/>
      <c r="BD17" s="213"/>
      <c r="BF17" s="142" t="s">
        <v>1630</v>
      </c>
      <c r="BG17" s="148" t="s">
        <v>1013</v>
      </c>
      <c r="BH17" s="148">
        <v>-20</v>
      </c>
      <c r="BI17" s="147">
        <v>40</v>
      </c>
      <c r="BJ17" s="135" t="b">
        <v>0</v>
      </c>
      <c r="BL17" s="213"/>
      <c r="BN17" s="142" t="s">
        <v>1647</v>
      </c>
      <c r="BO17" s="133"/>
      <c r="BP17" s="133"/>
      <c r="BQ17" s="147"/>
      <c r="BT17" s="213"/>
      <c r="BV17" s="142"/>
      <c r="BW17" s="133"/>
      <c r="BX17" s="133"/>
      <c r="CB17" s="213"/>
      <c r="CD17" s="142"/>
      <c r="CE17" s="133"/>
      <c r="CF17" s="133"/>
      <c r="CJ17" s="213"/>
      <c r="CL17" s="142"/>
      <c r="CM17" s="133"/>
      <c r="CN17" s="133"/>
      <c r="CR17" s="213"/>
      <c r="CT17" s="142"/>
      <c r="CU17" s="133"/>
      <c r="CV17" s="133"/>
      <c r="CZ17" s="213"/>
      <c r="DB17" s="142"/>
      <c r="DC17" s="133"/>
      <c r="DD17" s="133"/>
      <c r="DH17" s="213"/>
      <c r="DJ17" s="149" t="s">
        <v>2009</v>
      </c>
      <c r="DK17" s="116" t="s">
        <v>40</v>
      </c>
      <c r="DL17" s="116">
        <v>0</v>
      </c>
      <c r="DM17" s="116">
        <v>100</v>
      </c>
      <c r="DN17" s="135" t="b">
        <v>0</v>
      </c>
      <c r="DP17" s="213"/>
      <c r="DR17" s="142" t="s">
        <v>1901</v>
      </c>
      <c r="DS17" s="99" t="s">
        <v>637</v>
      </c>
      <c r="DT17" s="99">
        <v>0</v>
      </c>
      <c r="DU17" s="116">
        <v>1000000</v>
      </c>
      <c r="DV17" s="135" t="b">
        <v>0</v>
      </c>
      <c r="DX17" s="213"/>
      <c r="DZ17" s="142" t="s">
        <v>1922</v>
      </c>
      <c r="EA17" s="148" t="s">
        <v>1019</v>
      </c>
      <c r="EB17" s="99">
        <v>0</v>
      </c>
      <c r="EC17" s="147">
        <v>1000</v>
      </c>
      <c r="ED17" s="135" t="b">
        <v>0</v>
      </c>
      <c r="EF17" s="213"/>
      <c r="EH17" s="142"/>
      <c r="EI17" s="133"/>
      <c r="EJ17" s="133"/>
      <c r="EN17" s="213"/>
      <c r="EP17" s="142" t="s">
        <v>1752</v>
      </c>
      <c r="EQ17" s="133" t="s">
        <v>245</v>
      </c>
      <c r="ER17" s="133">
        <v>0</v>
      </c>
      <c r="ES17" s="116">
        <v>100</v>
      </c>
      <c r="ET17" s="135" t="b">
        <v>0</v>
      </c>
      <c r="EV17" s="213"/>
      <c r="EX17" s="142" t="s">
        <v>1767</v>
      </c>
      <c r="EY17" s="133" t="s">
        <v>40</v>
      </c>
      <c r="EZ17" s="133">
        <v>0</v>
      </c>
      <c r="FA17" s="116">
        <v>100</v>
      </c>
      <c r="FB17" s="135" t="b">
        <v>0</v>
      </c>
      <c r="FD17" s="213"/>
      <c r="FF17" s="142" t="s">
        <v>1939</v>
      </c>
      <c r="FG17" s="148" t="s">
        <v>91</v>
      </c>
      <c r="FH17" s="152">
        <v>0</v>
      </c>
      <c r="FI17" s="116">
        <v>10000</v>
      </c>
      <c r="FJ17" s="135" t="b">
        <v>0</v>
      </c>
      <c r="FL17" s="213"/>
      <c r="FN17" s="142" t="s">
        <v>1821</v>
      </c>
      <c r="FO17" s="133" t="s">
        <v>388</v>
      </c>
      <c r="FP17" s="133">
        <v>0</v>
      </c>
      <c r="FQ17" s="116">
        <v>1000</v>
      </c>
      <c r="FR17" s="135" t="b">
        <v>0</v>
      </c>
      <c r="FT17" s="213"/>
      <c r="FV17" s="149"/>
      <c r="GB17" s="213"/>
      <c r="GD17" s="142" t="s">
        <v>1838</v>
      </c>
      <c r="GE17" s="133" t="s">
        <v>388</v>
      </c>
      <c r="GF17" s="99">
        <v>0</v>
      </c>
      <c r="GG17" s="99">
        <v>3500</v>
      </c>
      <c r="GH17" s="135" t="b">
        <v>0</v>
      </c>
      <c r="GJ17" s="213"/>
      <c r="GL17" s="142" t="s">
        <v>1857</v>
      </c>
      <c r="GM17" s="148" t="s">
        <v>91</v>
      </c>
      <c r="GN17" s="133">
        <v>0</v>
      </c>
      <c r="GO17" s="116">
        <v>2500</v>
      </c>
      <c r="GP17" s="135" t="b">
        <v>0</v>
      </c>
      <c r="GR17" s="213"/>
      <c r="GT17" s="142"/>
      <c r="GU17" s="133"/>
      <c r="GV17" s="133"/>
      <c r="GZ17" s="213"/>
    </row>
    <row r="18" spans="2:208" ht="14.4" x14ac:dyDescent="0.3">
      <c r="B18" s="142"/>
      <c r="C18" s="148"/>
      <c r="F18" s="135"/>
      <c r="G18" s="135"/>
      <c r="H18" s="213"/>
      <c r="I18" s="131"/>
      <c r="J18" s="142" t="s">
        <v>1583</v>
      </c>
      <c r="K18" s="148"/>
      <c r="L18" s="152"/>
      <c r="M18" s="147"/>
      <c r="N18" s="135"/>
      <c r="O18" s="135"/>
      <c r="P18" s="213"/>
      <c r="R18" s="142"/>
      <c r="S18" s="133"/>
      <c r="T18" s="152"/>
      <c r="V18" s="135"/>
      <c r="W18" s="135"/>
      <c r="X18" s="213"/>
      <c r="Z18" s="142"/>
      <c r="AA18" s="133"/>
      <c r="AB18" s="133"/>
      <c r="AD18" s="135"/>
      <c r="AE18" s="135"/>
      <c r="AF18" s="213"/>
      <c r="AH18" s="142"/>
      <c r="AI18" s="133"/>
      <c r="AJ18" s="152"/>
      <c r="AN18" s="213"/>
      <c r="AP18" s="142" t="s">
        <v>1606</v>
      </c>
      <c r="AQ18" s="148"/>
      <c r="AR18" s="148"/>
      <c r="AV18" s="213"/>
      <c r="AX18" s="142"/>
      <c r="AY18" s="133"/>
      <c r="AZ18" s="152"/>
      <c r="BD18" s="213"/>
      <c r="BF18" s="142" t="s">
        <v>1892</v>
      </c>
      <c r="BG18" s="148" t="s">
        <v>261</v>
      </c>
      <c r="BH18" s="148">
        <v>0</v>
      </c>
      <c r="BI18" s="116">
        <v>360</v>
      </c>
      <c r="BJ18" s="135" t="b">
        <v>0</v>
      </c>
      <c r="BL18" s="213"/>
      <c r="BN18" s="142" t="s">
        <v>1648</v>
      </c>
      <c r="BO18" s="133"/>
      <c r="BP18" s="133"/>
      <c r="BS18" s="135" t="s">
        <v>183</v>
      </c>
      <c r="BT18" s="213"/>
      <c r="BV18" s="142"/>
      <c r="BW18" s="133"/>
      <c r="BX18" s="152"/>
      <c r="CB18" s="213"/>
      <c r="CD18" s="142"/>
      <c r="CE18" s="133"/>
      <c r="CF18" s="152"/>
      <c r="CJ18" s="213"/>
      <c r="CL18" s="142"/>
      <c r="CM18" s="133"/>
      <c r="CN18" s="152"/>
      <c r="CR18" s="213"/>
      <c r="CT18" s="142"/>
      <c r="CU18" s="133"/>
      <c r="CV18" s="152"/>
      <c r="CZ18" s="213"/>
      <c r="DB18" s="142"/>
      <c r="DC18" s="133"/>
      <c r="DD18" s="152"/>
      <c r="DH18" s="213"/>
      <c r="DJ18" s="149" t="s">
        <v>1897</v>
      </c>
      <c r="DK18" s="116" t="s">
        <v>40</v>
      </c>
      <c r="DL18" s="99">
        <v>0</v>
      </c>
      <c r="DM18" s="116">
        <v>100</v>
      </c>
      <c r="DN18" s="135" t="b">
        <v>0</v>
      </c>
      <c r="DP18" s="213"/>
      <c r="DR18" s="142" t="s">
        <v>1902</v>
      </c>
      <c r="DS18" s="99" t="s">
        <v>637</v>
      </c>
      <c r="DT18" s="99">
        <v>0</v>
      </c>
      <c r="DU18" s="147">
        <v>1000000</v>
      </c>
      <c r="DV18" s="135" t="b">
        <v>0</v>
      </c>
      <c r="DX18" s="213"/>
      <c r="DZ18" s="142" t="s">
        <v>1733</v>
      </c>
      <c r="EA18" s="148" t="s">
        <v>1019</v>
      </c>
      <c r="EB18" s="99">
        <v>0</v>
      </c>
      <c r="EC18" s="116">
        <v>1000</v>
      </c>
      <c r="ED18" s="135" t="b">
        <v>0</v>
      </c>
      <c r="EF18" s="213"/>
      <c r="EH18" s="142"/>
      <c r="EI18" s="133"/>
      <c r="EJ18" s="152"/>
      <c r="EN18" s="213"/>
      <c r="EP18" s="142" t="s">
        <v>1753</v>
      </c>
      <c r="EQ18" s="133" t="s">
        <v>46</v>
      </c>
      <c r="ER18" s="152">
        <v>0</v>
      </c>
      <c r="ES18" s="116">
        <v>100</v>
      </c>
      <c r="ET18" s="135" t="b">
        <v>0</v>
      </c>
      <c r="EV18" s="213"/>
      <c r="EX18" s="142" t="s">
        <v>1768</v>
      </c>
      <c r="EY18" s="133" t="s">
        <v>119</v>
      </c>
      <c r="EZ18" s="152">
        <v>0</v>
      </c>
      <c r="FA18" s="116">
        <v>25000</v>
      </c>
      <c r="FB18" s="135" t="b">
        <v>0</v>
      </c>
      <c r="FD18" s="213"/>
      <c r="FF18" s="142" t="s">
        <v>1798</v>
      </c>
      <c r="FG18" s="133" t="s">
        <v>1549</v>
      </c>
      <c r="FH18" s="148">
        <v>0</v>
      </c>
      <c r="FI18" s="116">
        <v>1000</v>
      </c>
      <c r="FJ18" s="135" t="b">
        <v>0</v>
      </c>
      <c r="FL18" s="213"/>
      <c r="FN18" s="142" t="s">
        <v>1808</v>
      </c>
      <c r="FO18" s="133" t="s">
        <v>388</v>
      </c>
      <c r="FP18" s="152">
        <v>0</v>
      </c>
      <c r="FQ18" s="116">
        <v>1000</v>
      </c>
      <c r="FR18" s="135" t="b">
        <v>0</v>
      </c>
      <c r="FT18" s="213"/>
      <c r="FV18" s="149"/>
      <c r="GB18" s="213"/>
      <c r="GD18" s="142" t="s">
        <v>1952</v>
      </c>
      <c r="GE18" s="133" t="s">
        <v>396</v>
      </c>
      <c r="GF18" s="99">
        <v>0</v>
      </c>
      <c r="GG18" s="99">
        <v>1500</v>
      </c>
      <c r="GH18" s="135" t="b">
        <v>0</v>
      </c>
      <c r="GJ18" s="213"/>
      <c r="GL18" s="142" t="s">
        <v>1859</v>
      </c>
      <c r="GM18" s="148" t="s">
        <v>119</v>
      </c>
      <c r="GN18" s="152">
        <v>0</v>
      </c>
      <c r="GO18" s="116">
        <v>25000</v>
      </c>
      <c r="GP18" s="135" t="b">
        <v>0</v>
      </c>
      <c r="GR18" s="213"/>
      <c r="GT18" s="142"/>
      <c r="GU18" s="133"/>
      <c r="GV18" s="152"/>
      <c r="GZ18" s="213"/>
    </row>
    <row r="19" spans="2:208" ht="14.4" x14ac:dyDescent="0.3">
      <c r="B19" s="142"/>
      <c r="D19" s="152"/>
      <c r="F19" s="135"/>
      <c r="G19" s="135"/>
      <c r="H19" s="213"/>
      <c r="I19" s="131"/>
      <c r="J19" s="142" t="s">
        <v>1584</v>
      </c>
      <c r="K19" s="148"/>
      <c r="L19" s="152"/>
      <c r="M19" s="147"/>
      <c r="N19" s="135"/>
      <c r="O19" s="135"/>
      <c r="P19" s="213"/>
      <c r="R19" s="142"/>
      <c r="S19" s="133"/>
      <c r="T19" s="148"/>
      <c r="V19" s="135"/>
      <c r="W19" s="135"/>
      <c r="X19" s="213"/>
      <c r="Z19" s="142"/>
      <c r="AA19" s="133"/>
      <c r="AB19" s="152"/>
      <c r="AD19" s="135"/>
      <c r="AE19" s="135"/>
      <c r="AF19" s="213"/>
      <c r="AH19" s="142"/>
      <c r="AI19" s="133"/>
      <c r="AJ19" s="148"/>
      <c r="AN19" s="213"/>
      <c r="AP19" s="142" t="s">
        <v>1607</v>
      </c>
      <c r="AQ19" s="148"/>
      <c r="AR19" s="152"/>
      <c r="AV19" s="213"/>
      <c r="AX19" s="142"/>
      <c r="AY19" s="133"/>
      <c r="AZ19" s="148"/>
      <c r="BD19" s="213"/>
      <c r="BF19" s="142" t="s">
        <v>1632</v>
      </c>
      <c r="BG19" s="148" t="s">
        <v>115</v>
      </c>
      <c r="BH19" s="152">
        <v>0</v>
      </c>
      <c r="BI19" s="116">
        <v>15</v>
      </c>
      <c r="BJ19" s="135" t="b">
        <v>0</v>
      </c>
      <c r="BL19" s="213"/>
      <c r="BN19" s="142" t="s">
        <v>1649</v>
      </c>
      <c r="BO19" s="133" t="s">
        <v>46</v>
      </c>
      <c r="BP19" s="152">
        <v>0</v>
      </c>
      <c r="BQ19" s="116">
        <v>10</v>
      </c>
      <c r="BR19" s="135" t="b">
        <v>0</v>
      </c>
      <c r="BT19" s="213"/>
      <c r="BV19" s="142"/>
      <c r="BW19" s="133"/>
      <c r="BX19" s="148"/>
      <c r="CB19" s="213"/>
      <c r="CD19" s="142"/>
      <c r="CE19" s="133"/>
      <c r="CF19" s="148"/>
      <c r="CJ19" s="213"/>
      <c r="CL19" s="142"/>
      <c r="CM19" s="133"/>
      <c r="CN19" s="148"/>
      <c r="CR19" s="213"/>
      <c r="CT19" s="142"/>
      <c r="CU19" s="133"/>
      <c r="CV19" s="148"/>
      <c r="CZ19" s="213"/>
      <c r="DB19" s="142"/>
      <c r="DC19" s="133"/>
      <c r="DD19" s="148"/>
      <c r="DH19" s="213"/>
      <c r="DJ19" s="149" t="s">
        <v>1689</v>
      </c>
      <c r="DK19" s="99" t="s">
        <v>388</v>
      </c>
      <c r="DL19" s="99">
        <v>0</v>
      </c>
      <c r="DN19" s="135" t="b">
        <v>0</v>
      </c>
      <c r="DP19" s="213"/>
      <c r="DR19" s="142" t="s">
        <v>1903</v>
      </c>
      <c r="DS19" s="164" t="s">
        <v>1022</v>
      </c>
      <c r="DT19" s="99">
        <v>0</v>
      </c>
      <c r="DU19" s="147">
        <v>1000000</v>
      </c>
      <c r="DV19" s="135" t="b">
        <v>0</v>
      </c>
      <c r="DX19" s="213"/>
      <c r="DZ19" s="142" t="s">
        <v>1734</v>
      </c>
      <c r="EA19" s="148" t="s">
        <v>1021</v>
      </c>
      <c r="EB19" s="99">
        <v>0</v>
      </c>
      <c r="EC19" s="116">
        <v>1000000</v>
      </c>
      <c r="ED19" s="135" t="b">
        <v>0</v>
      </c>
      <c r="EF19" s="213"/>
      <c r="EH19" s="142"/>
      <c r="EI19" s="133"/>
      <c r="EJ19" s="148"/>
      <c r="EN19" s="213"/>
      <c r="EP19" s="149" t="s">
        <v>1932</v>
      </c>
      <c r="EQ19" s="116" t="s">
        <v>1026</v>
      </c>
      <c r="ER19" s="116">
        <v>-100</v>
      </c>
      <c r="ES19" s="116">
        <v>10000</v>
      </c>
      <c r="ET19" s="135" t="b">
        <v>0</v>
      </c>
      <c r="EV19" s="213"/>
      <c r="EX19" s="142" t="s">
        <v>1769</v>
      </c>
      <c r="EY19" s="133" t="s">
        <v>91</v>
      </c>
      <c r="EZ19" s="148">
        <v>0</v>
      </c>
      <c r="FA19" s="116">
        <v>25000</v>
      </c>
      <c r="FB19" s="135" t="b">
        <v>0</v>
      </c>
      <c r="FD19" s="213"/>
      <c r="FF19" s="149"/>
      <c r="FL19" s="213"/>
      <c r="FN19" s="142" t="s">
        <v>1943</v>
      </c>
      <c r="FO19" s="133" t="s">
        <v>388</v>
      </c>
      <c r="FP19" s="148">
        <v>0</v>
      </c>
      <c r="FQ19" s="116">
        <v>1000</v>
      </c>
      <c r="FR19" s="135" t="b">
        <v>0</v>
      </c>
      <c r="FT19" s="213"/>
      <c r="FV19" s="149"/>
      <c r="GB19" s="213"/>
      <c r="GD19" s="142" t="s">
        <v>1953</v>
      </c>
      <c r="GE19" s="133" t="s">
        <v>396</v>
      </c>
      <c r="GF19" s="99">
        <v>0</v>
      </c>
      <c r="GG19" s="99">
        <v>1000</v>
      </c>
      <c r="GH19" s="135" t="b">
        <v>0</v>
      </c>
      <c r="GJ19" s="213"/>
      <c r="GL19" s="142" t="s">
        <v>1860</v>
      </c>
      <c r="GM19" s="148" t="s">
        <v>91</v>
      </c>
      <c r="GN19" s="148">
        <v>0</v>
      </c>
      <c r="GO19" s="116">
        <v>2500</v>
      </c>
      <c r="GP19" s="135" t="b">
        <v>0</v>
      </c>
      <c r="GR19" s="213"/>
      <c r="GT19" s="142"/>
      <c r="GU19" s="133"/>
      <c r="GV19" s="148"/>
      <c r="GZ19" s="213"/>
    </row>
    <row r="20" spans="2:208" ht="14.4" x14ac:dyDescent="0.3">
      <c r="B20" s="142"/>
      <c r="D20" s="148"/>
      <c r="F20" s="135"/>
      <c r="G20" s="135"/>
      <c r="H20" s="213"/>
      <c r="I20" s="131"/>
      <c r="J20" s="142"/>
      <c r="K20" s="148"/>
      <c r="L20" s="148"/>
      <c r="N20" s="135"/>
      <c r="O20" s="135"/>
      <c r="P20" s="213"/>
      <c r="R20" s="149"/>
      <c r="V20" s="135"/>
      <c r="W20" s="135"/>
      <c r="X20" s="213"/>
      <c r="Z20" s="149"/>
      <c r="AA20" s="133"/>
      <c r="AB20" s="148"/>
      <c r="AD20" s="135"/>
      <c r="AE20" s="135"/>
      <c r="AF20" s="213"/>
      <c r="AH20" s="149"/>
      <c r="AN20" s="213"/>
      <c r="AP20" s="142" t="s">
        <v>1608</v>
      </c>
      <c r="AQ20" s="148"/>
      <c r="AR20" s="148"/>
      <c r="AV20" s="213"/>
      <c r="AX20" s="149"/>
      <c r="BD20" s="213"/>
      <c r="BF20" s="142" t="s">
        <v>1633</v>
      </c>
      <c r="BG20" s="148" t="s">
        <v>115</v>
      </c>
      <c r="BH20" s="148">
        <v>0</v>
      </c>
      <c r="BI20" s="116">
        <v>15</v>
      </c>
      <c r="BJ20" s="135" t="b">
        <v>0</v>
      </c>
      <c r="BL20" s="213"/>
      <c r="BN20" s="142" t="s">
        <v>1650</v>
      </c>
      <c r="BO20" s="133"/>
      <c r="BP20" s="148"/>
      <c r="BS20" s="135" t="s">
        <v>120</v>
      </c>
      <c r="BT20" s="213"/>
      <c r="BV20" s="149"/>
      <c r="CB20" s="213"/>
      <c r="CD20" s="149"/>
      <c r="CJ20" s="213"/>
      <c r="CL20" s="149"/>
      <c r="CR20" s="213"/>
      <c r="CT20" s="149"/>
      <c r="CZ20" s="213"/>
      <c r="DB20" s="149"/>
      <c r="DH20" s="213"/>
      <c r="DJ20" s="149" t="s">
        <v>1685</v>
      </c>
      <c r="DK20" s="116" t="s">
        <v>1566</v>
      </c>
      <c r="DL20" s="116">
        <v>0</v>
      </c>
      <c r="DM20" s="116">
        <v>3</v>
      </c>
      <c r="DN20" s="135" t="b">
        <v>0</v>
      </c>
      <c r="DP20" s="213"/>
      <c r="DR20" s="142" t="s">
        <v>1904</v>
      </c>
      <c r="DS20" s="164" t="s">
        <v>1023</v>
      </c>
      <c r="DT20" s="99">
        <v>0</v>
      </c>
      <c r="DU20" s="116">
        <v>1000000</v>
      </c>
      <c r="DV20" s="135" t="b">
        <v>0</v>
      </c>
      <c r="DX20" s="213"/>
      <c r="DZ20" s="142" t="s">
        <v>1735</v>
      </c>
      <c r="EA20" s="148" t="s">
        <v>637</v>
      </c>
      <c r="EB20" s="99">
        <v>0</v>
      </c>
      <c r="EC20" s="116">
        <v>1000000</v>
      </c>
      <c r="ED20" s="135" t="b">
        <v>0</v>
      </c>
      <c r="EF20" s="213"/>
      <c r="EH20" s="149"/>
      <c r="EN20" s="213"/>
      <c r="EP20" s="149" t="s">
        <v>1933</v>
      </c>
      <c r="EQ20" s="116" t="s">
        <v>1027</v>
      </c>
      <c r="ER20" s="116">
        <v>-100</v>
      </c>
      <c r="ES20" s="116">
        <v>50000</v>
      </c>
      <c r="ET20" s="135" t="b">
        <v>0</v>
      </c>
      <c r="EV20" s="213"/>
      <c r="EX20" s="149" t="s">
        <v>1993</v>
      </c>
      <c r="EY20" s="116" t="s">
        <v>275</v>
      </c>
      <c r="EZ20" s="116">
        <v>0</v>
      </c>
      <c r="FA20" s="116">
        <v>75000</v>
      </c>
      <c r="FB20" s="135" t="b">
        <v>0</v>
      </c>
      <c r="FD20" s="213"/>
      <c r="FF20" s="149"/>
      <c r="FL20" s="213"/>
      <c r="FN20" s="149" t="s">
        <v>1944</v>
      </c>
      <c r="FO20" s="116" t="s">
        <v>388</v>
      </c>
      <c r="FP20" s="116">
        <v>0</v>
      </c>
      <c r="FQ20" s="116">
        <v>1000</v>
      </c>
      <c r="FR20" s="135" t="b">
        <v>0</v>
      </c>
      <c r="FT20" s="213"/>
      <c r="FV20" s="149"/>
      <c r="GB20" s="213"/>
      <c r="GD20" s="149" t="s">
        <v>1954</v>
      </c>
      <c r="GE20" s="116" t="s">
        <v>396</v>
      </c>
      <c r="GF20" s="99">
        <v>0</v>
      </c>
      <c r="GG20" s="99">
        <v>1000</v>
      </c>
      <c r="GH20" s="135" t="b">
        <v>0</v>
      </c>
      <c r="GJ20" s="213"/>
      <c r="GL20" s="149" t="s">
        <v>1862</v>
      </c>
      <c r="GM20" s="116" t="s">
        <v>1014</v>
      </c>
      <c r="GN20" s="116">
        <v>0</v>
      </c>
      <c r="GO20" s="116">
        <v>25000</v>
      </c>
      <c r="GP20" s="135" t="b">
        <v>0</v>
      </c>
      <c r="GR20" s="213"/>
      <c r="GT20" s="149"/>
      <c r="GZ20" s="213"/>
    </row>
    <row r="21" spans="2:208" ht="14.4" x14ac:dyDescent="0.3">
      <c r="B21" s="149"/>
      <c r="C21" s="116"/>
      <c r="D21" s="116"/>
      <c r="F21" s="135"/>
      <c r="G21" s="135"/>
      <c r="H21" s="213"/>
      <c r="I21" s="131"/>
      <c r="J21" s="142"/>
      <c r="K21" s="148"/>
      <c r="L21" s="152"/>
      <c r="N21" s="135"/>
      <c r="O21" s="135"/>
      <c r="P21" s="213"/>
      <c r="R21" s="149"/>
      <c r="V21" s="135"/>
      <c r="W21" s="135"/>
      <c r="X21" s="213"/>
      <c r="Z21" s="149"/>
      <c r="AD21" s="135"/>
      <c r="AE21" s="135"/>
      <c r="AF21" s="213"/>
      <c r="AH21" s="149"/>
      <c r="AN21" s="213"/>
      <c r="AP21" s="149" t="s">
        <v>1609</v>
      </c>
      <c r="AU21" s="135" t="s">
        <v>126</v>
      </c>
      <c r="AV21" s="213"/>
      <c r="AX21" s="149"/>
      <c r="BD21" s="213"/>
      <c r="BF21" s="149" t="s">
        <v>1893</v>
      </c>
      <c r="BG21" s="116" t="s">
        <v>114</v>
      </c>
      <c r="BH21" s="116">
        <v>0</v>
      </c>
      <c r="BI21" s="116">
        <v>0.5</v>
      </c>
      <c r="BJ21" s="135" t="b">
        <v>0</v>
      </c>
      <c r="BL21" s="213"/>
      <c r="BN21" s="149" t="s">
        <v>1895</v>
      </c>
      <c r="BO21" s="116" t="s">
        <v>66</v>
      </c>
      <c r="BP21" s="116">
        <v>0</v>
      </c>
      <c r="BQ21" s="116">
        <v>1000</v>
      </c>
      <c r="BR21" s="135" t="b">
        <v>0</v>
      </c>
      <c r="BT21" s="213"/>
      <c r="BV21" s="149"/>
      <c r="CB21" s="213"/>
      <c r="CD21" s="149"/>
      <c r="CJ21" s="213"/>
      <c r="CL21" s="149"/>
      <c r="CR21" s="213"/>
      <c r="CT21" s="149"/>
      <c r="CZ21" s="213"/>
      <c r="DB21" s="149"/>
      <c r="DH21" s="213"/>
      <c r="DJ21" s="149" t="s">
        <v>1683</v>
      </c>
      <c r="DK21" s="99" t="s">
        <v>245</v>
      </c>
      <c r="DL21" s="99">
        <v>0</v>
      </c>
      <c r="DN21" s="135" t="b">
        <v>0</v>
      </c>
      <c r="DP21" s="213"/>
      <c r="DR21" s="142" t="s">
        <v>1905</v>
      </c>
      <c r="DS21" s="164" t="s">
        <v>1024</v>
      </c>
      <c r="DT21" s="99">
        <v>0</v>
      </c>
      <c r="DU21" s="116">
        <v>1000000</v>
      </c>
      <c r="DV21" s="135" t="b">
        <v>0</v>
      </c>
      <c r="DX21" s="213"/>
      <c r="DZ21" s="149" t="s">
        <v>1736</v>
      </c>
      <c r="EA21" s="99" t="s">
        <v>586</v>
      </c>
      <c r="EB21" s="99">
        <v>0</v>
      </c>
      <c r="ED21" s="135" t="b">
        <v>0</v>
      </c>
      <c r="EF21" s="213"/>
      <c r="EH21" s="149"/>
      <c r="EN21" s="213"/>
      <c r="EP21" s="149" t="s">
        <v>1934</v>
      </c>
      <c r="EQ21" s="116" t="s">
        <v>1027</v>
      </c>
      <c r="ER21" s="116">
        <v>-10000</v>
      </c>
      <c r="ES21" s="116">
        <v>10000</v>
      </c>
      <c r="ET21" s="135" t="b">
        <v>0</v>
      </c>
      <c r="EV21" s="213"/>
      <c r="EX21" s="149" t="s">
        <v>1999</v>
      </c>
      <c r="EY21" s="116" t="s">
        <v>40</v>
      </c>
      <c r="EZ21" s="116">
        <v>0</v>
      </c>
      <c r="FA21" s="116">
        <v>100</v>
      </c>
      <c r="FB21" s="135" t="b">
        <v>0</v>
      </c>
      <c r="FD21" s="213"/>
      <c r="FF21" s="149"/>
      <c r="FL21" s="213"/>
      <c r="FN21" s="149" t="s">
        <v>1945</v>
      </c>
      <c r="FO21" s="116" t="s">
        <v>388</v>
      </c>
      <c r="FP21" s="116">
        <v>0</v>
      </c>
      <c r="FQ21" s="116">
        <v>1000</v>
      </c>
      <c r="FR21" s="135" t="b">
        <v>0</v>
      </c>
      <c r="FT21" s="213"/>
      <c r="FV21" s="149"/>
      <c r="GB21" s="213"/>
      <c r="GD21" s="149" t="s">
        <v>1955</v>
      </c>
      <c r="GE21" s="116" t="s">
        <v>396</v>
      </c>
      <c r="GF21" s="99">
        <v>0</v>
      </c>
      <c r="GG21" s="99">
        <v>2000</v>
      </c>
      <c r="GH21" s="135" t="b">
        <v>0</v>
      </c>
      <c r="GJ21" s="213"/>
      <c r="GL21" s="149" t="s">
        <v>1861</v>
      </c>
      <c r="GM21" s="116" t="s">
        <v>1016</v>
      </c>
      <c r="GN21" s="116">
        <v>0</v>
      </c>
      <c r="GO21" s="116">
        <v>2500</v>
      </c>
      <c r="GP21" s="135" t="b">
        <v>0</v>
      </c>
      <c r="GR21" s="213"/>
      <c r="GT21" s="149"/>
      <c r="GZ21" s="213"/>
    </row>
    <row r="22" spans="2:208" ht="14.4" x14ac:dyDescent="0.3">
      <c r="B22" s="149"/>
      <c r="C22" s="116"/>
      <c r="D22" s="116"/>
      <c r="F22" s="135"/>
      <c r="G22" s="135"/>
      <c r="H22" s="213"/>
      <c r="I22" s="131"/>
      <c r="J22" s="142"/>
      <c r="K22" s="148"/>
      <c r="L22" s="148"/>
      <c r="N22" s="135"/>
      <c r="O22" s="135"/>
      <c r="P22" s="213"/>
      <c r="R22" s="149"/>
      <c r="V22" s="135"/>
      <c r="W22" s="135"/>
      <c r="X22" s="213"/>
      <c r="Z22" s="149"/>
      <c r="AD22" s="135"/>
      <c r="AE22" s="135"/>
      <c r="AF22" s="213"/>
      <c r="AH22" s="149"/>
      <c r="AN22" s="213"/>
      <c r="AP22" s="142" t="s">
        <v>1579</v>
      </c>
      <c r="AQ22" s="148" t="s">
        <v>187</v>
      </c>
      <c r="AR22" s="148"/>
      <c r="AV22" s="213"/>
      <c r="AX22" s="149"/>
      <c r="BD22" s="213"/>
      <c r="BF22" s="149" t="s">
        <v>1635</v>
      </c>
      <c r="BG22" s="116" t="s">
        <v>1568</v>
      </c>
      <c r="BH22" s="116">
        <v>0</v>
      </c>
      <c r="BI22" s="116">
        <v>55</v>
      </c>
      <c r="BJ22" s="135" t="b">
        <v>0</v>
      </c>
      <c r="BL22" s="213"/>
      <c r="BN22" s="149"/>
      <c r="BT22" s="213"/>
      <c r="BV22" s="149"/>
      <c r="CB22" s="213"/>
      <c r="CD22" s="149"/>
      <c r="CJ22" s="213"/>
      <c r="CL22" s="149"/>
      <c r="CR22" s="213"/>
      <c r="CT22" s="149"/>
      <c r="CZ22" s="213"/>
      <c r="DB22" s="149"/>
      <c r="DH22" s="213"/>
      <c r="DJ22" s="149" t="s">
        <v>1684</v>
      </c>
      <c r="DK22" s="99" t="s">
        <v>245</v>
      </c>
      <c r="DL22" s="99">
        <v>0</v>
      </c>
      <c r="DN22" s="135" t="b">
        <v>0</v>
      </c>
      <c r="DP22" s="213"/>
      <c r="DR22" s="142" t="s">
        <v>1906</v>
      </c>
      <c r="DS22" s="164" t="s">
        <v>1025</v>
      </c>
      <c r="DT22" s="99">
        <v>0</v>
      </c>
      <c r="DU22" s="116">
        <v>1000000</v>
      </c>
      <c r="DV22" s="135" t="b">
        <v>0</v>
      </c>
      <c r="DX22" s="213"/>
      <c r="DZ22" s="149" t="s">
        <v>1737</v>
      </c>
      <c r="EA22" s="99" t="s">
        <v>586</v>
      </c>
      <c r="EB22" s="99">
        <v>0</v>
      </c>
      <c r="ED22" s="135" t="b">
        <v>0</v>
      </c>
      <c r="EF22" s="213"/>
      <c r="EH22" s="149"/>
      <c r="EN22" s="213"/>
      <c r="EP22" s="149" t="s">
        <v>1754</v>
      </c>
      <c r="EQ22" s="116" t="s">
        <v>1013</v>
      </c>
      <c r="ER22" s="116">
        <v>-20</v>
      </c>
      <c r="ES22" s="116">
        <v>40</v>
      </c>
      <c r="ET22" s="135" t="b">
        <v>0</v>
      </c>
      <c r="EV22" s="213"/>
      <c r="EX22" s="149" t="s">
        <v>2000</v>
      </c>
      <c r="EY22" s="116" t="s">
        <v>119</v>
      </c>
      <c r="EZ22" s="116">
        <v>0</v>
      </c>
      <c r="FA22" s="116">
        <v>25000</v>
      </c>
      <c r="FB22" s="135" t="b">
        <v>0</v>
      </c>
      <c r="FD22" s="213"/>
      <c r="FF22" s="149"/>
      <c r="FL22" s="213"/>
      <c r="FN22" s="149" t="s">
        <v>1946</v>
      </c>
      <c r="FO22" s="133" t="s">
        <v>388</v>
      </c>
      <c r="FP22" s="116">
        <v>0</v>
      </c>
      <c r="FQ22" s="116">
        <v>1000</v>
      </c>
      <c r="FR22" s="135" t="b">
        <v>0</v>
      </c>
      <c r="FT22" s="213"/>
      <c r="FV22" s="149"/>
      <c r="GB22" s="213"/>
      <c r="GD22" s="149" t="s">
        <v>1956</v>
      </c>
      <c r="GE22" s="116" t="s">
        <v>396</v>
      </c>
      <c r="GF22" s="99">
        <v>0</v>
      </c>
      <c r="GG22" s="99">
        <v>1000</v>
      </c>
      <c r="GH22" s="135" t="b">
        <v>0</v>
      </c>
      <c r="GJ22" s="213"/>
      <c r="GL22" s="149" t="s">
        <v>1863</v>
      </c>
      <c r="GM22" s="116" t="s">
        <v>1014</v>
      </c>
      <c r="GN22" s="116">
        <v>0</v>
      </c>
      <c r="GO22" s="116">
        <v>25000</v>
      </c>
      <c r="GP22" s="135" t="b">
        <v>0</v>
      </c>
      <c r="GR22" s="213"/>
      <c r="GT22" s="149"/>
      <c r="GZ22" s="213"/>
    </row>
    <row r="23" spans="2:208" ht="14.4" x14ac:dyDescent="0.3">
      <c r="B23" s="149"/>
      <c r="C23" s="116"/>
      <c r="D23" s="116"/>
      <c r="F23" s="135"/>
      <c r="G23" s="135"/>
      <c r="H23" s="213"/>
      <c r="I23" s="131"/>
      <c r="J23" s="149"/>
      <c r="N23" s="135"/>
      <c r="O23" s="135"/>
      <c r="P23" s="213"/>
      <c r="R23" s="149"/>
      <c r="V23" s="135"/>
      <c r="W23" s="135"/>
      <c r="X23" s="213"/>
      <c r="Z23" s="149"/>
      <c r="AD23" s="135"/>
      <c r="AE23" s="135"/>
      <c r="AF23" s="213"/>
      <c r="AH23" s="149"/>
      <c r="AN23" s="213"/>
      <c r="AP23" s="159" t="s">
        <v>1585</v>
      </c>
      <c r="AQ23" s="148" t="s">
        <v>1973</v>
      </c>
      <c r="AR23" s="148"/>
      <c r="AT23" s="116"/>
      <c r="AU23" s="116"/>
      <c r="AV23" s="213"/>
      <c r="AX23" s="149"/>
      <c r="BD23" s="213"/>
      <c r="BF23" s="149" t="s">
        <v>1636</v>
      </c>
      <c r="BG23" s="116" t="s">
        <v>115</v>
      </c>
      <c r="BH23" s="116">
        <v>0</v>
      </c>
      <c r="BI23" s="116">
        <v>1000</v>
      </c>
      <c r="BJ23" s="135" t="b">
        <v>0</v>
      </c>
      <c r="BL23" s="213"/>
      <c r="BN23" s="149"/>
      <c r="BT23" s="213"/>
      <c r="BV23" s="149"/>
      <c r="CB23" s="213"/>
      <c r="CD23" s="149"/>
      <c r="CJ23" s="213"/>
      <c r="CL23" s="149"/>
      <c r="CR23" s="213"/>
      <c r="CT23" s="149"/>
      <c r="CZ23" s="213"/>
      <c r="DB23" s="149"/>
      <c r="DH23" s="213"/>
      <c r="DJ23" s="149" t="s">
        <v>1686</v>
      </c>
      <c r="DK23" s="99" t="s">
        <v>44</v>
      </c>
      <c r="DL23" s="99">
        <v>0</v>
      </c>
      <c r="DN23" s="135" t="b">
        <v>0</v>
      </c>
      <c r="DP23" s="213"/>
      <c r="DR23" s="149" t="s">
        <v>1907</v>
      </c>
      <c r="DS23" s="164" t="s">
        <v>1015</v>
      </c>
      <c r="DT23" s="99">
        <v>0</v>
      </c>
      <c r="DU23" s="116">
        <v>1000000</v>
      </c>
      <c r="DV23" s="135" t="b">
        <v>0</v>
      </c>
      <c r="DX23" s="213"/>
      <c r="DZ23" s="149" t="s">
        <v>1923</v>
      </c>
      <c r="EA23" s="99" t="s">
        <v>513</v>
      </c>
      <c r="EB23" s="99">
        <v>0</v>
      </c>
      <c r="ED23" s="135" t="b">
        <v>0</v>
      </c>
      <c r="EF23" s="213"/>
      <c r="EH23" s="149"/>
      <c r="EN23" s="213"/>
      <c r="EP23" s="149" t="s">
        <v>1755</v>
      </c>
      <c r="EQ23" s="116" t="s">
        <v>1013</v>
      </c>
      <c r="ER23" s="116">
        <v>-20</v>
      </c>
      <c r="ES23" s="116">
        <v>40</v>
      </c>
      <c r="ET23" s="135" t="b">
        <v>0</v>
      </c>
      <c r="EV23" s="213"/>
      <c r="EX23" s="149" t="s">
        <v>1998</v>
      </c>
      <c r="EY23" s="116" t="s">
        <v>91</v>
      </c>
      <c r="EZ23" s="116">
        <v>0</v>
      </c>
      <c r="FA23" s="116">
        <v>10000</v>
      </c>
      <c r="FB23" s="135" t="b">
        <v>0</v>
      </c>
      <c r="FD23" s="213"/>
      <c r="FF23" s="149"/>
      <c r="FL23" s="213"/>
      <c r="FN23" s="149" t="s">
        <v>1813</v>
      </c>
      <c r="FO23" s="133" t="s">
        <v>388</v>
      </c>
      <c r="FP23" s="116">
        <v>0</v>
      </c>
      <c r="FQ23" s="116">
        <v>1000</v>
      </c>
      <c r="FR23" s="135" t="b">
        <v>0</v>
      </c>
      <c r="FT23" s="213"/>
      <c r="FV23" s="149"/>
      <c r="GB23" s="213"/>
      <c r="GD23" s="149" t="s">
        <v>1957</v>
      </c>
      <c r="GE23" s="116" t="s">
        <v>396</v>
      </c>
      <c r="GF23" s="99">
        <v>0</v>
      </c>
      <c r="GG23" s="99">
        <v>1000</v>
      </c>
      <c r="GH23" s="135" t="b">
        <v>0</v>
      </c>
      <c r="GJ23" s="213"/>
      <c r="GL23" s="149" t="s">
        <v>1864</v>
      </c>
      <c r="GM23" s="116" t="s">
        <v>1016</v>
      </c>
      <c r="GN23" s="116">
        <v>0</v>
      </c>
      <c r="GO23" s="116">
        <v>2500</v>
      </c>
      <c r="GP23" s="135" t="b">
        <v>0</v>
      </c>
      <c r="GR23" s="213"/>
      <c r="GT23" s="149"/>
      <c r="GZ23" s="213"/>
    </row>
    <row r="24" spans="2:208" ht="14.4" x14ac:dyDescent="0.3">
      <c r="B24" s="149"/>
      <c r="C24" s="116"/>
      <c r="D24" s="116"/>
      <c r="F24" s="135"/>
      <c r="G24" s="135"/>
      <c r="H24" s="213"/>
      <c r="I24" s="131"/>
      <c r="J24" s="149"/>
      <c r="N24" s="135"/>
      <c r="O24" s="135"/>
      <c r="P24" s="213"/>
      <c r="R24" s="149"/>
      <c r="V24" s="135"/>
      <c r="W24" s="135"/>
      <c r="X24" s="213"/>
      <c r="Z24" s="149"/>
      <c r="AD24" s="135"/>
      <c r="AE24" s="135"/>
      <c r="AF24" s="213"/>
      <c r="AH24" s="149"/>
      <c r="AN24" s="213"/>
      <c r="AP24" s="149" t="s">
        <v>1611</v>
      </c>
      <c r="AQ24" s="116" t="s">
        <v>40</v>
      </c>
      <c r="AR24" s="116">
        <v>0</v>
      </c>
      <c r="AS24" s="116">
        <v>10</v>
      </c>
      <c r="AV24" s="213"/>
      <c r="AX24" s="149"/>
      <c r="BD24" s="213"/>
      <c r="BF24" s="149"/>
      <c r="BL24" s="213"/>
      <c r="BN24" s="149"/>
      <c r="BT24" s="213"/>
      <c r="BV24" s="149"/>
      <c r="CB24" s="213"/>
      <c r="CD24" s="149"/>
      <c r="CJ24" s="213"/>
      <c r="CL24" s="149"/>
      <c r="CR24" s="213"/>
      <c r="CT24" s="149"/>
      <c r="CZ24" s="213"/>
      <c r="DB24" s="149"/>
      <c r="DH24" s="213"/>
      <c r="DJ24" s="149" t="s">
        <v>1687</v>
      </c>
      <c r="DK24" s="99" t="s">
        <v>635</v>
      </c>
      <c r="DL24" s="99">
        <v>0</v>
      </c>
      <c r="DN24" s="135" t="b">
        <v>0</v>
      </c>
      <c r="DP24" s="213"/>
      <c r="DR24" s="149" t="s">
        <v>1908</v>
      </c>
      <c r="DS24" s="164" t="s">
        <v>1017</v>
      </c>
      <c r="DT24" s="99">
        <v>0</v>
      </c>
      <c r="DU24" s="116">
        <v>1000000</v>
      </c>
      <c r="DV24" s="135" t="b">
        <v>0</v>
      </c>
      <c r="DX24" s="213"/>
      <c r="DZ24" s="149" t="s">
        <v>1924</v>
      </c>
      <c r="EA24" s="99" t="s">
        <v>512</v>
      </c>
      <c r="EB24" s="99">
        <v>0</v>
      </c>
      <c r="ED24" s="135" t="b">
        <v>0</v>
      </c>
      <c r="EF24" s="213"/>
      <c r="EH24" s="149"/>
      <c r="EN24" s="213"/>
      <c r="EP24" s="149" t="s">
        <v>1756</v>
      </c>
      <c r="EQ24" s="116" t="s">
        <v>245</v>
      </c>
      <c r="ER24" s="116">
        <v>0</v>
      </c>
      <c r="ES24" s="116">
        <v>100</v>
      </c>
      <c r="ET24" s="135" t="b">
        <v>0</v>
      </c>
      <c r="EV24" s="213"/>
      <c r="EX24" s="149" t="s">
        <v>1770</v>
      </c>
      <c r="EY24" s="116" t="s">
        <v>118</v>
      </c>
      <c r="EZ24" s="116">
        <v>0</v>
      </c>
      <c r="FA24" s="116">
        <v>50000</v>
      </c>
      <c r="FB24" s="135" t="b">
        <v>0</v>
      </c>
      <c r="FD24" s="213"/>
      <c r="FF24" s="149"/>
      <c r="FL24" s="213"/>
      <c r="FN24" s="149" t="s">
        <v>1814</v>
      </c>
      <c r="FO24" s="133" t="s">
        <v>388</v>
      </c>
      <c r="FP24" s="116">
        <v>0</v>
      </c>
      <c r="FQ24" s="116">
        <v>1000</v>
      </c>
      <c r="FR24" s="135" t="b">
        <v>0</v>
      </c>
      <c r="FT24" s="213"/>
      <c r="FV24" s="149"/>
      <c r="FW24" s="135"/>
      <c r="FX24" s="135"/>
      <c r="FY24" s="135"/>
      <c r="GB24" s="213"/>
      <c r="GD24" s="149" t="s">
        <v>1839</v>
      </c>
      <c r="GE24" s="99" t="s">
        <v>388</v>
      </c>
      <c r="GF24" s="99">
        <v>0</v>
      </c>
      <c r="GG24" s="99">
        <v>1000</v>
      </c>
      <c r="GH24" s="135" t="b">
        <v>0</v>
      </c>
      <c r="GJ24" s="213"/>
      <c r="GL24" s="149" t="s">
        <v>1967</v>
      </c>
      <c r="GM24" s="116" t="s">
        <v>5</v>
      </c>
      <c r="GN24" s="116">
        <v>0</v>
      </c>
      <c r="GO24" s="116">
        <v>50000</v>
      </c>
      <c r="GP24" s="135" t="b">
        <v>0</v>
      </c>
      <c r="GR24" s="213"/>
      <c r="GT24" s="149"/>
      <c r="GZ24" s="213"/>
    </row>
    <row r="25" spans="2:208" ht="14.4" x14ac:dyDescent="0.3">
      <c r="B25" s="149"/>
      <c r="C25" s="116"/>
      <c r="D25" s="116"/>
      <c r="F25" s="135"/>
      <c r="G25" s="135"/>
      <c r="H25" s="213"/>
      <c r="I25" s="131"/>
      <c r="J25" s="149"/>
      <c r="N25" s="135"/>
      <c r="O25" s="135"/>
      <c r="P25" s="213"/>
      <c r="R25" s="149"/>
      <c r="V25" s="135"/>
      <c r="W25" s="135"/>
      <c r="X25" s="213"/>
      <c r="Z25" s="149"/>
      <c r="AD25" s="135"/>
      <c r="AE25" s="135"/>
      <c r="AF25" s="213"/>
      <c r="AH25" s="149"/>
      <c r="AN25" s="213"/>
      <c r="AP25" s="149" t="s">
        <v>1610</v>
      </c>
      <c r="AQ25" s="116" t="s">
        <v>1570</v>
      </c>
      <c r="AR25" s="116">
        <v>0</v>
      </c>
      <c r="AS25" s="116">
        <v>999999</v>
      </c>
      <c r="AT25" s="135" t="b">
        <v>0</v>
      </c>
      <c r="AV25" s="213"/>
      <c r="AX25" s="149"/>
      <c r="BD25" s="213"/>
      <c r="BF25" s="149"/>
      <c r="BL25" s="213"/>
      <c r="BN25" s="149"/>
      <c r="BT25" s="213"/>
      <c r="BV25" s="149"/>
      <c r="CB25" s="213"/>
      <c r="CD25" s="149"/>
      <c r="CJ25" s="213"/>
      <c r="CL25" s="149"/>
      <c r="CR25" s="213"/>
      <c r="CT25" s="149"/>
      <c r="CZ25" s="213"/>
      <c r="DB25" s="149"/>
      <c r="DH25" s="213"/>
      <c r="DJ25" s="149" t="s">
        <v>2014</v>
      </c>
      <c r="DK25" s="116" t="s">
        <v>40</v>
      </c>
      <c r="DL25" s="116">
        <v>0</v>
      </c>
      <c r="DM25" s="116">
        <v>100</v>
      </c>
      <c r="DN25" s="135" t="b">
        <v>0</v>
      </c>
      <c r="DP25" s="213"/>
      <c r="DR25" s="149" t="s">
        <v>1909</v>
      </c>
      <c r="DS25" s="164" t="s">
        <v>1018</v>
      </c>
      <c r="DT25" s="99">
        <v>0</v>
      </c>
      <c r="DU25" s="116">
        <v>1000000</v>
      </c>
      <c r="DV25" s="135" t="b">
        <v>0</v>
      </c>
      <c r="DX25" s="213"/>
      <c r="DZ25" s="149" t="s">
        <v>1741</v>
      </c>
      <c r="EA25" s="151" t="s">
        <v>1567</v>
      </c>
      <c r="EB25" s="99">
        <v>0</v>
      </c>
      <c r="ED25" s="135" t="b">
        <v>0</v>
      </c>
      <c r="EF25" s="213"/>
      <c r="EH25" s="149"/>
      <c r="EN25" s="213"/>
      <c r="EP25" s="149"/>
      <c r="EV25" s="213"/>
      <c r="EX25" s="149" t="s">
        <v>1771</v>
      </c>
      <c r="EY25" s="116" t="s">
        <v>40</v>
      </c>
      <c r="EZ25" s="116">
        <v>0</v>
      </c>
      <c r="FA25" s="116">
        <v>100</v>
      </c>
      <c r="FB25" s="135" t="b">
        <v>0</v>
      </c>
      <c r="FD25" s="213"/>
      <c r="FF25" s="149"/>
      <c r="FL25" s="213"/>
      <c r="FN25" s="149" t="s">
        <v>1815</v>
      </c>
      <c r="FO25" s="133" t="s">
        <v>388</v>
      </c>
      <c r="FP25" s="116">
        <v>0</v>
      </c>
      <c r="FQ25" s="116">
        <v>1000</v>
      </c>
      <c r="FR25" s="135" t="b">
        <v>0</v>
      </c>
      <c r="FT25" s="213"/>
      <c r="FV25" s="149"/>
      <c r="FW25" s="135"/>
      <c r="FX25" s="135"/>
      <c r="FY25" s="135"/>
      <c r="GB25" s="213"/>
      <c r="GD25" s="149" t="s">
        <v>1840</v>
      </c>
      <c r="GE25" s="99" t="s">
        <v>388</v>
      </c>
      <c r="GF25" s="99">
        <v>0</v>
      </c>
      <c r="GG25" s="99">
        <v>1000</v>
      </c>
      <c r="GH25" s="135" t="b">
        <v>0</v>
      </c>
      <c r="GJ25" s="213"/>
      <c r="GL25" s="149" t="s">
        <v>1865</v>
      </c>
      <c r="GM25" s="116" t="s">
        <v>5</v>
      </c>
      <c r="GN25" s="116">
        <v>0</v>
      </c>
      <c r="GO25" s="116">
        <v>50000</v>
      </c>
      <c r="GP25" s="135" t="b">
        <v>0</v>
      </c>
      <c r="GR25" s="213"/>
      <c r="GT25" s="149"/>
      <c r="GZ25" s="213"/>
    </row>
    <row r="26" spans="2:208" ht="14.4" x14ac:dyDescent="0.3">
      <c r="B26" s="149"/>
      <c r="C26" s="116"/>
      <c r="D26" s="116"/>
      <c r="F26" s="135"/>
      <c r="G26" s="135"/>
      <c r="H26" s="213"/>
      <c r="I26" s="131"/>
      <c r="J26" s="149"/>
      <c r="N26" s="135"/>
      <c r="O26" s="135"/>
      <c r="P26" s="213"/>
      <c r="R26" s="149"/>
      <c r="V26" s="135"/>
      <c r="W26" s="135"/>
      <c r="X26" s="213"/>
      <c r="Z26" s="149"/>
      <c r="AD26" s="135"/>
      <c r="AE26" s="135"/>
      <c r="AF26" s="213"/>
      <c r="AH26" s="149"/>
      <c r="AN26" s="213"/>
      <c r="AP26" s="149"/>
      <c r="AV26" s="213"/>
      <c r="AX26" s="149"/>
      <c r="BD26" s="213"/>
      <c r="BF26" s="149"/>
      <c r="BL26" s="213"/>
      <c r="BN26" s="149"/>
      <c r="BT26" s="213"/>
      <c r="BV26" s="149"/>
      <c r="CB26" s="213"/>
      <c r="CD26" s="149"/>
      <c r="CJ26" s="213"/>
      <c r="CL26" s="149"/>
      <c r="CR26" s="213"/>
      <c r="CT26" s="149"/>
      <c r="CZ26" s="213"/>
      <c r="DB26" s="149"/>
      <c r="DH26" s="213"/>
      <c r="DJ26" s="149" t="s">
        <v>1898</v>
      </c>
      <c r="DK26" s="116" t="s">
        <v>40</v>
      </c>
      <c r="DL26" s="99">
        <v>0</v>
      </c>
      <c r="DM26" s="116">
        <v>100</v>
      </c>
      <c r="DN26" s="135" t="b">
        <v>0</v>
      </c>
      <c r="DP26" s="213"/>
      <c r="DR26" s="149" t="s">
        <v>1910</v>
      </c>
      <c r="DS26" s="164" t="s">
        <v>1020</v>
      </c>
      <c r="DT26" s="99">
        <v>0</v>
      </c>
      <c r="DU26" s="116">
        <v>1000000</v>
      </c>
      <c r="DV26" s="135" t="b">
        <v>0</v>
      </c>
      <c r="DX26" s="213"/>
      <c r="DZ26" s="149" t="s">
        <v>1742</v>
      </c>
      <c r="EA26" s="116" t="s">
        <v>388</v>
      </c>
      <c r="EB26" s="116">
        <v>0</v>
      </c>
      <c r="EC26" s="116">
        <v>1000</v>
      </c>
      <c r="EF26" s="213"/>
      <c r="EH26" s="149"/>
      <c r="EN26" s="213"/>
      <c r="EP26" s="149"/>
      <c r="EV26" s="213"/>
      <c r="EX26" s="149" t="s">
        <v>1772</v>
      </c>
      <c r="EY26" s="116" t="s">
        <v>119</v>
      </c>
      <c r="EZ26" s="116">
        <v>0</v>
      </c>
      <c r="FA26" s="116">
        <v>25000</v>
      </c>
      <c r="FB26" s="135" t="b">
        <v>0</v>
      </c>
      <c r="FD26" s="213"/>
      <c r="FF26" s="149"/>
      <c r="FL26" s="213"/>
      <c r="FN26" s="149" t="s">
        <v>1816</v>
      </c>
      <c r="FO26" s="133" t="s">
        <v>388</v>
      </c>
      <c r="FP26" s="116">
        <v>0</v>
      </c>
      <c r="FQ26" s="116">
        <v>1000</v>
      </c>
      <c r="FR26" s="135" t="b">
        <v>0</v>
      </c>
      <c r="FT26" s="213"/>
      <c r="FV26" s="149"/>
      <c r="FW26" s="135"/>
      <c r="FX26" s="135"/>
      <c r="FY26" s="135"/>
      <c r="GB26" s="213"/>
      <c r="GD26" s="149" t="s">
        <v>1841</v>
      </c>
      <c r="GE26" s="99" t="s">
        <v>388</v>
      </c>
      <c r="GF26" s="99">
        <v>0</v>
      </c>
      <c r="GG26" s="99">
        <v>1000</v>
      </c>
      <c r="GH26" s="135" t="b">
        <v>0</v>
      </c>
      <c r="GJ26" s="213"/>
      <c r="GL26" s="149" t="s">
        <v>1866</v>
      </c>
      <c r="GM26" s="116" t="s">
        <v>5</v>
      </c>
      <c r="GN26" s="116">
        <v>0</v>
      </c>
      <c r="GO26" s="116">
        <v>50000</v>
      </c>
      <c r="GP26" s="135" t="b">
        <v>0</v>
      </c>
      <c r="GR26" s="213"/>
      <c r="GT26" s="149"/>
      <c r="GZ26" s="213"/>
    </row>
    <row r="27" spans="2:208" ht="14.4" x14ac:dyDescent="0.3">
      <c r="B27" s="149"/>
      <c r="C27" s="116"/>
      <c r="D27" s="116"/>
      <c r="F27" s="135"/>
      <c r="G27" s="135"/>
      <c r="H27" s="213"/>
      <c r="I27" s="131"/>
      <c r="J27" s="149"/>
      <c r="N27" s="135"/>
      <c r="O27" s="135"/>
      <c r="P27" s="213"/>
      <c r="R27" s="149"/>
      <c r="V27" s="135"/>
      <c r="W27" s="135"/>
      <c r="X27" s="213"/>
      <c r="Z27" s="149"/>
      <c r="AD27" s="135"/>
      <c r="AE27" s="135"/>
      <c r="AF27" s="213"/>
      <c r="AH27" s="149"/>
      <c r="AN27" s="213"/>
      <c r="AP27" s="149"/>
      <c r="AV27" s="213"/>
      <c r="AX27" s="149"/>
      <c r="BD27" s="213"/>
      <c r="BF27" s="149"/>
      <c r="BL27" s="213"/>
      <c r="BN27" s="149"/>
      <c r="BT27" s="213"/>
      <c r="BV27" s="149"/>
      <c r="CB27" s="213"/>
      <c r="CD27" s="149"/>
      <c r="CJ27" s="213"/>
      <c r="CL27" s="149"/>
      <c r="CR27" s="213"/>
      <c r="CT27" s="149"/>
      <c r="CZ27" s="213"/>
      <c r="DB27" s="149"/>
      <c r="DH27" s="213"/>
      <c r="DJ27" s="149" t="s">
        <v>1690</v>
      </c>
      <c r="DK27" s="99" t="s">
        <v>388</v>
      </c>
      <c r="DL27" s="99">
        <v>0</v>
      </c>
      <c r="DN27" s="135" t="b">
        <v>0</v>
      </c>
      <c r="DP27" s="213"/>
      <c r="DR27" s="149" t="s">
        <v>1706</v>
      </c>
      <c r="DS27" s="99" t="s">
        <v>388</v>
      </c>
      <c r="DT27" s="99">
        <v>0</v>
      </c>
      <c r="DU27" s="116">
        <v>1000</v>
      </c>
      <c r="DV27" s="135" t="b">
        <v>0</v>
      </c>
      <c r="DX27" s="213"/>
      <c r="DZ27" s="149" t="s">
        <v>1925</v>
      </c>
      <c r="EA27" s="164" t="s">
        <v>1019</v>
      </c>
      <c r="EB27" s="99">
        <v>0</v>
      </c>
      <c r="EC27" s="116">
        <v>1000</v>
      </c>
      <c r="ED27" s="135" t="b">
        <v>0</v>
      </c>
      <c r="EF27" s="213"/>
      <c r="EH27" s="149"/>
      <c r="EN27" s="213"/>
      <c r="EP27" s="149"/>
      <c r="EV27" s="213"/>
      <c r="EX27" s="149" t="s">
        <v>1773</v>
      </c>
      <c r="EY27" s="116" t="s">
        <v>91</v>
      </c>
      <c r="EZ27" s="116">
        <v>0</v>
      </c>
      <c r="FA27" s="116">
        <v>10000</v>
      </c>
      <c r="FB27" s="135" t="b">
        <v>0</v>
      </c>
      <c r="FD27" s="213"/>
      <c r="FF27" s="149"/>
      <c r="FL27" s="213"/>
      <c r="FN27" s="149" t="s">
        <v>1817</v>
      </c>
      <c r="FO27" s="133" t="s">
        <v>388</v>
      </c>
      <c r="FP27" s="116">
        <v>0</v>
      </c>
      <c r="FQ27" s="116">
        <v>1000</v>
      </c>
      <c r="FR27" s="135" t="b">
        <v>0</v>
      </c>
      <c r="FT27" s="213"/>
      <c r="FV27" s="149"/>
      <c r="FW27" s="135"/>
      <c r="FX27" s="135"/>
      <c r="FY27" s="135"/>
      <c r="GB27" s="213"/>
      <c r="GD27" s="149" t="s">
        <v>1842</v>
      </c>
      <c r="GE27" s="99" t="s">
        <v>388</v>
      </c>
      <c r="GF27" s="99">
        <v>0</v>
      </c>
      <c r="GG27" s="99">
        <v>1000</v>
      </c>
      <c r="GH27" s="135" t="b">
        <v>0</v>
      </c>
      <c r="GJ27" s="213"/>
      <c r="GL27" s="149" t="s">
        <v>1968</v>
      </c>
      <c r="GM27" s="116" t="s">
        <v>11</v>
      </c>
      <c r="GN27" s="116">
        <v>0</v>
      </c>
      <c r="GO27" s="116">
        <v>10</v>
      </c>
      <c r="GP27" s="135" t="b">
        <v>0</v>
      </c>
      <c r="GR27" s="213"/>
      <c r="GT27" s="149"/>
      <c r="GZ27" s="213"/>
    </row>
    <row r="28" spans="2:208" ht="14.4" x14ac:dyDescent="0.3">
      <c r="B28" s="149"/>
      <c r="C28" s="116"/>
      <c r="D28" s="116"/>
      <c r="F28" s="135"/>
      <c r="G28" s="135"/>
      <c r="H28" s="213"/>
      <c r="I28" s="131"/>
      <c r="J28" s="149"/>
      <c r="N28" s="135"/>
      <c r="O28" s="135"/>
      <c r="P28" s="213"/>
      <c r="R28" s="149"/>
      <c r="V28" s="135"/>
      <c r="W28" s="135"/>
      <c r="X28" s="213"/>
      <c r="Z28" s="149"/>
      <c r="AD28" s="135"/>
      <c r="AE28" s="135"/>
      <c r="AF28" s="213"/>
      <c r="AH28" s="149"/>
      <c r="AN28" s="213"/>
      <c r="AP28" s="149"/>
      <c r="AV28" s="213"/>
      <c r="AX28" s="149"/>
      <c r="BD28" s="213"/>
      <c r="BF28" s="149"/>
      <c r="BL28" s="213"/>
      <c r="BN28" s="149"/>
      <c r="BT28" s="213"/>
      <c r="BV28" s="149"/>
      <c r="CB28" s="213"/>
      <c r="CD28" s="149"/>
      <c r="CJ28" s="213"/>
      <c r="CL28" s="149"/>
      <c r="CR28" s="213"/>
      <c r="CT28" s="149"/>
      <c r="CZ28" s="213"/>
      <c r="DB28" s="149"/>
      <c r="DH28" s="213"/>
      <c r="DJ28" s="149"/>
      <c r="DP28" s="213"/>
      <c r="DR28" s="149" t="s">
        <v>1911</v>
      </c>
      <c r="DS28" s="99" t="s">
        <v>396</v>
      </c>
      <c r="DT28" s="99">
        <v>0</v>
      </c>
      <c r="DU28" s="116">
        <v>1000000</v>
      </c>
      <c r="DV28" s="135" t="b">
        <v>0</v>
      </c>
      <c r="DX28" s="213"/>
      <c r="DZ28" s="149" t="s">
        <v>1744</v>
      </c>
      <c r="EA28" s="164" t="s">
        <v>1019</v>
      </c>
      <c r="EB28" s="99">
        <v>0</v>
      </c>
      <c r="EC28" s="116">
        <v>1000</v>
      </c>
      <c r="ED28" s="135" t="b">
        <v>0</v>
      </c>
      <c r="EF28" s="213"/>
      <c r="EH28" s="149"/>
      <c r="EN28" s="213"/>
      <c r="EP28" s="149"/>
      <c r="EV28" s="213"/>
      <c r="EX28" s="149" t="s">
        <v>1774</v>
      </c>
      <c r="EY28" s="116" t="s">
        <v>46</v>
      </c>
      <c r="EZ28" s="116">
        <v>0</v>
      </c>
      <c r="FA28" s="116">
        <v>50000</v>
      </c>
      <c r="FB28" s="135" t="b">
        <v>0</v>
      </c>
      <c r="FD28" s="213"/>
      <c r="FF28" s="149"/>
      <c r="FL28" s="213"/>
      <c r="FN28" s="149" t="s">
        <v>1947</v>
      </c>
      <c r="FO28" s="133" t="s">
        <v>388</v>
      </c>
      <c r="FP28" s="116">
        <v>0</v>
      </c>
      <c r="FQ28" s="116">
        <v>1000</v>
      </c>
      <c r="FR28" s="135" t="b">
        <v>0</v>
      </c>
      <c r="FT28" s="213"/>
      <c r="FV28" s="149"/>
      <c r="GB28" s="213"/>
      <c r="GD28" s="149" t="s">
        <v>1843</v>
      </c>
      <c r="GE28" s="99" t="s">
        <v>388</v>
      </c>
      <c r="GF28" s="99">
        <v>0</v>
      </c>
      <c r="GG28" s="99">
        <v>1000</v>
      </c>
      <c r="GH28" s="135" t="b">
        <v>0</v>
      </c>
      <c r="GJ28" s="213"/>
      <c r="GL28" s="149" t="s">
        <v>1867</v>
      </c>
      <c r="GM28" s="116" t="s">
        <v>13</v>
      </c>
      <c r="GN28" s="116">
        <v>0</v>
      </c>
      <c r="GO28" s="116">
        <v>100</v>
      </c>
      <c r="GP28" s="135" t="b">
        <v>0</v>
      </c>
      <c r="GR28" s="213"/>
      <c r="GT28" s="149"/>
      <c r="GZ28" s="213"/>
    </row>
    <row r="29" spans="2:208" ht="14.4" x14ac:dyDescent="0.3">
      <c r="B29" s="149"/>
      <c r="C29" s="116"/>
      <c r="D29" s="116"/>
      <c r="F29" s="135"/>
      <c r="G29" s="135"/>
      <c r="H29" s="213"/>
      <c r="I29" s="131"/>
      <c r="J29" s="149"/>
      <c r="N29" s="135"/>
      <c r="O29" s="135"/>
      <c r="P29" s="213"/>
      <c r="R29" s="149"/>
      <c r="V29" s="135"/>
      <c r="W29" s="135"/>
      <c r="X29" s="213"/>
      <c r="Z29" s="149"/>
      <c r="AD29" s="135"/>
      <c r="AE29" s="135"/>
      <c r="AF29" s="213"/>
      <c r="AH29" s="149"/>
      <c r="AN29" s="213"/>
      <c r="AP29" s="149"/>
      <c r="AV29" s="213"/>
      <c r="AX29" s="149"/>
      <c r="BD29" s="213"/>
      <c r="BF29" s="149"/>
      <c r="BL29" s="213"/>
      <c r="BN29" s="149"/>
      <c r="BT29" s="213"/>
      <c r="BV29" s="149"/>
      <c r="CB29" s="213"/>
      <c r="CD29" s="149"/>
      <c r="CJ29" s="213"/>
      <c r="CL29" s="149"/>
      <c r="CR29" s="213"/>
      <c r="CT29" s="149"/>
      <c r="CZ29" s="213"/>
      <c r="DB29" s="149"/>
      <c r="DH29" s="213"/>
      <c r="DJ29" s="149"/>
      <c r="DP29" s="213"/>
      <c r="DR29" s="149" t="s">
        <v>1708</v>
      </c>
      <c r="DS29" s="116" t="s">
        <v>244</v>
      </c>
      <c r="DT29" s="99">
        <v>0</v>
      </c>
      <c r="DU29" s="116">
        <v>14</v>
      </c>
      <c r="DX29" s="213"/>
      <c r="DZ29" s="149" t="s">
        <v>1745</v>
      </c>
      <c r="EA29" s="164" t="s">
        <v>1021</v>
      </c>
      <c r="EB29" s="99">
        <v>0</v>
      </c>
      <c r="EC29" s="116">
        <v>1000000</v>
      </c>
      <c r="ED29" s="135" t="b">
        <v>0</v>
      </c>
      <c r="EF29" s="213"/>
      <c r="EH29" s="149"/>
      <c r="EN29" s="213"/>
      <c r="EP29" s="149"/>
      <c r="EV29" s="213"/>
      <c r="EX29" s="149" t="s">
        <v>1775</v>
      </c>
      <c r="EY29" s="116" t="s">
        <v>118</v>
      </c>
      <c r="EZ29" s="116">
        <v>0</v>
      </c>
      <c r="FA29" s="116">
        <v>50000</v>
      </c>
      <c r="FB29" s="135" t="b">
        <v>0</v>
      </c>
      <c r="FD29" s="213"/>
      <c r="FF29" s="149"/>
      <c r="FL29" s="213"/>
      <c r="FN29" s="149" t="s">
        <v>1819</v>
      </c>
      <c r="FO29" s="133" t="s">
        <v>388</v>
      </c>
      <c r="FP29" s="116">
        <v>0</v>
      </c>
      <c r="FQ29" s="116">
        <v>1000</v>
      </c>
      <c r="FR29" s="135" t="b">
        <v>0</v>
      </c>
      <c r="FT29" s="213"/>
      <c r="FV29" s="149"/>
      <c r="GB29" s="213"/>
      <c r="GD29" s="149" t="s">
        <v>1844</v>
      </c>
      <c r="GE29" s="99" t="s">
        <v>388</v>
      </c>
      <c r="GF29" s="99">
        <v>0</v>
      </c>
      <c r="GG29" s="99">
        <v>1000</v>
      </c>
      <c r="GH29" s="135" t="b">
        <v>0</v>
      </c>
      <c r="GJ29" s="213"/>
      <c r="GL29" s="149" t="s">
        <v>1965</v>
      </c>
      <c r="GM29" s="116" t="s">
        <v>16</v>
      </c>
      <c r="GN29" s="116">
        <v>0</v>
      </c>
      <c r="GO29" s="116">
        <v>100</v>
      </c>
      <c r="GP29" s="135" t="b">
        <v>0</v>
      </c>
      <c r="GR29" s="213"/>
      <c r="GT29" s="149"/>
      <c r="GZ29" s="213"/>
    </row>
    <row r="30" spans="2:208" ht="14.4" x14ac:dyDescent="0.3">
      <c r="B30" s="149"/>
      <c r="C30" s="116"/>
      <c r="D30" s="116"/>
      <c r="F30" s="135"/>
      <c r="G30" s="135"/>
      <c r="H30" s="213"/>
      <c r="I30" s="131"/>
      <c r="J30" s="149"/>
      <c r="N30" s="135"/>
      <c r="O30" s="135"/>
      <c r="P30" s="213"/>
      <c r="R30" s="149"/>
      <c r="V30" s="135"/>
      <c r="W30" s="135"/>
      <c r="X30" s="213"/>
      <c r="Z30" s="149"/>
      <c r="AD30" s="135"/>
      <c r="AE30" s="135"/>
      <c r="AF30" s="213"/>
      <c r="AH30" s="149"/>
      <c r="AN30" s="213"/>
      <c r="AP30" s="149"/>
      <c r="AV30" s="213"/>
      <c r="AX30" s="149"/>
      <c r="BD30" s="213"/>
      <c r="BF30" s="149"/>
      <c r="BL30" s="213"/>
      <c r="BN30" s="149"/>
      <c r="BT30" s="213"/>
      <c r="BV30" s="149"/>
      <c r="CB30" s="213"/>
      <c r="CD30" s="149"/>
      <c r="CJ30" s="213"/>
      <c r="CL30" s="149"/>
      <c r="CR30" s="213"/>
      <c r="CT30" s="149"/>
      <c r="CZ30" s="213"/>
      <c r="DB30" s="149"/>
      <c r="DH30" s="213"/>
      <c r="DJ30" s="149"/>
      <c r="DP30" s="213"/>
      <c r="DR30" s="149" t="s">
        <v>1709</v>
      </c>
      <c r="DS30" s="115" t="s">
        <v>388</v>
      </c>
      <c r="DT30" s="99">
        <v>0</v>
      </c>
      <c r="DU30" s="116">
        <v>1000</v>
      </c>
      <c r="DV30" s="135" t="b">
        <v>0</v>
      </c>
      <c r="DX30" s="213"/>
      <c r="DZ30" s="149" t="s">
        <v>1746</v>
      </c>
      <c r="EA30" s="164" t="s">
        <v>637</v>
      </c>
      <c r="EB30" s="99">
        <v>0</v>
      </c>
      <c r="EC30" s="116">
        <v>1000000</v>
      </c>
      <c r="ED30" s="135" t="b">
        <v>0</v>
      </c>
      <c r="EF30" s="213"/>
      <c r="EH30" s="149"/>
      <c r="EN30" s="213"/>
      <c r="EP30" s="149"/>
      <c r="EV30" s="213"/>
      <c r="EX30" s="149" t="s">
        <v>1936</v>
      </c>
      <c r="EY30" s="116" t="s">
        <v>1549</v>
      </c>
      <c r="EZ30" s="116">
        <v>0</v>
      </c>
      <c r="FA30" s="116">
        <v>1000</v>
      </c>
      <c r="FB30" s="135" t="b">
        <v>0</v>
      </c>
      <c r="FD30" s="213"/>
      <c r="FF30" s="149"/>
      <c r="FL30" s="213"/>
      <c r="FN30" s="149" t="s">
        <v>1820</v>
      </c>
      <c r="FO30" s="133" t="s">
        <v>388</v>
      </c>
      <c r="FP30" s="116">
        <v>0</v>
      </c>
      <c r="FQ30" s="116">
        <v>1000</v>
      </c>
      <c r="FR30" s="135" t="b">
        <v>0</v>
      </c>
      <c r="FT30" s="213"/>
      <c r="FV30" s="149"/>
      <c r="GB30" s="213"/>
      <c r="GD30" s="149" t="s">
        <v>1958</v>
      </c>
      <c r="GE30" s="99" t="s">
        <v>388</v>
      </c>
      <c r="GF30" s="99">
        <v>0</v>
      </c>
      <c r="GG30" s="99">
        <v>1000</v>
      </c>
      <c r="GH30" s="135" t="b">
        <v>0</v>
      </c>
      <c r="GJ30" s="213"/>
      <c r="GL30" s="149" t="s">
        <v>1869</v>
      </c>
      <c r="GM30" s="116" t="s">
        <v>18</v>
      </c>
      <c r="GN30" s="116">
        <v>0</v>
      </c>
      <c r="GO30" s="116">
        <v>100</v>
      </c>
      <c r="GP30" s="135" t="b">
        <v>0</v>
      </c>
      <c r="GR30" s="213"/>
      <c r="GT30" s="149"/>
      <c r="GZ30" s="213"/>
    </row>
    <row r="31" spans="2:208" ht="14.4" x14ac:dyDescent="0.3">
      <c r="B31" s="149"/>
      <c r="C31" s="116"/>
      <c r="D31" s="116"/>
      <c r="F31" s="135"/>
      <c r="G31" s="135"/>
      <c r="H31" s="213"/>
      <c r="I31" s="131"/>
      <c r="J31" s="149"/>
      <c r="N31" s="135"/>
      <c r="O31" s="135"/>
      <c r="P31" s="213"/>
      <c r="R31" s="149"/>
      <c r="V31" s="135"/>
      <c r="W31" s="135"/>
      <c r="X31" s="213"/>
      <c r="Z31" s="149"/>
      <c r="AD31" s="135"/>
      <c r="AE31" s="135"/>
      <c r="AF31" s="213"/>
      <c r="AH31" s="149"/>
      <c r="AN31" s="213"/>
      <c r="AP31" s="149"/>
      <c r="AV31" s="213"/>
      <c r="AX31" s="149"/>
      <c r="BD31" s="213"/>
      <c r="BF31" s="149"/>
      <c r="BL31" s="213"/>
      <c r="BN31" s="149"/>
      <c r="BT31" s="213"/>
      <c r="BV31" s="149"/>
      <c r="CB31" s="213"/>
      <c r="CD31" s="149"/>
      <c r="CJ31" s="213"/>
      <c r="CL31" s="149"/>
      <c r="CR31" s="213"/>
      <c r="CT31" s="149"/>
      <c r="CZ31" s="213"/>
      <c r="DB31" s="149"/>
      <c r="DH31" s="213"/>
      <c r="DJ31" s="149"/>
      <c r="DP31" s="213"/>
      <c r="DR31" s="149" t="s">
        <v>1710</v>
      </c>
      <c r="DS31" s="99" t="s">
        <v>388</v>
      </c>
      <c r="DT31" s="99">
        <v>0</v>
      </c>
      <c r="DU31" s="116">
        <v>1000</v>
      </c>
      <c r="DV31" s="135" t="b">
        <v>0</v>
      </c>
      <c r="DX31" s="213"/>
      <c r="DZ31" s="149"/>
      <c r="EF31" s="213"/>
      <c r="EH31" s="149"/>
      <c r="EN31" s="213"/>
      <c r="EP31" s="149"/>
      <c r="EV31" s="213"/>
      <c r="EX31" s="149" t="s">
        <v>1777</v>
      </c>
      <c r="EY31" s="116" t="s">
        <v>118</v>
      </c>
      <c r="EZ31" s="116">
        <v>0</v>
      </c>
      <c r="FA31" s="116">
        <v>50000</v>
      </c>
      <c r="FB31" s="135" t="b">
        <v>0</v>
      </c>
      <c r="FD31" s="213"/>
      <c r="FF31" s="149"/>
      <c r="FL31" s="213"/>
      <c r="FN31" s="149" t="s">
        <v>1822</v>
      </c>
      <c r="FO31" s="133" t="s">
        <v>388</v>
      </c>
      <c r="FP31" s="116">
        <v>0</v>
      </c>
      <c r="FQ31" s="116">
        <v>1000</v>
      </c>
      <c r="FR31" s="135" t="b">
        <v>0</v>
      </c>
      <c r="FT31" s="213"/>
      <c r="FV31" s="149"/>
      <c r="GB31" s="213"/>
      <c r="GD31" s="149" t="s">
        <v>1846</v>
      </c>
      <c r="GE31" s="99" t="s">
        <v>388</v>
      </c>
      <c r="GF31" s="99">
        <v>0</v>
      </c>
      <c r="GG31" s="99">
        <v>1000</v>
      </c>
      <c r="GH31" s="135" t="b">
        <v>0</v>
      </c>
      <c r="GJ31" s="213"/>
      <c r="GL31" s="149" t="s">
        <v>1870</v>
      </c>
      <c r="GM31" s="116" t="s">
        <v>119</v>
      </c>
      <c r="GN31" s="116">
        <v>0</v>
      </c>
      <c r="GO31" s="116">
        <v>25000</v>
      </c>
      <c r="GP31" s="135" t="b">
        <v>0</v>
      </c>
      <c r="GR31" s="213"/>
      <c r="GT31" s="149"/>
      <c r="GZ31" s="213"/>
    </row>
    <row r="32" spans="2:208" ht="14.4" x14ac:dyDescent="0.3">
      <c r="B32" s="149"/>
      <c r="C32" s="116"/>
      <c r="D32" s="116"/>
      <c r="F32" s="135"/>
      <c r="G32" s="135"/>
      <c r="H32" s="213"/>
      <c r="I32" s="131"/>
      <c r="J32" s="149"/>
      <c r="N32" s="135"/>
      <c r="O32" s="135"/>
      <c r="P32" s="213"/>
      <c r="R32" s="149"/>
      <c r="V32" s="135"/>
      <c r="W32" s="135"/>
      <c r="X32" s="213"/>
      <c r="Z32" s="149"/>
      <c r="AD32" s="135"/>
      <c r="AE32" s="135"/>
      <c r="AF32" s="213"/>
      <c r="AH32" s="149"/>
      <c r="AN32" s="213"/>
      <c r="AP32" s="149"/>
      <c r="AV32" s="213"/>
      <c r="AX32" s="149"/>
      <c r="BD32" s="213"/>
      <c r="BF32" s="149"/>
      <c r="BL32" s="213"/>
      <c r="BN32" s="149"/>
      <c r="BT32" s="213"/>
      <c r="BV32" s="149"/>
      <c r="CB32" s="213"/>
      <c r="CD32" s="149"/>
      <c r="CJ32" s="213"/>
      <c r="CL32" s="149"/>
      <c r="CR32" s="213"/>
      <c r="CT32" s="149"/>
      <c r="CZ32" s="213"/>
      <c r="DB32" s="149"/>
      <c r="DH32" s="213"/>
      <c r="DJ32" s="149"/>
      <c r="DP32" s="213"/>
      <c r="DR32" s="149" t="s">
        <v>1711</v>
      </c>
      <c r="DS32" s="99" t="s">
        <v>388</v>
      </c>
      <c r="DT32" s="99">
        <v>0</v>
      </c>
      <c r="DU32" s="116">
        <v>1000</v>
      </c>
      <c r="DV32" s="135" t="b">
        <v>0</v>
      </c>
      <c r="DX32" s="213"/>
      <c r="DZ32" s="149"/>
      <c r="EF32" s="213"/>
      <c r="EH32" s="149"/>
      <c r="EN32" s="213"/>
      <c r="EP32" s="149"/>
      <c r="EV32" s="213"/>
      <c r="EX32" s="149" t="s">
        <v>1778</v>
      </c>
      <c r="EY32" s="116" t="s">
        <v>40</v>
      </c>
      <c r="EZ32" s="116">
        <v>0</v>
      </c>
      <c r="FA32" s="116">
        <v>100</v>
      </c>
      <c r="FB32" s="135" t="b">
        <v>0</v>
      </c>
      <c r="FD32" s="213"/>
      <c r="FF32" s="149"/>
      <c r="FL32" s="213"/>
      <c r="FN32" s="149" t="s">
        <v>1948</v>
      </c>
      <c r="FO32" s="133" t="s">
        <v>388</v>
      </c>
      <c r="FP32" s="116">
        <v>0</v>
      </c>
      <c r="FQ32" s="116">
        <v>1000</v>
      </c>
      <c r="FR32" s="135" t="b">
        <v>0</v>
      </c>
      <c r="FT32" s="213"/>
      <c r="FV32" s="149"/>
      <c r="GB32" s="213"/>
      <c r="GD32" s="149" t="s">
        <v>1847</v>
      </c>
      <c r="GE32" s="99" t="s">
        <v>388</v>
      </c>
      <c r="GF32" s="99">
        <v>0</v>
      </c>
      <c r="GG32" s="99">
        <v>1000</v>
      </c>
      <c r="GH32" s="135" t="b">
        <v>0</v>
      </c>
      <c r="GJ32" s="213"/>
      <c r="GL32" s="149" t="s">
        <v>1871</v>
      </c>
      <c r="GM32" s="116" t="s">
        <v>91</v>
      </c>
      <c r="GN32" s="116">
        <v>0</v>
      </c>
      <c r="GO32" s="116">
        <v>2500</v>
      </c>
      <c r="GP32" s="135" t="b">
        <v>0</v>
      </c>
      <c r="GR32" s="213"/>
      <c r="GT32" s="149"/>
      <c r="GZ32" s="213"/>
    </row>
    <row r="33" spans="2:208" ht="14.4" x14ac:dyDescent="0.3">
      <c r="B33" s="149"/>
      <c r="C33" s="116"/>
      <c r="D33" s="116"/>
      <c r="F33" s="135"/>
      <c r="G33" s="135"/>
      <c r="H33" s="213"/>
      <c r="I33" s="131"/>
      <c r="J33" s="149"/>
      <c r="N33" s="135"/>
      <c r="O33" s="135"/>
      <c r="P33" s="213"/>
      <c r="R33" s="149"/>
      <c r="V33" s="135"/>
      <c r="W33" s="135"/>
      <c r="X33" s="213"/>
      <c r="Z33" s="149"/>
      <c r="AD33" s="135"/>
      <c r="AE33" s="135"/>
      <c r="AF33" s="213"/>
      <c r="AH33" s="149"/>
      <c r="AN33" s="213"/>
      <c r="AP33" s="149"/>
      <c r="AV33" s="213"/>
      <c r="AX33" s="149"/>
      <c r="BD33" s="213"/>
      <c r="BF33" s="149"/>
      <c r="BL33" s="213"/>
      <c r="BN33" s="149"/>
      <c r="BT33" s="213"/>
      <c r="BV33" s="149"/>
      <c r="CB33" s="213"/>
      <c r="CD33" s="149"/>
      <c r="CJ33" s="213"/>
      <c r="CL33" s="149"/>
      <c r="CR33" s="213"/>
      <c r="CT33" s="149"/>
      <c r="CZ33" s="213"/>
      <c r="DB33" s="149"/>
      <c r="DH33" s="213"/>
      <c r="DJ33" s="158"/>
      <c r="DK33" s="133"/>
      <c r="DL33" s="133"/>
      <c r="DP33" s="213"/>
      <c r="DR33" s="149" t="s">
        <v>1912</v>
      </c>
      <c r="DS33" s="99" t="s">
        <v>388</v>
      </c>
      <c r="DT33" s="99">
        <v>0</v>
      </c>
      <c r="DU33" s="116">
        <v>1000</v>
      </c>
      <c r="DV33" s="135" t="b">
        <v>0</v>
      </c>
      <c r="DX33" s="213"/>
      <c r="DZ33" s="149"/>
      <c r="EF33" s="213"/>
      <c r="EH33" s="149"/>
      <c r="EN33" s="213"/>
      <c r="EP33" s="149"/>
      <c r="EV33" s="213"/>
      <c r="EX33" s="149" t="s">
        <v>1779</v>
      </c>
      <c r="EY33" s="116" t="s">
        <v>119</v>
      </c>
      <c r="EZ33" s="116">
        <v>0</v>
      </c>
      <c r="FA33" s="116">
        <v>25000</v>
      </c>
      <c r="FB33" s="135" t="b">
        <v>0</v>
      </c>
      <c r="FD33" s="213"/>
      <c r="FF33" s="149"/>
      <c r="FL33" s="213"/>
      <c r="FN33" s="149" t="s">
        <v>1949</v>
      </c>
      <c r="FO33" s="116" t="s">
        <v>388</v>
      </c>
      <c r="FP33" s="116">
        <v>0</v>
      </c>
      <c r="FQ33" s="116">
        <v>1000</v>
      </c>
      <c r="FR33" s="135" t="b">
        <v>0</v>
      </c>
      <c r="FT33" s="213"/>
      <c r="FV33" s="149"/>
      <c r="GB33" s="213"/>
      <c r="GD33" s="149" t="s">
        <v>1959</v>
      </c>
      <c r="GE33" s="99" t="s">
        <v>396</v>
      </c>
      <c r="GF33" s="99">
        <v>0</v>
      </c>
      <c r="GG33" s="99">
        <v>1000</v>
      </c>
      <c r="GH33" s="135" t="b">
        <v>0</v>
      </c>
      <c r="GJ33" s="213"/>
      <c r="GL33" s="149" t="s">
        <v>1872</v>
      </c>
      <c r="GM33" s="116" t="s">
        <v>119</v>
      </c>
      <c r="GN33" s="116">
        <v>0</v>
      </c>
      <c r="GO33" s="116">
        <v>25000</v>
      </c>
      <c r="GP33" s="135" t="b">
        <v>0</v>
      </c>
      <c r="GR33" s="213"/>
      <c r="GT33" s="149"/>
      <c r="GZ33" s="213"/>
    </row>
    <row r="34" spans="2:208" ht="14.4" x14ac:dyDescent="0.3">
      <c r="B34" s="149"/>
      <c r="C34" s="116"/>
      <c r="D34" s="116"/>
      <c r="F34" s="135"/>
      <c r="G34" s="135"/>
      <c r="H34" s="213"/>
      <c r="I34" s="131"/>
      <c r="J34" s="149"/>
      <c r="N34" s="135"/>
      <c r="O34" s="135"/>
      <c r="P34" s="213"/>
      <c r="R34" s="149"/>
      <c r="V34" s="135"/>
      <c r="W34" s="135"/>
      <c r="X34" s="213"/>
      <c r="Z34" s="149"/>
      <c r="AD34" s="135"/>
      <c r="AE34" s="135"/>
      <c r="AF34" s="213"/>
      <c r="AH34" s="149"/>
      <c r="AN34" s="213"/>
      <c r="AP34" s="149"/>
      <c r="AV34" s="213"/>
      <c r="AX34" s="149"/>
      <c r="BD34" s="213"/>
      <c r="BF34" s="149"/>
      <c r="BL34" s="213"/>
      <c r="BN34" s="149"/>
      <c r="BT34" s="213"/>
      <c r="BV34" s="149"/>
      <c r="CB34" s="213"/>
      <c r="CD34" s="149"/>
      <c r="CJ34" s="213"/>
      <c r="CL34" s="149"/>
      <c r="CR34" s="213"/>
      <c r="CT34" s="149"/>
      <c r="CZ34" s="213"/>
      <c r="DB34" s="149"/>
      <c r="DH34" s="213"/>
      <c r="DJ34" s="149"/>
      <c r="DK34" s="133"/>
      <c r="DL34" s="133"/>
      <c r="DP34" s="213"/>
      <c r="DR34" s="149" t="s">
        <v>1713</v>
      </c>
      <c r="DS34" s="99" t="s">
        <v>388</v>
      </c>
      <c r="DT34" s="99">
        <v>0</v>
      </c>
      <c r="DU34" s="116">
        <v>1000</v>
      </c>
      <c r="DV34" s="135" t="b">
        <v>0</v>
      </c>
      <c r="DX34" s="213"/>
      <c r="DZ34" s="158"/>
      <c r="EA34" s="133"/>
      <c r="EB34" s="133"/>
      <c r="EF34" s="213"/>
      <c r="EH34" s="149"/>
      <c r="EN34" s="213"/>
      <c r="EP34" s="158"/>
      <c r="EQ34" s="133"/>
      <c r="ER34" s="133"/>
      <c r="EV34" s="213"/>
      <c r="EX34" s="158" t="s">
        <v>1780</v>
      </c>
      <c r="EY34" s="133" t="s">
        <v>91</v>
      </c>
      <c r="EZ34" s="133">
        <v>0</v>
      </c>
      <c r="FA34" s="116">
        <v>10000</v>
      </c>
      <c r="FB34" s="135" t="b">
        <v>0</v>
      </c>
      <c r="FD34" s="213"/>
      <c r="FF34" s="158"/>
      <c r="FG34" s="133"/>
      <c r="FH34" s="133"/>
      <c r="FL34" s="213"/>
      <c r="FN34" s="158" t="s">
        <v>1825</v>
      </c>
      <c r="FO34" s="116" t="s">
        <v>388</v>
      </c>
      <c r="FP34" s="133">
        <v>0</v>
      </c>
      <c r="FQ34" s="116">
        <v>1000</v>
      </c>
      <c r="FR34" s="135" t="b">
        <v>0</v>
      </c>
      <c r="FT34" s="213"/>
      <c r="FV34" s="158"/>
      <c r="FW34" s="133"/>
      <c r="FX34" s="133"/>
      <c r="GB34" s="213"/>
      <c r="GD34" s="158" t="s">
        <v>1960</v>
      </c>
      <c r="GE34" s="99" t="s">
        <v>396</v>
      </c>
      <c r="GF34" s="99">
        <v>0</v>
      </c>
      <c r="GG34" s="99">
        <v>1000</v>
      </c>
      <c r="GH34" s="135" t="b">
        <v>0</v>
      </c>
      <c r="GJ34" s="213"/>
      <c r="GL34" s="158" t="s">
        <v>1873</v>
      </c>
      <c r="GM34" s="148" t="s">
        <v>91</v>
      </c>
      <c r="GN34" s="133">
        <v>0</v>
      </c>
      <c r="GO34" s="116">
        <v>2500</v>
      </c>
      <c r="GP34" s="135" t="b">
        <v>0</v>
      </c>
      <c r="GR34" s="213"/>
      <c r="GT34" s="149"/>
      <c r="GZ34" s="213"/>
    </row>
    <row r="35" spans="2:208" ht="14.4" x14ac:dyDescent="0.3">
      <c r="B35" s="158"/>
      <c r="F35" s="135"/>
      <c r="G35" s="135"/>
      <c r="H35" s="213"/>
      <c r="I35" s="131"/>
      <c r="J35" s="149"/>
      <c r="N35" s="135"/>
      <c r="O35" s="135"/>
      <c r="P35" s="213"/>
      <c r="R35" s="158"/>
      <c r="S35" s="133"/>
      <c r="T35" s="133"/>
      <c r="V35" s="135"/>
      <c r="W35" s="135"/>
      <c r="X35" s="213"/>
      <c r="Z35" s="158"/>
      <c r="AD35" s="135"/>
      <c r="AE35" s="135"/>
      <c r="AF35" s="213"/>
      <c r="AH35" s="158"/>
      <c r="AI35" s="133"/>
      <c r="AJ35" s="133"/>
      <c r="AN35" s="213"/>
      <c r="AP35" s="158"/>
      <c r="AQ35" s="133"/>
      <c r="AR35" s="133"/>
      <c r="AV35" s="213"/>
      <c r="AX35" s="158"/>
      <c r="AY35" s="133"/>
      <c r="AZ35" s="133"/>
      <c r="BD35" s="213"/>
      <c r="BF35" s="158"/>
      <c r="BG35" s="133"/>
      <c r="BH35" s="133"/>
      <c r="BL35" s="213"/>
      <c r="BN35" s="149"/>
      <c r="BT35" s="213"/>
      <c r="BV35" s="158"/>
      <c r="BW35" s="133"/>
      <c r="BX35" s="133"/>
      <c r="CB35" s="213"/>
      <c r="CD35" s="158"/>
      <c r="CE35" s="133"/>
      <c r="CF35" s="133"/>
      <c r="CJ35" s="213"/>
      <c r="CL35" s="158"/>
      <c r="CM35" s="133"/>
      <c r="CN35" s="133"/>
      <c r="CR35" s="213"/>
      <c r="CT35" s="158"/>
      <c r="CU35" s="133"/>
      <c r="CV35" s="133"/>
      <c r="CZ35" s="213"/>
      <c r="DB35" s="158"/>
      <c r="DC35" s="133"/>
      <c r="DD35" s="133"/>
      <c r="DH35" s="213"/>
      <c r="DJ35" s="149"/>
      <c r="DK35" s="133"/>
      <c r="DL35" s="133"/>
      <c r="DP35" s="213"/>
      <c r="DR35" s="149" t="s">
        <v>1913</v>
      </c>
      <c r="DS35" s="99" t="s">
        <v>47</v>
      </c>
      <c r="DT35" s="99">
        <v>0</v>
      </c>
      <c r="DV35" s="135" t="b">
        <v>0</v>
      </c>
      <c r="DX35" s="213"/>
      <c r="DZ35" s="149"/>
      <c r="EA35" s="133"/>
      <c r="EB35" s="133"/>
      <c r="EF35" s="213"/>
      <c r="EH35" s="158"/>
      <c r="EI35" s="133"/>
      <c r="EJ35" s="133"/>
      <c r="EN35" s="213"/>
      <c r="EP35" s="149"/>
      <c r="EQ35" s="133"/>
      <c r="ER35" s="133"/>
      <c r="EV35" s="213"/>
      <c r="EX35" s="149" t="s">
        <v>1991</v>
      </c>
      <c r="EY35" s="133" t="s">
        <v>118</v>
      </c>
      <c r="EZ35" s="133">
        <v>0</v>
      </c>
      <c r="FA35" s="116">
        <v>5000</v>
      </c>
      <c r="FB35" s="135" t="b">
        <v>0</v>
      </c>
      <c r="FD35" s="213"/>
      <c r="FF35" s="149"/>
      <c r="FG35" s="133"/>
      <c r="FH35" s="133"/>
      <c r="FL35" s="213"/>
      <c r="FN35" s="149"/>
      <c r="FO35" s="133"/>
      <c r="FP35" s="133"/>
      <c r="FT35" s="213"/>
      <c r="FV35" s="149"/>
      <c r="FW35" s="133"/>
      <c r="FX35" s="133"/>
      <c r="GB35" s="213"/>
      <c r="GD35" s="149" t="s">
        <v>1961</v>
      </c>
      <c r="GE35" s="99" t="s">
        <v>396</v>
      </c>
      <c r="GF35" s="99">
        <v>0</v>
      </c>
      <c r="GG35" s="99">
        <v>1000</v>
      </c>
      <c r="GH35" s="135" t="b">
        <v>0</v>
      </c>
      <c r="GJ35" s="213"/>
      <c r="GL35" s="149" t="s">
        <v>1874</v>
      </c>
      <c r="GM35" s="148" t="s">
        <v>1014</v>
      </c>
      <c r="GN35" s="133">
        <v>0</v>
      </c>
      <c r="GO35" s="116">
        <v>25000</v>
      </c>
      <c r="GP35" s="135" t="b">
        <v>0</v>
      </c>
      <c r="GR35" s="213"/>
      <c r="GT35" s="158"/>
      <c r="GU35" s="133"/>
      <c r="GV35" s="133"/>
      <c r="GZ35" s="213"/>
    </row>
    <row r="36" spans="2:208" ht="14.4" x14ac:dyDescent="0.3">
      <c r="B36" s="149"/>
      <c r="F36" s="135"/>
      <c r="G36" s="135"/>
      <c r="H36" s="213"/>
      <c r="I36" s="131"/>
      <c r="J36" s="149"/>
      <c r="N36" s="135"/>
      <c r="O36" s="135"/>
      <c r="P36" s="213"/>
      <c r="R36" s="149"/>
      <c r="S36" s="133"/>
      <c r="T36" s="133"/>
      <c r="V36" s="135"/>
      <c r="W36" s="135"/>
      <c r="X36" s="213"/>
      <c r="Z36" s="149"/>
      <c r="AA36" s="133"/>
      <c r="AB36" s="133"/>
      <c r="AD36" s="135"/>
      <c r="AE36" s="135"/>
      <c r="AF36" s="213"/>
      <c r="AH36" s="149"/>
      <c r="AI36" s="133"/>
      <c r="AJ36" s="133"/>
      <c r="AN36" s="213"/>
      <c r="AP36" s="149"/>
      <c r="AQ36" s="133"/>
      <c r="AR36" s="133"/>
      <c r="AV36" s="213"/>
      <c r="AX36" s="149"/>
      <c r="AY36" s="133"/>
      <c r="AZ36" s="133"/>
      <c r="BD36" s="213"/>
      <c r="BF36" s="149"/>
      <c r="BG36" s="133"/>
      <c r="BH36" s="133"/>
      <c r="BL36" s="213"/>
      <c r="BN36" s="158"/>
      <c r="BO36" s="133"/>
      <c r="BP36" s="133"/>
      <c r="BT36" s="213"/>
      <c r="BV36" s="149"/>
      <c r="BW36" s="133"/>
      <c r="BX36" s="133"/>
      <c r="CB36" s="213"/>
      <c r="CD36" s="149"/>
      <c r="CE36" s="133"/>
      <c r="CF36" s="133"/>
      <c r="CJ36" s="213"/>
      <c r="CL36" s="149"/>
      <c r="CM36" s="133"/>
      <c r="CN36" s="133"/>
      <c r="CR36" s="213"/>
      <c r="CT36" s="149"/>
      <c r="CU36" s="133"/>
      <c r="CV36" s="133"/>
      <c r="CZ36" s="213"/>
      <c r="DB36" s="149"/>
      <c r="DC36" s="133"/>
      <c r="DD36" s="133"/>
      <c r="DH36" s="213"/>
      <c r="DJ36" s="149"/>
      <c r="DK36" s="133"/>
      <c r="DL36" s="133"/>
      <c r="DP36" s="213"/>
      <c r="DR36" s="149" t="s">
        <v>1715</v>
      </c>
      <c r="DS36" s="99" t="s">
        <v>310</v>
      </c>
      <c r="DT36" s="99">
        <v>0</v>
      </c>
      <c r="DU36" s="116">
        <v>1</v>
      </c>
      <c r="DV36" s="135" t="b">
        <v>0</v>
      </c>
      <c r="DX36" s="213"/>
      <c r="DZ36" s="149"/>
      <c r="EA36" s="133"/>
      <c r="EB36" s="133"/>
      <c r="EF36" s="213"/>
      <c r="EH36" s="149"/>
      <c r="EI36" s="133"/>
      <c r="EJ36" s="133"/>
      <c r="EN36" s="213"/>
      <c r="EP36" s="149"/>
      <c r="EQ36" s="133"/>
      <c r="ER36" s="133"/>
      <c r="EV36" s="213"/>
      <c r="EX36" s="149" t="s">
        <v>1781</v>
      </c>
      <c r="EY36" s="133" t="s">
        <v>40</v>
      </c>
      <c r="EZ36" s="133">
        <v>0</v>
      </c>
      <c r="FA36" s="116">
        <v>100</v>
      </c>
      <c r="FB36" s="135" t="b">
        <v>0</v>
      </c>
      <c r="FD36" s="213"/>
      <c r="FF36" s="149"/>
      <c r="FG36" s="133"/>
      <c r="FH36" s="133"/>
      <c r="FL36" s="213"/>
      <c r="FN36" s="149"/>
      <c r="FO36" s="133"/>
      <c r="FP36" s="133"/>
      <c r="FT36" s="213"/>
      <c r="FV36" s="149"/>
      <c r="FW36" s="133"/>
      <c r="FX36" s="133"/>
      <c r="GB36" s="213"/>
      <c r="GD36" s="149" t="s">
        <v>1962</v>
      </c>
      <c r="GE36" s="99" t="s">
        <v>396</v>
      </c>
      <c r="GF36" s="99">
        <v>0</v>
      </c>
      <c r="GG36" s="99">
        <v>1000</v>
      </c>
      <c r="GH36" s="135" t="b">
        <v>0</v>
      </c>
      <c r="GJ36" s="213"/>
      <c r="GL36" s="149" t="s">
        <v>1875</v>
      </c>
      <c r="GM36" s="148" t="s">
        <v>1016</v>
      </c>
      <c r="GN36" s="133">
        <v>0</v>
      </c>
      <c r="GO36" s="116">
        <v>2500</v>
      </c>
      <c r="GP36" s="135" t="b">
        <v>0</v>
      </c>
      <c r="GR36" s="213"/>
      <c r="GT36" s="149"/>
      <c r="GU36" s="133"/>
      <c r="GV36" s="133"/>
      <c r="GZ36" s="213"/>
    </row>
    <row r="37" spans="2:208" ht="14.4" x14ac:dyDescent="0.3">
      <c r="B37" s="149"/>
      <c r="F37" s="135"/>
      <c r="G37" s="135"/>
      <c r="H37" s="213"/>
      <c r="I37" s="131"/>
      <c r="J37" s="158"/>
      <c r="K37" s="148"/>
      <c r="L37" s="148"/>
      <c r="N37" s="135"/>
      <c r="O37" s="135"/>
      <c r="P37" s="213"/>
      <c r="R37" s="149"/>
      <c r="S37" s="133"/>
      <c r="T37" s="133"/>
      <c r="V37" s="135"/>
      <c r="W37" s="135"/>
      <c r="X37" s="213"/>
      <c r="Z37" s="149"/>
      <c r="AA37" s="133"/>
      <c r="AB37" s="133"/>
      <c r="AD37" s="135"/>
      <c r="AE37" s="135"/>
      <c r="AF37" s="213"/>
      <c r="AH37" s="149"/>
      <c r="AI37" s="133"/>
      <c r="AJ37" s="133"/>
      <c r="AN37" s="213"/>
      <c r="AP37" s="149"/>
      <c r="AQ37" s="133"/>
      <c r="AR37" s="133"/>
      <c r="AV37" s="213"/>
      <c r="AX37" s="149"/>
      <c r="AY37" s="133"/>
      <c r="AZ37" s="133"/>
      <c r="BD37" s="213"/>
      <c r="BF37" s="149"/>
      <c r="BG37" s="133"/>
      <c r="BH37" s="133"/>
      <c r="BL37" s="213"/>
      <c r="BN37" s="149"/>
      <c r="BO37" s="133"/>
      <c r="BP37" s="133"/>
      <c r="BT37" s="213"/>
      <c r="BV37" s="149"/>
      <c r="BW37" s="133"/>
      <c r="BX37" s="133"/>
      <c r="CB37" s="213"/>
      <c r="CD37" s="149"/>
      <c r="CE37" s="133"/>
      <c r="CF37" s="133"/>
      <c r="CJ37" s="213"/>
      <c r="CL37" s="149"/>
      <c r="CM37" s="133"/>
      <c r="CN37" s="133"/>
      <c r="CR37" s="213"/>
      <c r="CT37" s="149"/>
      <c r="CU37" s="133"/>
      <c r="CV37" s="133"/>
      <c r="CZ37" s="213"/>
      <c r="DB37" s="149"/>
      <c r="DC37" s="133"/>
      <c r="DD37" s="133"/>
      <c r="DH37" s="213"/>
      <c r="DJ37" s="149"/>
      <c r="DK37" s="133"/>
      <c r="DL37" s="133"/>
      <c r="DP37" s="213"/>
      <c r="DR37" s="149" t="s">
        <v>1914</v>
      </c>
      <c r="DS37" s="164" t="s">
        <v>1021</v>
      </c>
      <c r="DT37" s="99">
        <v>0</v>
      </c>
      <c r="DU37" s="116">
        <v>1000000</v>
      </c>
      <c r="DV37" s="135" t="b">
        <v>0</v>
      </c>
      <c r="DX37" s="213"/>
      <c r="DZ37" s="149"/>
      <c r="EA37" s="133"/>
      <c r="EB37" s="133"/>
      <c r="EF37" s="213"/>
      <c r="EH37" s="149"/>
      <c r="EI37" s="133"/>
      <c r="EJ37" s="133"/>
      <c r="EN37" s="213"/>
      <c r="EP37" s="149"/>
      <c r="EQ37" s="133"/>
      <c r="ER37" s="133"/>
      <c r="EV37" s="213"/>
      <c r="EX37" s="149" t="s">
        <v>1782</v>
      </c>
      <c r="EY37" s="133" t="s">
        <v>119</v>
      </c>
      <c r="EZ37" s="133">
        <v>0</v>
      </c>
      <c r="FA37" s="116">
        <v>25000</v>
      </c>
      <c r="FB37" s="135" t="b">
        <v>0</v>
      </c>
      <c r="FD37" s="213"/>
      <c r="FF37" s="149"/>
      <c r="FG37" s="133"/>
      <c r="FH37" s="133"/>
      <c r="FL37" s="213"/>
      <c r="FN37" s="149"/>
      <c r="FO37" s="133"/>
      <c r="FP37" s="133"/>
      <c r="FT37" s="213"/>
      <c r="FV37" s="149"/>
      <c r="FW37" s="133"/>
      <c r="FX37" s="133"/>
      <c r="GB37" s="213"/>
      <c r="GD37" s="149" t="s">
        <v>1963</v>
      </c>
      <c r="GE37" s="99" t="s">
        <v>396</v>
      </c>
      <c r="GF37" s="99">
        <v>0</v>
      </c>
      <c r="GG37" s="99">
        <v>1000</v>
      </c>
      <c r="GH37" s="135" t="b">
        <v>0</v>
      </c>
      <c r="GJ37" s="213"/>
      <c r="GL37" s="149" t="s">
        <v>1876</v>
      </c>
      <c r="GM37" s="148" t="s">
        <v>1014</v>
      </c>
      <c r="GN37" s="133">
        <v>0</v>
      </c>
      <c r="GO37" s="116">
        <v>25000</v>
      </c>
      <c r="GP37" s="135" t="b">
        <v>0</v>
      </c>
      <c r="GR37" s="213"/>
      <c r="GT37" s="149"/>
      <c r="GU37" s="133"/>
      <c r="GV37" s="133"/>
      <c r="GZ37" s="213"/>
    </row>
    <row r="38" spans="2:208" ht="14.4" x14ac:dyDescent="0.3">
      <c r="B38" s="149"/>
      <c r="F38" s="135"/>
      <c r="G38" s="135"/>
      <c r="H38" s="213"/>
      <c r="I38" s="131"/>
      <c r="J38" s="149"/>
      <c r="K38" s="148"/>
      <c r="L38" s="148"/>
      <c r="N38" s="135"/>
      <c r="O38" s="135"/>
      <c r="P38" s="213"/>
      <c r="R38" s="149"/>
      <c r="S38" s="133"/>
      <c r="T38" s="133"/>
      <c r="V38" s="135"/>
      <c r="W38" s="135"/>
      <c r="X38" s="213"/>
      <c r="Z38" s="149"/>
      <c r="AA38" s="133"/>
      <c r="AB38" s="133"/>
      <c r="AD38" s="135"/>
      <c r="AE38" s="135"/>
      <c r="AF38" s="213"/>
      <c r="AH38" s="149"/>
      <c r="AI38" s="133"/>
      <c r="AJ38" s="133"/>
      <c r="AN38" s="213"/>
      <c r="AP38" s="149"/>
      <c r="AQ38" s="133"/>
      <c r="AR38" s="133"/>
      <c r="AV38" s="213"/>
      <c r="AX38" s="149"/>
      <c r="AY38" s="133"/>
      <c r="AZ38" s="133"/>
      <c r="BD38" s="213"/>
      <c r="BF38" s="149"/>
      <c r="BG38" s="133"/>
      <c r="BH38" s="133"/>
      <c r="BL38" s="213"/>
      <c r="BN38" s="149"/>
      <c r="BO38" s="133"/>
      <c r="BP38" s="133"/>
      <c r="BT38" s="213"/>
      <c r="BV38" s="149"/>
      <c r="BW38" s="133"/>
      <c r="BX38" s="133"/>
      <c r="CB38" s="213"/>
      <c r="CD38" s="149"/>
      <c r="CE38" s="133"/>
      <c r="CF38" s="133"/>
      <c r="CJ38" s="213"/>
      <c r="CL38" s="149"/>
      <c r="CM38" s="133"/>
      <c r="CN38" s="133"/>
      <c r="CR38" s="213"/>
      <c r="CT38" s="149"/>
      <c r="CU38" s="133"/>
      <c r="CV38" s="133"/>
      <c r="CZ38" s="213"/>
      <c r="DB38" s="149"/>
      <c r="DC38" s="133"/>
      <c r="DD38" s="133"/>
      <c r="DH38" s="213"/>
      <c r="DJ38" s="149"/>
      <c r="DK38" s="133"/>
      <c r="DL38" s="133"/>
      <c r="DP38" s="213"/>
      <c r="DR38" s="149" t="s">
        <v>1915</v>
      </c>
      <c r="DS38" s="99" t="s">
        <v>637</v>
      </c>
      <c r="DT38" s="99">
        <v>0</v>
      </c>
      <c r="DU38" s="116">
        <v>1000000</v>
      </c>
      <c r="DV38" s="135" t="b">
        <v>0</v>
      </c>
      <c r="DX38" s="213"/>
      <c r="DZ38" s="149"/>
      <c r="EA38" s="133"/>
      <c r="EB38" s="133"/>
      <c r="EF38" s="213"/>
      <c r="EH38" s="149"/>
      <c r="EI38" s="133"/>
      <c r="EJ38" s="133"/>
      <c r="EN38" s="213"/>
      <c r="EP38" s="149"/>
      <c r="EQ38" s="133"/>
      <c r="ER38" s="133"/>
      <c r="EV38" s="213"/>
      <c r="EX38" s="149" t="s">
        <v>1783</v>
      </c>
      <c r="EY38" s="133" t="s">
        <v>91</v>
      </c>
      <c r="EZ38" s="133">
        <v>0</v>
      </c>
      <c r="FA38" s="116">
        <v>25000</v>
      </c>
      <c r="FB38" s="135" t="b">
        <v>0</v>
      </c>
      <c r="FD38" s="213"/>
      <c r="FF38" s="149"/>
      <c r="FG38" s="133"/>
      <c r="FH38" s="133"/>
      <c r="FL38" s="213"/>
      <c r="FN38" s="149"/>
      <c r="FO38" s="133"/>
      <c r="FP38" s="133"/>
      <c r="FT38" s="213"/>
      <c r="FV38" s="149"/>
      <c r="FW38" s="133"/>
      <c r="FX38" s="133"/>
      <c r="GB38" s="213"/>
      <c r="GD38" s="149" t="s">
        <v>1964</v>
      </c>
      <c r="GE38" s="99" t="s">
        <v>396</v>
      </c>
      <c r="GF38" s="99">
        <v>0</v>
      </c>
      <c r="GG38" s="99">
        <v>1000</v>
      </c>
      <c r="GH38" s="135" t="b">
        <v>0</v>
      </c>
      <c r="GJ38" s="213"/>
      <c r="GL38" s="149" t="s">
        <v>1877</v>
      </c>
      <c r="GM38" s="148" t="s">
        <v>1016</v>
      </c>
      <c r="GN38" s="133">
        <v>0</v>
      </c>
      <c r="GO38" s="116">
        <v>2500</v>
      </c>
      <c r="GP38" s="135" t="b">
        <v>0</v>
      </c>
      <c r="GR38" s="213"/>
      <c r="GT38" s="149"/>
      <c r="GU38" s="133"/>
      <c r="GV38" s="133"/>
      <c r="GZ38" s="213"/>
    </row>
    <row r="39" spans="2:208" ht="14.4" x14ac:dyDescent="0.3">
      <c r="B39" s="149"/>
      <c r="F39" s="135"/>
      <c r="G39" s="135"/>
      <c r="H39" s="213"/>
      <c r="I39" s="131"/>
      <c r="J39" s="149"/>
      <c r="K39" s="148"/>
      <c r="L39" s="148"/>
      <c r="N39" s="135"/>
      <c r="O39" s="135"/>
      <c r="P39" s="213"/>
      <c r="R39" s="149"/>
      <c r="S39" s="133"/>
      <c r="T39" s="133"/>
      <c r="V39" s="135"/>
      <c r="W39" s="135"/>
      <c r="X39" s="213"/>
      <c r="Z39" s="149"/>
      <c r="AA39" s="133"/>
      <c r="AB39" s="133"/>
      <c r="AD39" s="135"/>
      <c r="AE39" s="135"/>
      <c r="AF39" s="213"/>
      <c r="AH39" s="149"/>
      <c r="AI39" s="133"/>
      <c r="AJ39" s="133"/>
      <c r="AN39" s="213"/>
      <c r="AP39" s="149"/>
      <c r="AQ39" s="133"/>
      <c r="AR39" s="133"/>
      <c r="AV39" s="213"/>
      <c r="AX39" s="149"/>
      <c r="AY39" s="133"/>
      <c r="AZ39" s="133"/>
      <c r="BD39" s="213"/>
      <c r="BF39" s="149"/>
      <c r="BG39" s="133"/>
      <c r="BH39" s="133"/>
      <c r="BL39" s="213"/>
      <c r="BN39" s="149"/>
      <c r="BO39" s="133"/>
      <c r="BP39" s="133"/>
      <c r="BT39" s="213"/>
      <c r="BV39" s="149"/>
      <c r="BW39" s="133"/>
      <c r="BX39" s="133"/>
      <c r="CB39" s="213"/>
      <c r="CD39" s="149"/>
      <c r="CE39" s="133"/>
      <c r="CF39" s="133"/>
      <c r="CJ39" s="213"/>
      <c r="CL39" s="149"/>
      <c r="CM39" s="133"/>
      <c r="CN39" s="133"/>
      <c r="CR39" s="213"/>
      <c r="CT39" s="149"/>
      <c r="CU39" s="133"/>
      <c r="CV39" s="133"/>
      <c r="CZ39" s="213"/>
      <c r="DB39" s="149"/>
      <c r="DC39" s="133"/>
      <c r="DD39" s="133"/>
      <c r="DH39" s="213"/>
      <c r="DJ39" s="149"/>
      <c r="DK39" s="133"/>
      <c r="DL39" s="133"/>
      <c r="DP39" s="213"/>
      <c r="DR39" s="149" t="s">
        <v>1916</v>
      </c>
      <c r="DS39" s="99" t="s">
        <v>637</v>
      </c>
      <c r="DT39" s="99">
        <v>0</v>
      </c>
      <c r="DU39" s="116">
        <v>1000000</v>
      </c>
      <c r="DV39" s="135" t="b">
        <v>0</v>
      </c>
      <c r="DX39" s="213"/>
      <c r="DZ39" s="149"/>
      <c r="EA39" s="133"/>
      <c r="EB39" s="133"/>
      <c r="EF39" s="213"/>
      <c r="EH39" s="149"/>
      <c r="EI39" s="133"/>
      <c r="EJ39" s="133"/>
      <c r="EN39" s="213"/>
      <c r="EP39" s="149"/>
      <c r="EQ39" s="133"/>
      <c r="ER39" s="133"/>
      <c r="EV39" s="213"/>
      <c r="EX39" s="149" t="s">
        <v>1994</v>
      </c>
      <c r="EY39" s="133" t="s">
        <v>91</v>
      </c>
      <c r="EZ39" s="133">
        <v>0</v>
      </c>
      <c r="FA39" s="116">
        <v>5000</v>
      </c>
      <c r="FB39" s="135" t="b">
        <v>0</v>
      </c>
      <c r="FD39" s="213"/>
      <c r="FF39" s="149"/>
      <c r="FG39" s="133"/>
      <c r="FH39" s="133"/>
      <c r="FL39" s="213"/>
      <c r="FN39" s="149"/>
      <c r="FO39" s="133"/>
      <c r="FP39" s="133"/>
      <c r="FT39" s="213"/>
      <c r="FV39" s="149"/>
      <c r="FW39" s="133"/>
      <c r="FX39" s="133"/>
      <c r="GB39" s="213"/>
      <c r="GD39" s="149"/>
      <c r="GE39" s="133"/>
      <c r="GF39" s="133"/>
      <c r="GJ39" s="213"/>
      <c r="GL39" s="149"/>
      <c r="GM39" s="133"/>
      <c r="GN39" s="133"/>
      <c r="GR39" s="213"/>
      <c r="GT39" s="149"/>
      <c r="GU39" s="133"/>
      <c r="GV39" s="133"/>
      <c r="GZ39" s="213"/>
    </row>
    <row r="40" spans="2:208" ht="14.4" x14ac:dyDescent="0.3">
      <c r="B40" s="149"/>
      <c r="F40" s="135"/>
      <c r="G40" s="135"/>
      <c r="H40" s="213"/>
      <c r="I40" s="131"/>
      <c r="J40" s="149"/>
      <c r="K40" s="148"/>
      <c r="L40" s="148"/>
      <c r="N40" s="135"/>
      <c r="O40" s="135"/>
      <c r="P40" s="213"/>
      <c r="R40" s="149"/>
      <c r="S40" s="133"/>
      <c r="T40" s="133"/>
      <c r="V40" s="135"/>
      <c r="W40" s="135"/>
      <c r="X40" s="213"/>
      <c r="Z40" s="149"/>
      <c r="AA40" s="133"/>
      <c r="AB40" s="133"/>
      <c r="AD40" s="135"/>
      <c r="AE40" s="135"/>
      <c r="AF40" s="213"/>
      <c r="AH40" s="149"/>
      <c r="AI40" s="133"/>
      <c r="AJ40" s="133"/>
      <c r="AN40" s="213"/>
      <c r="AP40" s="149"/>
      <c r="AQ40" s="133"/>
      <c r="AR40" s="133"/>
      <c r="AV40" s="213"/>
      <c r="AX40" s="149"/>
      <c r="AY40" s="133"/>
      <c r="AZ40" s="133"/>
      <c r="BD40" s="213"/>
      <c r="BF40" s="149"/>
      <c r="BG40" s="133"/>
      <c r="BH40" s="133"/>
      <c r="BL40" s="213"/>
      <c r="BN40" s="149"/>
      <c r="BO40" s="133"/>
      <c r="BP40" s="133"/>
      <c r="BT40" s="213"/>
      <c r="BV40" s="149"/>
      <c r="BW40" s="133"/>
      <c r="BX40" s="133"/>
      <c r="CB40" s="213"/>
      <c r="CD40" s="149"/>
      <c r="CE40" s="133"/>
      <c r="CF40" s="133"/>
      <c r="CJ40" s="213"/>
      <c r="CL40" s="149"/>
      <c r="CM40" s="133"/>
      <c r="CN40" s="133"/>
      <c r="CR40" s="213"/>
      <c r="CT40" s="149"/>
      <c r="CU40" s="133"/>
      <c r="CV40" s="133"/>
      <c r="CZ40" s="213"/>
      <c r="DB40" s="149"/>
      <c r="DC40" s="133"/>
      <c r="DD40" s="133"/>
      <c r="DH40" s="213"/>
      <c r="DJ40" s="149"/>
      <c r="DK40" s="133"/>
      <c r="DL40" s="133"/>
      <c r="DP40" s="213"/>
      <c r="DR40" s="149" t="s">
        <v>1717</v>
      </c>
      <c r="DS40" s="164" t="s">
        <v>1022</v>
      </c>
      <c r="DT40" s="99">
        <v>0</v>
      </c>
      <c r="DU40" s="116">
        <v>1000000</v>
      </c>
      <c r="DV40" s="135" t="b">
        <v>0</v>
      </c>
      <c r="DX40" s="213"/>
      <c r="DZ40" s="149"/>
      <c r="EA40" s="133"/>
      <c r="EB40" s="133"/>
      <c r="EF40" s="213"/>
      <c r="EH40" s="149"/>
      <c r="EI40" s="133"/>
      <c r="EJ40" s="133"/>
      <c r="EN40" s="213"/>
      <c r="EP40" s="149"/>
      <c r="EQ40" s="133"/>
      <c r="ER40" s="133"/>
      <c r="EV40" s="213"/>
      <c r="EX40" s="149" t="s">
        <v>1995</v>
      </c>
      <c r="EY40" s="133" t="s">
        <v>40</v>
      </c>
      <c r="EZ40" s="133">
        <v>0</v>
      </c>
      <c r="FA40" s="116">
        <v>100</v>
      </c>
      <c r="FB40" s="135" t="b">
        <v>0</v>
      </c>
      <c r="FD40" s="213"/>
      <c r="FF40" s="149"/>
      <c r="FG40" s="133"/>
      <c r="FH40" s="133"/>
      <c r="FL40" s="213"/>
      <c r="FN40" s="149"/>
      <c r="FO40" s="133"/>
      <c r="FP40" s="133"/>
      <c r="FT40" s="213"/>
      <c r="FV40" s="149"/>
      <c r="FW40" s="133"/>
      <c r="FX40" s="133"/>
      <c r="GB40" s="213"/>
      <c r="GD40" s="149"/>
      <c r="GE40" s="133"/>
      <c r="GF40" s="133"/>
      <c r="GJ40" s="213"/>
      <c r="GL40" s="149"/>
      <c r="GM40" s="133"/>
      <c r="GN40" s="133"/>
      <c r="GR40" s="213"/>
      <c r="GT40" s="149"/>
      <c r="GU40" s="133"/>
      <c r="GV40" s="133"/>
      <c r="GZ40" s="213"/>
    </row>
    <row r="41" spans="2:208" ht="14.4" x14ac:dyDescent="0.3">
      <c r="B41" s="149"/>
      <c r="F41" s="135"/>
      <c r="G41" s="135"/>
      <c r="H41" s="213"/>
      <c r="I41" s="131"/>
      <c r="J41" s="149"/>
      <c r="K41" s="148"/>
      <c r="L41" s="148"/>
      <c r="N41" s="135"/>
      <c r="O41" s="135"/>
      <c r="P41" s="213"/>
      <c r="R41" s="149"/>
      <c r="S41" s="133"/>
      <c r="T41" s="133"/>
      <c r="V41" s="135"/>
      <c r="W41" s="135"/>
      <c r="X41" s="213"/>
      <c r="Z41" s="149"/>
      <c r="AA41" s="133"/>
      <c r="AB41" s="133"/>
      <c r="AD41" s="135"/>
      <c r="AE41" s="135"/>
      <c r="AF41" s="213"/>
      <c r="AH41" s="149"/>
      <c r="AI41" s="133"/>
      <c r="AJ41" s="133"/>
      <c r="AN41" s="213"/>
      <c r="AP41" s="149"/>
      <c r="AQ41" s="133"/>
      <c r="AR41" s="133"/>
      <c r="AV41" s="213"/>
      <c r="AX41" s="149"/>
      <c r="AY41" s="133"/>
      <c r="AZ41" s="133"/>
      <c r="BD41" s="213"/>
      <c r="BF41" s="149"/>
      <c r="BG41" s="133"/>
      <c r="BH41" s="133"/>
      <c r="BL41" s="213"/>
      <c r="BN41" s="149"/>
      <c r="BO41" s="133"/>
      <c r="BP41" s="133"/>
      <c r="BT41" s="213"/>
      <c r="BV41" s="149"/>
      <c r="BW41" s="133"/>
      <c r="BX41" s="133"/>
      <c r="CB41" s="213"/>
      <c r="CD41" s="149"/>
      <c r="CE41" s="133"/>
      <c r="CF41" s="133"/>
      <c r="CJ41" s="213"/>
      <c r="CL41" s="149"/>
      <c r="CM41" s="133"/>
      <c r="CN41" s="133"/>
      <c r="CR41" s="213"/>
      <c r="CT41" s="149"/>
      <c r="CU41" s="133"/>
      <c r="CV41" s="133"/>
      <c r="CZ41" s="213"/>
      <c r="DB41" s="149"/>
      <c r="DC41" s="133"/>
      <c r="DD41" s="133"/>
      <c r="DH41" s="213"/>
      <c r="DJ41" s="149"/>
      <c r="DK41" s="133"/>
      <c r="DL41" s="133"/>
      <c r="DP41" s="213"/>
      <c r="DR41" s="158" t="s">
        <v>1718</v>
      </c>
      <c r="DS41" s="164" t="s">
        <v>1023</v>
      </c>
      <c r="DT41" s="99">
        <v>0</v>
      </c>
      <c r="DU41" s="116">
        <v>1000000</v>
      </c>
      <c r="DV41" s="135" t="b">
        <v>0</v>
      </c>
      <c r="DX41" s="213"/>
      <c r="DZ41" s="149"/>
      <c r="EA41" s="133"/>
      <c r="EB41" s="133"/>
      <c r="EF41" s="213"/>
      <c r="EH41" s="149"/>
      <c r="EI41" s="133"/>
      <c r="EJ41" s="133"/>
      <c r="EN41" s="213"/>
      <c r="EP41" s="149"/>
      <c r="EQ41" s="133"/>
      <c r="ER41" s="133"/>
      <c r="EV41" s="213"/>
      <c r="EX41" s="149" t="s">
        <v>1996</v>
      </c>
      <c r="EY41" s="133" t="s">
        <v>119</v>
      </c>
      <c r="EZ41" s="133">
        <v>0</v>
      </c>
      <c r="FA41" s="116">
        <v>25000</v>
      </c>
      <c r="FB41" s="135" t="b">
        <v>0</v>
      </c>
      <c r="FD41" s="213"/>
      <c r="FF41" s="149"/>
      <c r="FG41" s="133"/>
      <c r="FH41" s="133"/>
      <c r="FL41" s="213"/>
      <c r="FN41" s="149"/>
      <c r="FO41" s="133"/>
      <c r="FP41" s="133"/>
      <c r="FT41" s="213"/>
      <c r="FV41" s="149"/>
      <c r="FW41" s="133"/>
      <c r="FX41" s="133"/>
      <c r="GB41" s="213"/>
      <c r="GD41" s="149"/>
      <c r="GE41" s="133"/>
      <c r="GF41" s="133"/>
      <c r="GJ41" s="213"/>
      <c r="GL41" s="149"/>
      <c r="GM41" s="133"/>
      <c r="GN41" s="133"/>
      <c r="GR41" s="213"/>
      <c r="GT41" s="149"/>
      <c r="GU41" s="133"/>
      <c r="GV41" s="133"/>
      <c r="GZ41" s="213"/>
    </row>
    <row r="42" spans="2:208" ht="14.4" x14ac:dyDescent="0.3">
      <c r="B42" s="149"/>
      <c r="F42" s="135"/>
      <c r="G42" s="135"/>
      <c r="H42" s="213"/>
      <c r="I42" s="131"/>
      <c r="J42" s="149"/>
      <c r="K42" s="148"/>
      <c r="L42" s="148"/>
      <c r="N42" s="135"/>
      <c r="O42" s="135"/>
      <c r="P42" s="213"/>
      <c r="R42" s="149"/>
      <c r="S42" s="133"/>
      <c r="T42" s="133"/>
      <c r="V42" s="135"/>
      <c r="W42" s="135"/>
      <c r="X42" s="213"/>
      <c r="Z42" s="149"/>
      <c r="AA42" s="133"/>
      <c r="AB42" s="133"/>
      <c r="AD42" s="135"/>
      <c r="AE42" s="135"/>
      <c r="AF42" s="213"/>
      <c r="AH42" s="149"/>
      <c r="AI42" s="133"/>
      <c r="AJ42" s="133"/>
      <c r="AN42" s="213"/>
      <c r="AP42" s="149"/>
      <c r="AQ42" s="133"/>
      <c r="AR42" s="133"/>
      <c r="AV42" s="213"/>
      <c r="AX42" s="149"/>
      <c r="AY42" s="133"/>
      <c r="AZ42" s="133"/>
      <c r="BD42" s="213"/>
      <c r="BF42" s="149"/>
      <c r="BG42" s="133"/>
      <c r="BH42" s="133"/>
      <c r="BL42" s="213"/>
      <c r="BN42" s="149"/>
      <c r="BO42" s="133"/>
      <c r="BP42" s="133"/>
      <c r="BT42" s="213"/>
      <c r="BV42" s="149"/>
      <c r="BW42" s="133"/>
      <c r="BX42" s="133"/>
      <c r="CB42" s="213"/>
      <c r="CD42" s="149"/>
      <c r="CE42" s="133"/>
      <c r="CF42" s="133"/>
      <c r="CJ42" s="213"/>
      <c r="CL42" s="149"/>
      <c r="CM42" s="133"/>
      <c r="CN42" s="133"/>
      <c r="CR42" s="213"/>
      <c r="CT42" s="149"/>
      <c r="CU42" s="133"/>
      <c r="CV42" s="133"/>
      <c r="CZ42" s="213"/>
      <c r="DB42" s="149"/>
      <c r="DC42" s="133"/>
      <c r="DD42" s="133"/>
      <c r="DH42" s="213"/>
      <c r="DJ42" s="149"/>
      <c r="DK42" s="133"/>
      <c r="DL42" s="133"/>
      <c r="DP42" s="213"/>
      <c r="DR42" s="149" t="s">
        <v>1719</v>
      </c>
      <c r="DS42" s="164" t="s">
        <v>1024</v>
      </c>
      <c r="DT42" s="99">
        <v>0</v>
      </c>
      <c r="DU42" s="116">
        <v>1000000</v>
      </c>
      <c r="DV42" s="135" t="b">
        <v>0</v>
      </c>
      <c r="DX42" s="213"/>
      <c r="DZ42" s="149"/>
      <c r="EA42" s="133"/>
      <c r="EB42" s="133"/>
      <c r="EF42" s="213"/>
      <c r="EH42" s="149"/>
      <c r="EI42" s="133"/>
      <c r="EJ42" s="133"/>
      <c r="EN42" s="213"/>
      <c r="EP42" s="149"/>
      <c r="EQ42" s="133"/>
      <c r="ER42" s="133"/>
      <c r="EV42" s="213"/>
      <c r="EX42" s="149" t="s">
        <v>1997</v>
      </c>
      <c r="EY42" s="133" t="s">
        <v>91</v>
      </c>
      <c r="EZ42" s="133">
        <v>0</v>
      </c>
      <c r="FA42" s="116">
        <v>10000</v>
      </c>
      <c r="FB42" s="135" t="b">
        <v>0</v>
      </c>
      <c r="FD42" s="213"/>
      <c r="FF42" s="149"/>
      <c r="FG42" s="133"/>
      <c r="FH42" s="133"/>
      <c r="FL42" s="213"/>
      <c r="FN42" s="149"/>
      <c r="FO42" s="133"/>
      <c r="FP42" s="133"/>
      <c r="FT42" s="213"/>
      <c r="FV42" s="149"/>
      <c r="FW42" s="133"/>
      <c r="FX42" s="133"/>
      <c r="GB42" s="213"/>
      <c r="GD42" s="149"/>
      <c r="GE42" s="133"/>
      <c r="GF42" s="133"/>
      <c r="GJ42" s="213"/>
      <c r="GL42" s="149"/>
      <c r="GM42" s="133"/>
      <c r="GN42" s="133"/>
      <c r="GR42" s="213"/>
      <c r="GT42" s="149"/>
      <c r="GU42" s="133"/>
      <c r="GV42" s="133"/>
      <c r="GZ42" s="213"/>
    </row>
    <row r="43" spans="2:208" ht="14.4" x14ac:dyDescent="0.3">
      <c r="B43" s="149"/>
      <c r="F43" s="135"/>
      <c r="G43" s="135"/>
      <c r="H43" s="213"/>
      <c r="I43" s="131"/>
      <c r="J43" s="149"/>
      <c r="K43" s="148"/>
      <c r="L43" s="148"/>
      <c r="N43" s="135"/>
      <c r="O43" s="135"/>
      <c r="P43" s="213"/>
      <c r="R43" s="149"/>
      <c r="S43" s="133"/>
      <c r="T43" s="133"/>
      <c r="V43" s="135"/>
      <c r="W43" s="135"/>
      <c r="X43" s="213"/>
      <c r="Z43" s="149"/>
      <c r="AA43" s="133"/>
      <c r="AB43" s="133"/>
      <c r="AD43" s="135"/>
      <c r="AE43" s="135"/>
      <c r="AF43" s="213"/>
      <c r="AH43" s="149"/>
      <c r="AI43" s="133"/>
      <c r="AJ43" s="133"/>
      <c r="AN43" s="213"/>
      <c r="AP43" s="149"/>
      <c r="AQ43" s="133"/>
      <c r="AR43" s="133"/>
      <c r="AV43" s="213"/>
      <c r="AX43" s="149"/>
      <c r="AY43" s="133"/>
      <c r="AZ43" s="133"/>
      <c r="BD43" s="213"/>
      <c r="BF43" s="149"/>
      <c r="BG43" s="133"/>
      <c r="BH43" s="133"/>
      <c r="BL43" s="213"/>
      <c r="BN43" s="149"/>
      <c r="BO43" s="133"/>
      <c r="BP43" s="133"/>
      <c r="BT43" s="213"/>
      <c r="BV43" s="149"/>
      <c r="BW43" s="133"/>
      <c r="BX43" s="133"/>
      <c r="CB43" s="213"/>
      <c r="CD43" s="149"/>
      <c r="CE43" s="133"/>
      <c r="CF43" s="133"/>
      <c r="CJ43" s="213"/>
      <c r="CL43" s="149"/>
      <c r="CM43" s="133"/>
      <c r="CN43" s="133"/>
      <c r="CR43" s="213"/>
      <c r="CT43" s="149"/>
      <c r="CU43" s="133"/>
      <c r="CV43" s="133"/>
      <c r="CZ43" s="213"/>
      <c r="DB43" s="149"/>
      <c r="DC43" s="133"/>
      <c r="DD43" s="133"/>
      <c r="DH43" s="213"/>
      <c r="DJ43" s="158"/>
      <c r="DK43" s="133"/>
      <c r="DL43" s="133"/>
      <c r="DP43" s="213"/>
      <c r="DR43" s="149" t="s">
        <v>1720</v>
      </c>
      <c r="DS43" s="164" t="s">
        <v>1025</v>
      </c>
      <c r="DT43" s="99">
        <v>0</v>
      </c>
      <c r="DU43" s="116">
        <v>1000000</v>
      </c>
      <c r="DV43" s="135" t="b">
        <v>0</v>
      </c>
      <c r="DX43" s="213"/>
      <c r="DZ43" s="149"/>
      <c r="EA43" s="133"/>
      <c r="EB43" s="133"/>
      <c r="EF43" s="213"/>
      <c r="EH43" s="149"/>
      <c r="EI43" s="133"/>
      <c r="EJ43" s="133"/>
      <c r="EN43" s="213"/>
      <c r="EP43" s="149"/>
      <c r="EQ43" s="133"/>
      <c r="ER43" s="133"/>
      <c r="EV43" s="213"/>
      <c r="EX43" s="149" t="s">
        <v>1784</v>
      </c>
      <c r="EY43" s="133" t="s">
        <v>118</v>
      </c>
      <c r="EZ43" s="133">
        <v>0</v>
      </c>
      <c r="FA43" s="116">
        <v>50000</v>
      </c>
      <c r="FB43" s="135" t="b">
        <v>0</v>
      </c>
      <c r="FD43" s="213"/>
      <c r="FF43" s="149"/>
      <c r="FG43" s="133"/>
      <c r="FH43" s="133"/>
      <c r="FL43" s="213"/>
      <c r="FN43" s="149"/>
      <c r="FO43" s="133"/>
      <c r="FP43" s="133"/>
      <c r="FT43" s="213"/>
      <c r="FV43" s="149"/>
      <c r="FW43" s="133"/>
      <c r="FX43" s="133"/>
      <c r="GB43" s="213"/>
      <c r="GD43" s="149"/>
      <c r="GE43" s="133"/>
      <c r="GF43" s="133"/>
      <c r="GJ43" s="213"/>
      <c r="GL43" s="149"/>
      <c r="GM43" s="133"/>
      <c r="GN43" s="133"/>
      <c r="GR43" s="213"/>
      <c r="GT43" s="149"/>
      <c r="GU43" s="133"/>
      <c r="GV43" s="133"/>
      <c r="GZ43" s="213"/>
    </row>
    <row r="44" spans="2:208" ht="14.4" x14ac:dyDescent="0.3">
      <c r="B44" s="149"/>
      <c r="F44" s="135"/>
      <c r="G44" s="135"/>
      <c r="H44" s="213"/>
      <c r="I44" s="131"/>
      <c r="J44" s="149"/>
      <c r="K44" s="148"/>
      <c r="L44" s="148"/>
      <c r="N44" s="135"/>
      <c r="O44" s="135"/>
      <c r="P44" s="213"/>
      <c r="R44" s="149"/>
      <c r="S44" s="133"/>
      <c r="T44" s="133"/>
      <c r="V44" s="135"/>
      <c r="W44" s="135"/>
      <c r="X44" s="213"/>
      <c r="Z44" s="149"/>
      <c r="AA44" s="133"/>
      <c r="AB44" s="133"/>
      <c r="AD44" s="135"/>
      <c r="AE44" s="135"/>
      <c r="AF44" s="213"/>
      <c r="AH44" s="149"/>
      <c r="AI44" s="133"/>
      <c r="AJ44" s="133"/>
      <c r="AN44" s="213"/>
      <c r="AP44" s="149"/>
      <c r="AQ44" s="133"/>
      <c r="AR44" s="133"/>
      <c r="AV44" s="213"/>
      <c r="AX44" s="149"/>
      <c r="AY44" s="133"/>
      <c r="AZ44" s="133"/>
      <c r="BD44" s="213"/>
      <c r="BF44" s="149"/>
      <c r="BG44" s="133"/>
      <c r="BH44" s="133"/>
      <c r="BL44" s="213"/>
      <c r="BN44" s="149"/>
      <c r="BO44" s="133"/>
      <c r="BP44" s="133"/>
      <c r="BT44" s="213"/>
      <c r="BV44" s="149"/>
      <c r="BW44" s="133"/>
      <c r="BX44" s="133"/>
      <c r="CB44" s="213"/>
      <c r="CD44" s="149"/>
      <c r="CE44" s="133"/>
      <c r="CF44" s="133"/>
      <c r="CJ44" s="213"/>
      <c r="CL44" s="149"/>
      <c r="CM44" s="133"/>
      <c r="CN44" s="133"/>
      <c r="CR44" s="213"/>
      <c r="CT44" s="149"/>
      <c r="CU44" s="133"/>
      <c r="CV44" s="133"/>
      <c r="CZ44" s="213"/>
      <c r="DB44" s="149"/>
      <c r="DC44" s="133"/>
      <c r="DD44" s="133"/>
      <c r="DH44" s="213"/>
      <c r="DJ44" s="149"/>
      <c r="DP44" s="213"/>
      <c r="DR44" s="149" t="s">
        <v>1721</v>
      </c>
      <c r="DS44" s="164" t="s">
        <v>1015</v>
      </c>
      <c r="DT44" s="99">
        <v>0</v>
      </c>
      <c r="DU44" s="116">
        <v>1000000</v>
      </c>
      <c r="DV44" s="135" t="b">
        <v>0</v>
      </c>
      <c r="DX44" s="213"/>
      <c r="DZ44" s="158"/>
      <c r="EA44" s="133"/>
      <c r="EB44" s="133"/>
      <c r="EF44" s="213"/>
      <c r="EH44" s="149"/>
      <c r="EI44" s="133"/>
      <c r="EJ44" s="133"/>
      <c r="EN44" s="213"/>
      <c r="EP44" s="158"/>
      <c r="EQ44" s="133"/>
      <c r="ER44" s="133"/>
      <c r="EV44" s="213"/>
      <c r="EX44" s="158" t="s">
        <v>1785</v>
      </c>
      <c r="EY44" s="133" t="s">
        <v>40</v>
      </c>
      <c r="EZ44" s="133">
        <v>0</v>
      </c>
      <c r="FA44" s="116">
        <v>100</v>
      </c>
      <c r="FB44" s="135" t="b">
        <v>0</v>
      </c>
      <c r="FD44" s="213"/>
      <c r="FF44" s="158"/>
      <c r="FG44" s="133"/>
      <c r="FH44" s="133"/>
      <c r="FL44" s="213"/>
      <c r="FN44" s="158"/>
      <c r="FO44" s="133"/>
      <c r="FP44" s="133"/>
      <c r="FT44" s="213"/>
      <c r="FV44" s="158"/>
      <c r="FW44" s="133"/>
      <c r="FX44" s="133"/>
      <c r="GB44" s="213"/>
      <c r="GD44" s="158"/>
      <c r="GE44" s="133"/>
      <c r="GF44" s="133"/>
      <c r="GJ44" s="213"/>
      <c r="GL44" s="158"/>
      <c r="GM44" s="133"/>
      <c r="GN44" s="133"/>
      <c r="GR44" s="213"/>
      <c r="GT44" s="149"/>
      <c r="GU44" s="133"/>
      <c r="GV44" s="133"/>
      <c r="GZ44" s="213"/>
    </row>
    <row r="45" spans="2:208" ht="14.4" x14ac:dyDescent="0.3">
      <c r="B45" s="158"/>
      <c r="F45" s="135"/>
      <c r="G45" s="135"/>
      <c r="H45" s="213"/>
      <c r="I45" s="131"/>
      <c r="J45" s="149"/>
      <c r="K45" s="148"/>
      <c r="L45" s="148"/>
      <c r="N45" s="135"/>
      <c r="O45" s="135"/>
      <c r="P45" s="213"/>
      <c r="R45" s="158"/>
      <c r="S45" s="133"/>
      <c r="T45" s="133"/>
      <c r="V45" s="135"/>
      <c r="W45" s="135"/>
      <c r="X45" s="213"/>
      <c r="Z45" s="158"/>
      <c r="AA45" s="133"/>
      <c r="AB45" s="133"/>
      <c r="AD45" s="135"/>
      <c r="AE45" s="135"/>
      <c r="AF45" s="213"/>
      <c r="AH45" s="158"/>
      <c r="AI45" s="133"/>
      <c r="AJ45" s="133"/>
      <c r="AN45" s="213"/>
      <c r="AP45" s="158"/>
      <c r="AQ45" s="133"/>
      <c r="AR45" s="133"/>
      <c r="AV45" s="213"/>
      <c r="AX45" s="158"/>
      <c r="AY45" s="133"/>
      <c r="AZ45" s="133"/>
      <c r="BD45" s="213"/>
      <c r="BF45" s="158"/>
      <c r="BG45" s="133"/>
      <c r="BH45" s="133"/>
      <c r="BL45" s="213"/>
      <c r="BN45" s="149"/>
      <c r="BO45" s="133"/>
      <c r="BP45" s="133"/>
      <c r="BT45" s="213"/>
      <c r="BV45" s="158"/>
      <c r="BW45" s="133"/>
      <c r="BX45" s="133"/>
      <c r="CB45" s="213"/>
      <c r="CD45" s="158"/>
      <c r="CE45" s="133"/>
      <c r="CF45" s="133"/>
      <c r="CJ45" s="213"/>
      <c r="CL45" s="158"/>
      <c r="CM45" s="133"/>
      <c r="CN45" s="133"/>
      <c r="CR45" s="213"/>
      <c r="CT45" s="158"/>
      <c r="CU45" s="133"/>
      <c r="CV45" s="133"/>
      <c r="CZ45" s="213"/>
      <c r="DB45" s="158"/>
      <c r="DC45" s="133"/>
      <c r="DD45" s="133"/>
      <c r="DH45" s="213"/>
      <c r="DJ45" s="149"/>
      <c r="DP45" s="213"/>
      <c r="DR45" s="149" t="s">
        <v>1722</v>
      </c>
      <c r="DS45" s="164" t="s">
        <v>1017</v>
      </c>
      <c r="DT45" s="99">
        <v>0</v>
      </c>
      <c r="DU45" s="116">
        <v>1000000</v>
      </c>
      <c r="DV45" s="135" t="b">
        <v>0</v>
      </c>
      <c r="DX45" s="213"/>
      <c r="DZ45" s="149"/>
      <c r="EF45" s="213"/>
      <c r="EH45" s="158"/>
      <c r="EI45" s="133"/>
      <c r="EJ45" s="133"/>
      <c r="EN45" s="213"/>
      <c r="EP45" s="149"/>
      <c r="EV45" s="213"/>
      <c r="EX45" s="149" t="s">
        <v>1786</v>
      </c>
      <c r="EY45" s="116" t="s">
        <v>119</v>
      </c>
      <c r="EZ45" s="116">
        <v>0</v>
      </c>
      <c r="FA45" s="116">
        <v>25000</v>
      </c>
      <c r="FB45" s="135" t="b">
        <v>0</v>
      </c>
      <c r="FD45" s="213"/>
      <c r="FF45" s="149"/>
      <c r="FL45" s="213"/>
      <c r="FN45" s="149"/>
      <c r="FT45" s="213"/>
      <c r="FV45" s="149"/>
      <c r="GB45" s="213"/>
      <c r="GD45" s="149"/>
      <c r="GJ45" s="213"/>
      <c r="GL45" s="149"/>
      <c r="GR45" s="213"/>
      <c r="GT45" s="158"/>
      <c r="GU45" s="133"/>
      <c r="GV45" s="133"/>
      <c r="GZ45" s="213"/>
    </row>
    <row r="46" spans="2:208" ht="14.4" x14ac:dyDescent="0.3">
      <c r="B46" s="149"/>
      <c r="C46" s="116"/>
      <c r="D46" s="116"/>
      <c r="F46" s="135"/>
      <c r="G46" s="135"/>
      <c r="H46" s="213"/>
      <c r="I46" s="131"/>
      <c r="J46" s="149"/>
      <c r="K46" s="148"/>
      <c r="L46" s="148"/>
      <c r="N46" s="135"/>
      <c r="O46" s="135"/>
      <c r="P46" s="213"/>
      <c r="R46" s="149"/>
      <c r="V46" s="135"/>
      <c r="W46" s="135"/>
      <c r="X46" s="213"/>
      <c r="Z46" s="149"/>
      <c r="AA46" s="133"/>
      <c r="AB46" s="133"/>
      <c r="AD46" s="135"/>
      <c r="AE46" s="135"/>
      <c r="AF46" s="213"/>
      <c r="AH46" s="149"/>
      <c r="AN46" s="213"/>
      <c r="AP46" s="149"/>
      <c r="AV46" s="213"/>
      <c r="AX46" s="149"/>
      <c r="BD46" s="213"/>
      <c r="BF46" s="149"/>
      <c r="BL46" s="213"/>
      <c r="BN46" s="158"/>
      <c r="BO46" s="133"/>
      <c r="BP46" s="133"/>
      <c r="BT46" s="213"/>
      <c r="BV46" s="149"/>
      <c r="CB46" s="213"/>
      <c r="CD46" s="149"/>
      <c r="CJ46" s="213"/>
      <c r="CL46" s="149"/>
      <c r="CR46" s="213"/>
      <c r="CT46" s="149"/>
      <c r="CZ46" s="213"/>
      <c r="DB46" s="149"/>
      <c r="DH46" s="213"/>
      <c r="DJ46" s="149"/>
      <c r="DP46" s="213"/>
      <c r="DR46" s="149" t="s">
        <v>1917</v>
      </c>
      <c r="DS46" s="164" t="s">
        <v>1018</v>
      </c>
      <c r="DT46" s="99">
        <v>0</v>
      </c>
      <c r="DU46" s="116">
        <v>1000000</v>
      </c>
      <c r="DV46" s="135" t="b">
        <v>0</v>
      </c>
      <c r="DX46" s="213"/>
      <c r="DZ46" s="149"/>
      <c r="EF46" s="213"/>
      <c r="EH46" s="149"/>
      <c r="EN46" s="213"/>
      <c r="EP46" s="149"/>
      <c r="EV46" s="213"/>
      <c r="EX46" s="149" t="s">
        <v>1787</v>
      </c>
      <c r="EY46" s="116" t="s">
        <v>91</v>
      </c>
      <c r="EZ46" s="116">
        <v>0</v>
      </c>
      <c r="FA46" s="116">
        <v>10000</v>
      </c>
      <c r="FB46" s="135" t="b">
        <v>0</v>
      </c>
      <c r="FD46" s="213"/>
      <c r="FF46" s="149"/>
      <c r="FL46" s="213"/>
      <c r="FN46" s="149"/>
      <c r="FT46" s="213"/>
      <c r="FV46" s="149"/>
      <c r="GB46" s="213"/>
      <c r="GD46" s="149"/>
      <c r="GJ46" s="213"/>
      <c r="GL46" s="149"/>
      <c r="GR46" s="213"/>
      <c r="GT46" s="149"/>
      <c r="GZ46" s="213"/>
    </row>
    <row r="47" spans="2:208" ht="14.4" x14ac:dyDescent="0.3">
      <c r="B47" s="149"/>
      <c r="C47" s="116"/>
      <c r="D47" s="116"/>
      <c r="F47" s="135"/>
      <c r="G47" s="135"/>
      <c r="H47" s="213"/>
      <c r="I47" s="131"/>
      <c r="J47" s="158"/>
      <c r="K47" s="148"/>
      <c r="L47" s="148"/>
      <c r="N47" s="135"/>
      <c r="O47" s="135"/>
      <c r="P47" s="213"/>
      <c r="R47" s="149"/>
      <c r="V47" s="135"/>
      <c r="W47" s="135"/>
      <c r="X47" s="213"/>
      <c r="Z47" s="149"/>
      <c r="AD47" s="135"/>
      <c r="AE47" s="135"/>
      <c r="AF47" s="213"/>
      <c r="AH47" s="149"/>
      <c r="AN47" s="213"/>
      <c r="AP47" s="149"/>
      <c r="AV47" s="213"/>
      <c r="AX47" s="149"/>
      <c r="BD47" s="213"/>
      <c r="BF47" s="149"/>
      <c r="BL47" s="213"/>
      <c r="BN47" s="149"/>
      <c r="BT47" s="213"/>
      <c r="BV47" s="149"/>
      <c r="CB47" s="213"/>
      <c r="CD47" s="149"/>
      <c r="CJ47" s="213"/>
      <c r="CL47" s="149"/>
      <c r="CR47" s="213"/>
      <c r="CT47" s="149"/>
      <c r="CZ47" s="213"/>
      <c r="DB47" s="149"/>
      <c r="DH47" s="213"/>
      <c r="DJ47" s="149"/>
      <c r="DP47" s="213"/>
      <c r="DR47" s="149" t="s">
        <v>1724</v>
      </c>
      <c r="DS47" s="164" t="s">
        <v>1020</v>
      </c>
      <c r="DT47" s="99">
        <v>0</v>
      </c>
      <c r="DU47" s="116">
        <v>1000000</v>
      </c>
      <c r="DV47" s="135" t="b">
        <v>0</v>
      </c>
      <c r="DX47" s="213"/>
      <c r="DZ47" s="149"/>
      <c r="EF47" s="213"/>
      <c r="EH47" s="149"/>
      <c r="EN47" s="213"/>
      <c r="EP47" s="149"/>
      <c r="EV47" s="213"/>
      <c r="EX47" s="149"/>
      <c r="FD47" s="213"/>
      <c r="FF47" s="149"/>
      <c r="FL47" s="213"/>
      <c r="FN47" s="149"/>
      <c r="FT47" s="213"/>
      <c r="FV47" s="149"/>
      <c r="GB47" s="213"/>
      <c r="GD47" s="149"/>
      <c r="GJ47" s="213"/>
      <c r="GL47" s="149"/>
      <c r="GR47" s="213"/>
      <c r="GT47" s="149"/>
      <c r="GZ47" s="213"/>
    </row>
    <row r="48" spans="2:208" ht="14.4" x14ac:dyDescent="0.3">
      <c r="B48" s="149"/>
      <c r="C48" s="116"/>
      <c r="D48" s="116"/>
      <c r="F48" s="135"/>
      <c r="G48" s="135"/>
      <c r="H48" s="213"/>
      <c r="I48" s="131"/>
      <c r="J48" s="149"/>
      <c r="N48" s="135"/>
      <c r="O48" s="135"/>
      <c r="P48" s="213"/>
      <c r="R48" s="149"/>
      <c r="V48" s="135"/>
      <c r="W48" s="135"/>
      <c r="X48" s="213"/>
      <c r="Z48" s="149"/>
      <c r="AD48" s="135"/>
      <c r="AE48" s="135"/>
      <c r="AF48" s="213"/>
      <c r="AH48" s="149"/>
      <c r="AN48" s="213"/>
      <c r="AP48" s="149"/>
      <c r="AV48" s="213"/>
      <c r="AX48" s="149"/>
      <c r="BD48" s="213"/>
      <c r="BF48" s="149"/>
      <c r="BL48" s="213"/>
      <c r="BN48" s="149"/>
      <c r="BT48" s="213"/>
      <c r="BV48" s="149"/>
      <c r="CB48" s="213"/>
      <c r="CD48" s="149"/>
      <c r="CJ48" s="213"/>
      <c r="CL48" s="149"/>
      <c r="CR48" s="213"/>
      <c r="CT48" s="149"/>
      <c r="CZ48" s="213"/>
      <c r="DB48" s="149"/>
      <c r="DH48" s="213"/>
      <c r="DJ48" s="149"/>
      <c r="DP48" s="213"/>
      <c r="DR48" s="149" t="s">
        <v>1725</v>
      </c>
      <c r="DS48" s="99" t="s">
        <v>388</v>
      </c>
      <c r="DT48" s="99">
        <v>0</v>
      </c>
      <c r="DU48" s="116">
        <v>1000</v>
      </c>
      <c r="DV48" s="135" t="b">
        <v>0</v>
      </c>
      <c r="DX48" s="213"/>
      <c r="DZ48" s="149"/>
      <c r="EF48" s="213"/>
      <c r="EH48" s="149"/>
      <c r="EN48" s="213"/>
      <c r="EP48" s="149"/>
      <c r="EV48" s="213"/>
      <c r="EX48" s="149"/>
      <c r="FD48" s="213"/>
      <c r="FF48" s="149"/>
      <c r="FL48" s="213"/>
      <c r="FN48" s="149"/>
      <c r="FT48" s="213"/>
      <c r="FV48" s="149"/>
      <c r="GB48" s="213"/>
      <c r="GD48" s="149"/>
      <c r="GJ48" s="213"/>
      <c r="GL48" s="149"/>
      <c r="GR48" s="213"/>
      <c r="GT48" s="149"/>
      <c r="GZ48" s="213"/>
    </row>
    <row r="49" spans="2:208" ht="14.4" x14ac:dyDescent="0.3">
      <c r="B49" s="149"/>
      <c r="C49" s="116"/>
      <c r="D49" s="116"/>
      <c r="F49" s="135"/>
      <c r="G49" s="135"/>
      <c r="H49" s="213"/>
      <c r="I49" s="131"/>
      <c r="J49" s="149"/>
      <c r="N49" s="135"/>
      <c r="O49" s="135"/>
      <c r="P49" s="213"/>
      <c r="R49" s="149"/>
      <c r="V49" s="135"/>
      <c r="W49" s="135"/>
      <c r="X49" s="213"/>
      <c r="Z49" s="149"/>
      <c r="AD49" s="135"/>
      <c r="AE49" s="135"/>
      <c r="AF49" s="213"/>
      <c r="AH49" s="149"/>
      <c r="AN49" s="213"/>
      <c r="AP49" s="149"/>
      <c r="AV49" s="213"/>
      <c r="AX49" s="149"/>
      <c r="BD49" s="213"/>
      <c r="BF49" s="149"/>
      <c r="BL49" s="213"/>
      <c r="BN49" s="149"/>
      <c r="BT49" s="213"/>
      <c r="BV49" s="149"/>
      <c r="CB49" s="213"/>
      <c r="CD49" s="149"/>
      <c r="CJ49" s="213"/>
      <c r="CL49" s="149"/>
      <c r="CR49" s="213"/>
      <c r="CT49" s="149"/>
      <c r="CZ49" s="213"/>
      <c r="DB49" s="149"/>
      <c r="DH49" s="213"/>
      <c r="DJ49" s="149"/>
      <c r="DP49" s="213"/>
      <c r="DR49" s="149" t="s">
        <v>1726</v>
      </c>
      <c r="DS49" s="99" t="s">
        <v>396</v>
      </c>
      <c r="DT49" s="99">
        <v>0</v>
      </c>
      <c r="DU49" s="116">
        <v>1000000</v>
      </c>
      <c r="DV49" s="135" t="b">
        <v>0</v>
      </c>
      <c r="DX49" s="213"/>
      <c r="DZ49" s="149"/>
      <c r="EF49" s="213"/>
      <c r="EH49" s="149"/>
      <c r="EN49" s="213"/>
      <c r="EP49" s="149"/>
      <c r="EV49" s="213"/>
      <c r="EX49" s="149"/>
      <c r="FD49" s="213"/>
      <c r="FF49" s="149"/>
      <c r="FL49" s="213"/>
      <c r="FN49" s="149"/>
      <c r="FT49" s="213"/>
      <c r="FV49" s="149"/>
      <c r="GB49" s="213"/>
      <c r="GD49" s="149"/>
      <c r="GJ49" s="213"/>
      <c r="GL49" s="149"/>
      <c r="GR49" s="213"/>
      <c r="GT49" s="149"/>
      <c r="GZ49" s="213"/>
    </row>
    <row r="50" spans="2:208" ht="14.4" x14ac:dyDescent="0.3">
      <c r="H50"/>
      <c r="J50" s="135"/>
      <c r="K50" s="135"/>
      <c r="L50" s="135"/>
      <c r="M50" s="135"/>
      <c r="N50" s="135"/>
      <c r="O50" s="135"/>
      <c r="P50" s="959"/>
      <c r="X50"/>
      <c r="AF50"/>
      <c r="AN50"/>
      <c r="AV50"/>
      <c r="BD50"/>
      <c r="BL50"/>
      <c r="BT50"/>
      <c r="CB50"/>
      <c r="CJ50"/>
      <c r="CR50"/>
      <c r="CZ50"/>
      <c r="DH50"/>
      <c r="DP50"/>
      <c r="DX50"/>
      <c r="EF50"/>
      <c r="EN50"/>
      <c r="EV50"/>
      <c r="FD50"/>
      <c r="FL50"/>
      <c r="FT50"/>
      <c r="GB50"/>
      <c r="GJ50"/>
      <c r="GR50"/>
      <c r="GZ50"/>
    </row>
    <row r="51" spans="2:208" ht="14.4" x14ac:dyDescent="0.3">
      <c r="H51"/>
      <c r="J51" s="135"/>
      <c r="K51" s="135"/>
      <c r="L51" s="135"/>
      <c r="M51" s="135"/>
      <c r="N51" s="135"/>
      <c r="O51" s="135"/>
      <c r="P51" s="959"/>
      <c r="X51"/>
      <c r="AF51"/>
      <c r="AN51"/>
      <c r="AV51"/>
      <c r="BD51"/>
      <c r="BL51"/>
      <c r="BT51"/>
      <c r="CB51"/>
      <c r="CJ51"/>
      <c r="CR51"/>
      <c r="CZ51"/>
      <c r="DH51"/>
      <c r="DP51"/>
      <c r="DX51"/>
      <c r="EF51"/>
      <c r="EN51"/>
      <c r="EV51"/>
      <c r="FD51"/>
      <c r="FL51"/>
      <c r="FT51"/>
      <c r="GB51"/>
      <c r="GJ51"/>
      <c r="GR51"/>
      <c r="GZ51"/>
    </row>
    <row r="52" spans="2:208" ht="14.4" x14ac:dyDescent="0.3">
      <c r="H52"/>
      <c r="P52"/>
      <c r="X52"/>
      <c r="AF52"/>
      <c r="AN52"/>
      <c r="AV52"/>
      <c r="BD52"/>
      <c r="BL52"/>
      <c r="BT52"/>
      <c r="CB52"/>
      <c r="CJ52"/>
      <c r="CR52"/>
      <c r="CZ52"/>
      <c r="DH52"/>
      <c r="DP52"/>
      <c r="DX52"/>
      <c r="EF52"/>
      <c r="EN52"/>
      <c r="EV52"/>
      <c r="FD52"/>
      <c r="FL52"/>
      <c r="FT52"/>
      <c r="GB52"/>
      <c r="GJ52"/>
      <c r="GR52"/>
      <c r="GZ52"/>
    </row>
    <row r="53" spans="2:208" ht="14.4" x14ac:dyDescent="0.3">
      <c r="H53"/>
      <c r="P53"/>
      <c r="X53"/>
      <c r="AF53"/>
      <c r="AN53"/>
      <c r="AV53"/>
      <c r="BD53"/>
      <c r="BL53"/>
      <c r="BT53"/>
      <c r="CB53"/>
      <c r="CJ53"/>
      <c r="CR53"/>
      <c r="CZ53"/>
      <c r="DH53"/>
      <c r="DP53"/>
      <c r="DX53"/>
      <c r="EF53"/>
      <c r="EN53"/>
      <c r="EV53"/>
      <c r="FD53"/>
      <c r="FL53"/>
      <c r="FT53"/>
      <c r="GB53"/>
      <c r="GJ53"/>
      <c r="GR53"/>
      <c r="GZ53"/>
    </row>
    <row r="54" spans="2:208" ht="14.4" x14ac:dyDescent="0.3">
      <c r="H54"/>
      <c r="P54"/>
      <c r="X54"/>
      <c r="AF54"/>
      <c r="AN54"/>
      <c r="AV54"/>
      <c r="BD54"/>
      <c r="BL54"/>
      <c r="BT54"/>
      <c r="CB54"/>
      <c r="CJ54"/>
      <c r="CR54"/>
      <c r="CZ54"/>
      <c r="DH54"/>
      <c r="DP54"/>
      <c r="DX54"/>
      <c r="EF54"/>
      <c r="EN54"/>
      <c r="EV54"/>
      <c r="FD54"/>
      <c r="FL54"/>
      <c r="FT54"/>
      <c r="GB54"/>
      <c r="GJ54"/>
      <c r="GR54"/>
      <c r="GZ54"/>
    </row>
    <row r="55" spans="2:208" ht="14.4" x14ac:dyDescent="0.3">
      <c r="H55"/>
      <c r="P55"/>
      <c r="X55"/>
      <c r="AF55"/>
      <c r="AN55"/>
      <c r="AV55"/>
      <c r="BD55"/>
      <c r="BL55"/>
      <c r="BT55"/>
      <c r="CB55"/>
      <c r="CJ55"/>
      <c r="CR55"/>
      <c r="CZ55"/>
      <c r="DH55"/>
      <c r="DP55"/>
      <c r="DX55"/>
      <c r="EF55"/>
      <c r="EN55"/>
      <c r="EV55"/>
      <c r="FD55"/>
      <c r="FL55"/>
      <c r="FT55"/>
      <c r="GB55"/>
      <c r="GJ55"/>
      <c r="GR55"/>
      <c r="GZ55"/>
    </row>
    <row r="56" spans="2:208" ht="14.4" x14ac:dyDescent="0.3">
      <c r="H56"/>
      <c r="P56"/>
      <c r="X56"/>
      <c r="AF56"/>
      <c r="AN56"/>
      <c r="AV56"/>
      <c r="BD56"/>
      <c r="BL56"/>
      <c r="BT56"/>
      <c r="CB56"/>
      <c r="CJ56"/>
      <c r="CR56"/>
      <c r="CZ56"/>
      <c r="DH56"/>
      <c r="DP56"/>
      <c r="DX56"/>
      <c r="EF56"/>
      <c r="EN56"/>
      <c r="EV56"/>
      <c r="FD56"/>
      <c r="FL56"/>
      <c r="FT56"/>
      <c r="GB56"/>
      <c r="GJ56"/>
      <c r="GR56"/>
      <c r="GZ56"/>
    </row>
    <row r="57" spans="2:208" ht="14.4" x14ac:dyDescent="0.3">
      <c r="H57"/>
      <c r="P57"/>
      <c r="X57"/>
      <c r="AF57"/>
      <c r="AN57"/>
      <c r="AV57"/>
      <c r="BD57"/>
      <c r="BL57"/>
      <c r="BT57"/>
      <c r="CB57"/>
      <c r="CJ57"/>
      <c r="CR57"/>
      <c r="CZ57"/>
      <c r="DH57"/>
      <c r="DP57"/>
      <c r="DX57"/>
      <c r="EF57"/>
      <c r="EN57"/>
      <c r="EV57"/>
      <c r="FD57"/>
      <c r="FL57"/>
      <c r="FT57"/>
      <c r="GB57"/>
      <c r="GJ57"/>
      <c r="GR57"/>
      <c r="GZ57"/>
    </row>
    <row r="58" spans="2:208" ht="14.4" x14ac:dyDescent="0.3">
      <c r="H58"/>
      <c r="P58"/>
      <c r="X58"/>
      <c r="AF58"/>
      <c r="AN58"/>
      <c r="AV58"/>
      <c r="BD58"/>
      <c r="BL58"/>
      <c r="BT58"/>
      <c r="CB58"/>
      <c r="CJ58"/>
      <c r="CR58"/>
      <c r="CZ58"/>
      <c r="DH58"/>
      <c r="DP58"/>
      <c r="DX58"/>
      <c r="EF58"/>
      <c r="EN58"/>
      <c r="EV58"/>
      <c r="FD58"/>
      <c r="FL58"/>
      <c r="FT58"/>
      <c r="GB58"/>
      <c r="GJ58"/>
      <c r="GR58"/>
      <c r="GZ58"/>
    </row>
    <row r="59" spans="2:208" ht="14.4" x14ac:dyDescent="0.3">
      <c r="H59"/>
      <c r="P59"/>
      <c r="X59"/>
      <c r="AF59"/>
      <c r="AN59"/>
      <c r="AV59"/>
      <c r="BD59"/>
      <c r="BL59"/>
      <c r="BT59"/>
      <c r="CB59"/>
      <c r="CJ59"/>
      <c r="CR59"/>
      <c r="CZ59"/>
      <c r="DH59"/>
      <c r="DP59"/>
      <c r="DX59"/>
      <c r="EF59"/>
      <c r="EN59"/>
      <c r="EV59"/>
      <c r="FD59"/>
      <c r="FL59"/>
      <c r="FT59"/>
      <c r="GB59"/>
      <c r="GJ59"/>
      <c r="GR59"/>
      <c r="GZ59"/>
    </row>
    <row r="60" spans="2:208" ht="14.4" x14ac:dyDescent="0.3">
      <c r="H60"/>
      <c r="P60"/>
      <c r="X60"/>
      <c r="AF60"/>
      <c r="AN60"/>
      <c r="AV60"/>
      <c r="BD60"/>
      <c r="BL60"/>
      <c r="BT60"/>
      <c r="CB60"/>
      <c r="CJ60"/>
      <c r="CR60"/>
      <c r="CZ60"/>
      <c r="DH60"/>
      <c r="DP60"/>
      <c r="DX60"/>
      <c r="EF60"/>
      <c r="EN60"/>
      <c r="EV60"/>
      <c r="FD60"/>
      <c r="FL60"/>
      <c r="FT60"/>
      <c r="GB60"/>
      <c r="GJ60"/>
      <c r="GR60"/>
      <c r="GZ60"/>
    </row>
    <row r="61" spans="2:208" ht="14.4" x14ac:dyDescent="0.3">
      <c r="H61"/>
      <c r="P61"/>
      <c r="X61"/>
      <c r="AF61"/>
      <c r="AN61"/>
      <c r="AV61"/>
      <c r="BD61"/>
      <c r="BL61"/>
      <c r="BT61"/>
      <c r="CB61"/>
      <c r="CJ61"/>
      <c r="CR61"/>
      <c r="CZ61"/>
      <c r="DH61"/>
      <c r="DP61"/>
      <c r="DX61"/>
      <c r="EF61"/>
      <c r="EN61"/>
      <c r="EV61"/>
      <c r="FD61"/>
      <c r="FL61"/>
      <c r="FT61"/>
      <c r="GB61"/>
      <c r="GJ61"/>
      <c r="GR61"/>
      <c r="GZ61"/>
    </row>
    <row r="62" spans="2:208" ht="14.4" x14ac:dyDescent="0.3">
      <c r="H62"/>
      <c r="P62"/>
      <c r="X62"/>
      <c r="AF62"/>
      <c r="AN62"/>
      <c r="AV62"/>
      <c r="BD62"/>
      <c r="BL62"/>
      <c r="BT62"/>
      <c r="CB62"/>
      <c r="CJ62"/>
      <c r="CR62"/>
      <c r="CZ62"/>
      <c r="DH62"/>
      <c r="DP62"/>
      <c r="DX62"/>
      <c r="EF62"/>
      <c r="EN62"/>
      <c r="EV62"/>
      <c r="FD62"/>
      <c r="FL62"/>
      <c r="FT62"/>
      <c r="GB62"/>
      <c r="GJ62"/>
      <c r="GR62"/>
      <c r="GZ62"/>
    </row>
    <row r="63" spans="2:208" ht="14.4" x14ac:dyDescent="0.3">
      <c r="H63"/>
      <c r="P63"/>
      <c r="X63"/>
      <c r="AF63"/>
      <c r="AN63"/>
      <c r="AV63"/>
      <c r="BD63"/>
      <c r="BL63"/>
      <c r="BT63"/>
      <c r="CB63"/>
      <c r="CJ63"/>
      <c r="CR63"/>
      <c r="CZ63"/>
      <c r="DH63"/>
      <c r="DP63"/>
      <c r="DX63"/>
      <c r="EF63"/>
      <c r="EN63"/>
      <c r="EV63"/>
      <c r="FD63"/>
      <c r="FL63"/>
      <c r="FT63"/>
      <c r="GB63"/>
      <c r="GJ63"/>
      <c r="GR63"/>
      <c r="GZ63"/>
    </row>
    <row r="64" spans="2:208" ht="14.4" x14ac:dyDescent="0.3">
      <c r="H64"/>
      <c r="P64"/>
      <c r="X64"/>
      <c r="AF64"/>
      <c r="AN64"/>
      <c r="AV64"/>
      <c r="BD64"/>
      <c r="BL64"/>
      <c r="BT64"/>
      <c r="CB64"/>
      <c r="CJ64"/>
      <c r="CR64"/>
      <c r="CZ64"/>
      <c r="DH64"/>
      <c r="DP64"/>
      <c r="DX64"/>
      <c r="EF64"/>
      <c r="EN64"/>
      <c r="EV64"/>
      <c r="FD64"/>
      <c r="FL64"/>
      <c r="FT64"/>
      <c r="GB64"/>
      <c r="GJ64"/>
      <c r="GR64"/>
      <c r="GZ64"/>
    </row>
    <row r="65" spans="8:208" ht="14.4" x14ac:dyDescent="0.3">
      <c r="H65"/>
      <c r="P65"/>
      <c r="X65"/>
      <c r="AF65"/>
      <c r="AN65"/>
      <c r="AV65"/>
      <c r="BD65"/>
      <c r="BL65"/>
      <c r="BT65"/>
      <c r="CB65"/>
      <c r="CJ65"/>
      <c r="CR65"/>
      <c r="CZ65"/>
      <c r="DH65"/>
      <c r="DP65"/>
      <c r="DX65"/>
      <c r="EF65"/>
      <c r="EN65"/>
      <c r="EV65"/>
      <c r="FD65"/>
      <c r="FL65"/>
      <c r="FT65"/>
      <c r="GB65"/>
      <c r="GJ65"/>
      <c r="GR65"/>
      <c r="GZ65"/>
    </row>
    <row r="66" spans="8:208" ht="14.4" x14ac:dyDescent="0.3">
      <c r="H66"/>
      <c r="P66"/>
      <c r="X66"/>
      <c r="AF66"/>
      <c r="AN66"/>
      <c r="AV66"/>
      <c r="BD66"/>
      <c r="BL66"/>
      <c r="BT66"/>
      <c r="CB66"/>
      <c r="CJ66"/>
      <c r="CR66"/>
      <c r="CZ66"/>
      <c r="DH66"/>
      <c r="DP66"/>
      <c r="DX66"/>
      <c r="EF66"/>
      <c r="EN66"/>
      <c r="EV66"/>
      <c r="FD66"/>
      <c r="FL66"/>
      <c r="FT66"/>
      <c r="GB66"/>
      <c r="GJ66"/>
      <c r="GR66"/>
      <c r="GZ66"/>
    </row>
    <row r="67" spans="8:208" ht="14.4" x14ac:dyDescent="0.3">
      <c r="H67"/>
      <c r="P67"/>
      <c r="X67"/>
      <c r="AF67"/>
      <c r="AN67"/>
      <c r="AV67"/>
      <c r="BD67"/>
      <c r="BL67"/>
      <c r="BT67"/>
      <c r="CB67"/>
      <c r="CJ67"/>
      <c r="CR67"/>
      <c r="CZ67"/>
      <c r="DH67"/>
      <c r="DP67"/>
      <c r="DX67"/>
      <c r="EF67"/>
      <c r="EN67"/>
      <c r="EV67"/>
      <c r="FD67"/>
      <c r="FL67"/>
      <c r="FT67"/>
      <c r="GB67"/>
      <c r="GJ67"/>
      <c r="GR67"/>
      <c r="GZ67"/>
    </row>
    <row r="68" spans="8:208" ht="14.4" x14ac:dyDescent="0.3">
      <c r="H68"/>
      <c r="P68"/>
      <c r="X68"/>
      <c r="AF68"/>
      <c r="AN68"/>
      <c r="AV68"/>
      <c r="BD68"/>
      <c r="BL68"/>
      <c r="BT68"/>
      <c r="CB68"/>
      <c r="CJ68"/>
      <c r="CR68"/>
      <c r="CZ68"/>
      <c r="DH68"/>
      <c r="DP68"/>
      <c r="DX68"/>
      <c r="EF68"/>
      <c r="EN68"/>
      <c r="EV68"/>
      <c r="FD68"/>
      <c r="FL68"/>
      <c r="FT68"/>
      <c r="GB68"/>
      <c r="GJ68"/>
      <c r="GR68"/>
      <c r="GZ68"/>
    </row>
    <row r="69" spans="8:208" ht="14.4" x14ac:dyDescent="0.3">
      <c r="H69"/>
      <c r="P69"/>
      <c r="X69"/>
      <c r="AF69"/>
      <c r="AN69"/>
      <c r="AV69"/>
      <c r="BD69"/>
      <c r="BL69"/>
      <c r="BT69"/>
      <c r="CB69"/>
      <c r="CJ69"/>
      <c r="CR69"/>
      <c r="CZ69"/>
      <c r="DH69"/>
      <c r="DP69"/>
      <c r="DX69"/>
      <c r="EF69"/>
      <c r="EN69"/>
      <c r="EV69"/>
      <c r="FD69"/>
      <c r="FL69"/>
      <c r="FT69"/>
      <c r="GB69"/>
      <c r="GJ69"/>
      <c r="GR69"/>
      <c r="GZ69"/>
    </row>
    <row r="70" spans="8:208" ht="14.4" x14ac:dyDescent="0.3">
      <c r="H70"/>
      <c r="P70"/>
      <c r="X70"/>
      <c r="AF70"/>
      <c r="AN70"/>
      <c r="AV70"/>
      <c r="BD70"/>
      <c r="BL70"/>
      <c r="BT70"/>
      <c r="CB70"/>
      <c r="CJ70"/>
      <c r="CR70"/>
      <c r="CZ70"/>
      <c r="DH70"/>
      <c r="DP70"/>
      <c r="DX70"/>
      <c r="EF70"/>
      <c r="EN70"/>
      <c r="EV70"/>
      <c r="FD70"/>
      <c r="FL70"/>
      <c r="FT70"/>
      <c r="GB70"/>
      <c r="GJ70"/>
      <c r="GR70"/>
      <c r="GZ70"/>
    </row>
    <row r="71" spans="8:208" ht="14.4" x14ac:dyDescent="0.3">
      <c r="H71"/>
      <c r="P71"/>
      <c r="X71"/>
      <c r="AF71"/>
      <c r="AN71"/>
      <c r="AV71"/>
      <c r="BD71"/>
      <c r="BL71"/>
      <c r="BT71"/>
      <c r="CB71"/>
      <c r="CJ71"/>
      <c r="CR71"/>
      <c r="CZ71"/>
      <c r="DH71"/>
      <c r="DP71"/>
      <c r="DX71"/>
      <c r="EF71"/>
      <c r="EN71"/>
      <c r="EV71"/>
      <c r="FD71"/>
      <c r="FL71"/>
      <c r="FT71"/>
      <c r="GB71"/>
      <c r="GJ71"/>
      <c r="GR71"/>
      <c r="GZ71"/>
    </row>
    <row r="72" spans="8:208" ht="14.4" x14ac:dyDescent="0.3">
      <c r="H72"/>
      <c r="P72"/>
      <c r="X72"/>
      <c r="AF72"/>
      <c r="AN72"/>
      <c r="AV72"/>
      <c r="BD72"/>
      <c r="BL72"/>
      <c r="BT72"/>
      <c r="CB72"/>
      <c r="CJ72"/>
      <c r="CR72"/>
      <c r="CZ72"/>
      <c r="DH72"/>
      <c r="DP72"/>
      <c r="DX72"/>
      <c r="EF72"/>
      <c r="EN72"/>
      <c r="EV72"/>
      <c r="FD72"/>
      <c r="FL72"/>
      <c r="FT72"/>
      <c r="GB72"/>
      <c r="GJ72"/>
      <c r="GR72"/>
      <c r="GZ72"/>
    </row>
    <row r="73" spans="8:208" ht="14.4" x14ac:dyDescent="0.3">
      <c r="H73"/>
      <c r="P73"/>
      <c r="X73"/>
      <c r="AF73"/>
      <c r="AN73"/>
      <c r="AV73"/>
      <c r="BD73"/>
      <c r="BL73"/>
      <c r="BT73"/>
      <c r="CB73"/>
      <c r="CJ73"/>
      <c r="CR73"/>
      <c r="CZ73"/>
      <c r="DH73"/>
      <c r="DP73"/>
      <c r="DX73"/>
      <c r="EF73"/>
      <c r="EN73"/>
      <c r="EV73"/>
      <c r="FD73"/>
      <c r="FL73"/>
      <c r="FT73"/>
      <c r="GB73"/>
      <c r="GJ73"/>
      <c r="GR73"/>
      <c r="GZ73"/>
    </row>
    <row r="74" spans="8:208" ht="14.4" x14ac:dyDescent="0.3">
      <c r="H74"/>
      <c r="P74"/>
      <c r="X74"/>
      <c r="AF74"/>
      <c r="AN74"/>
      <c r="AV74"/>
      <c r="BD74"/>
      <c r="BL74"/>
      <c r="BT74"/>
      <c r="CB74"/>
      <c r="CJ74"/>
      <c r="CR74"/>
      <c r="CZ74"/>
      <c r="DH74"/>
      <c r="DP74"/>
      <c r="DX74"/>
      <c r="EF74"/>
      <c r="EN74"/>
      <c r="EV74"/>
      <c r="FD74"/>
      <c r="FL74"/>
      <c r="FT74"/>
      <c r="GB74"/>
      <c r="GJ74"/>
      <c r="GR74"/>
      <c r="GZ74"/>
    </row>
    <row r="75" spans="8:208" ht="14.4" x14ac:dyDescent="0.3">
      <c r="H75"/>
      <c r="P75"/>
      <c r="X75"/>
      <c r="AF75"/>
      <c r="AN75"/>
      <c r="AV75"/>
      <c r="BD75"/>
      <c r="BL75"/>
      <c r="BT75"/>
      <c r="CB75"/>
      <c r="CJ75"/>
      <c r="CR75"/>
      <c r="CZ75"/>
      <c r="DH75"/>
      <c r="DP75"/>
      <c r="DX75"/>
      <c r="EF75"/>
      <c r="EN75"/>
      <c r="EV75"/>
      <c r="FD75"/>
      <c r="FL75"/>
      <c r="FT75"/>
      <c r="GB75"/>
      <c r="GJ75"/>
      <c r="GR75"/>
      <c r="GZ75"/>
    </row>
    <row r="76" spans="8:208" ht="14.4" x14ac:dyDescent="0.3">
      <c r="H76"/>
      <c r="P76"/>
      <c r="X76"/>
      <c r="AF76"/>
      <c r="AN76"/>
      <c r="AV76"/>
      <c r="BD76"/>
      <c r="BL76"/>
      <c r="BT76"/>
      <c r="CB76"/>
      <c r="CJ76"/>
      <c r="CR76"/>
      <c r="CZ76"/>
      <c r="DH76"/>
      <c r="DP76"/>
      <c r="DX76"/>
      <c r="EF76"/>
      <c r="EN76"/>
      <c r="EV76"/>
      <c r="FD76"/>
      <c r="FL76"/>
      <c r="FT76"/>
      <c r="GB76"/>
      <c r="GJ76"/>
      <c r="GR76"/>
      <c r="GZ76"/>
    </row>
    <row r="77" spans="8:208" ht="14.4" x14ac:dyDescent="0.3">
      <c r="H77"/>
      <c r="P77"/>
      <c r="X77"/>
      <c r="AF77"/>
      <c r="AN77"/>
      <c r="AV77"/>
      <c r="BD77"/>
      <c r="BL77"/>
      <c r="BT77"/>
      <c r="CB77"/>
      <c r="CJ77"/>
      <c r="CR77"/>
      <c r="CZ77"/>
      <c r="DH77"/>
      <c r="DP77"/>
      <c r="DX77"/>
      <c r="EF77"/>
      <c r="EN77"/>
      <c r="EV77"/>
      <c r="FD77"/>
      <c r="FL77"/>
      <c r="FT77"/>
      <c r="GB77"/>
      <c r="GJ77"/>
      <c r="GR77"/>
      <c r="GZ77"/>
    </row>
    <row r="78" spans="8:208" ht="14.4" x14ac:dyDescent="0.3">
      <c r="H78"/>
      <c r="P78"/>
      <c r="X78"/>
      <c r="AF78"/>
      <c r="AN78"/>
      <c r="AV78"/>
      <c r="BD78"/>
      <c r="BL78"/>
      <c r="BT78"/>
      <c r="CB78"/>
      <c r="CJ78"/>
      <c r="CR78"/>
      <c r="CZ78"/>
      <c r="DH78"/>
      <c r="DP78"/>
      <c r="DX78"/>
      <c r="EF78"/>
      <c r="EN78"/>
      <c r="EV78"/>
      <c r="FD78"/>
      <c r="FL78"/>
      <c r="FT78"/>
      <c r="GB78"/>
      <c r="GJ78"/>
      <c r="GR78"/>
      <c r="GZ78"/>
    </row>
    <row r="79" spans="8:208" ht="14.4" x14ac:dyDescent="0.3">
      <c r="H79"/>
      <c r="P79"/>
      <c r="X79"/>
      <c r="AF79"/>
      <c r="AN79"/>
      <c r="AV79"/>
      <c r="BD79"/>
      <c r="BL79"/>
      <c r="BT79"/>
      <c r="CB79"/>
      <c r="CJ79"/>
      <c r="CR79"/>
      <c r="CZ79"/>
      <c r="DH79"/>
      <c r="DP79"/>
      <c r="DX79"/>
      <c r="EF79"/>
      <c r="EN79"/>
      <c r="EV79"/>
      <c r="FD79"/>
      <c r="FL79"/>
      <c r="FT79"/>
      <c r="GB79"/>
      <c r="GJ79"/>
      <c r="GR79"/>
      <c r="GZ79"/>
    </row>
    <row r="80" spans="8:208" ht="14.4" x14ac:dyDescent="0.3">
      <c r="H80"/>
      <c r="P80"/>
      <c r="X80"/>
      <c r="AF80"/>
      <c r="AN80"/>
      <c r="AV80"/>
      <c r="BD80"/>
      <c r="BL80"/>
      <c r="BT80"/>
      <c r="CB80"/>
      <c r="CJ80"/>
      <c r="CR80"/>
      <c r="CZ80"/>
      <c r="DH80"/>
      <c r="DP80"/>
      <c r="DX80"/>
      <c r="EF80"/>
      <c r="EN80"/>
      <c r="EV80"/>
      <c r="FD80"/>
      <c r="FL80"/>
      <c r="FT80"/>
      <c r="GB80"/>
      <c r="GJ80"/>
      <c r="GR80"/>
      <c r="GZ80"/>
    </row>
    <row r="81" spans="8:208" ht="14.4" x14ac:dyDescent="0.3">
      <c r="H81"/>
      <c r="P81"/>
      <c r="X81"/>
      <c r="AF81"/>
      <c r="AN81"/>
      <c r="AV81"/>
      <c r="BD81"/>
      <c r="BL81"/>
      <c r="BT81"/>
      <c r="CB81"/>
      <c r="CJ81"/>
      <c r="CR81"/>
      <c r="CZ81"/>
      <c r="DH81"/>
      <c r="DP81"/>
      <c r="DX81"/>
      <c r="EF81"/>
      <c r="EN81"/>
      <c r="EV81"/>
      <c r="FD81"/>
      <c r="FL81"/>
      <c r="FT81"/>
      <c r="GB81"/>
      <c r="GJ81"/>
      <c r="GR81"/>
      <c r="GZ81"/>
    </row>
    <row r="82" spans="8:208" ht="14.4" x14ac:dyDescent="0.3">
      <c r="H82"/>
      <c r="P82"/>
      <c r="X82"/>
      <c r="AF82"/>
      <c r="AN82"/>
      <c r="AV82"/>
      <c r="BD82"/>
      <c r="BL82"/>
      <c r="BT82"/>
      <c r="CB82"/>
      <c r="CJ82"/>
      <c r="CR82"/>
      <c r="CZ82"/>
      <c r="DH82"/>
      <c r="DP82"/>
      <c r="DX82"/>
      <c r="EF82"/>
      <c r="EN82"/>
      <c r="EV82"/>
      <c r="FD82"/>
      <c r="FL82"/>
      <c r="FT82"/>
      <c r="GB82"/>
      <c r="GJ82"/>
      <c r="GR82"/>
      <c r="GZ82"/>
    </row>
    <row r="83" spans="8:208" ht="14.4" x14ac:dyDescent="0.3">
      <c r="H83"/>
      <c r="P83"/>
      <c r="X83"/>
      <c r="AF83"/>
      <c r="AN83"/>
      <c r="AV83"/>
      <c r="BD83"/>
      <c r="BL83"/>
      <c r="BT83"/>
      <c r="CB83"/>
      <c r="CJ83"/>
      <c r="CR83"/>
      <c r="CZ83"/>
      <c r="DH83"/>
      <c r="DP83"/>
      <c r="DX83"/>
      <c r="EF83"/>
      <c r="EN83"/>
      <c r="EV83"/>
      <c r="FD83"/>
      <c r="FL83"/>
      <c r="FT83"/>
      <c r="GB83"/>
      <c r="GJ83"/>
      <c r="GR83"/>
      <c r="GZ83"/>
    </row>
    <row r="84" spans="8:208" ht="14.4" x14ac:dyDescent="0.3">
      <c r="H84"/>
      <c r="P84"/>
      <c r="X84"/>
      <c r="AF84"/>
      <c r="AN84"/>
      <c r="AV84"/>
      <c r="BD84"/>
      <c r="BL84"/>
      <c r="BT84"/>
      <c r="CB84"/>
      <c r="CJ84"/>
      <c r="CR84"/>
      <c r="CZ84"/>
      <c r="DH84"/>
      <c r="DP84"/>
      <c r="DX84"/>
      <c r="EF84"/>
      <c r="EN84"/>
      <c r="EV84"/>
      <c r="FD84"/>
      <c r="FL84"/>
      <c r="FT84"/>
      <c r="GB84"/>
      <c r="GJ84"/>
      <c r="GR84"/>
      <c r="GZ84"/>
    </row>
    <row r="85" spans="8:208" ht="14.4" x14ac:dyDescent="0.3">
      <c r="H85"/>
      <c r="P85"/>
      <c r="X85"/>
      <c r="AF85"/>
      <c r="AN85"/>
      <c r="AV85"/>
      <c r="BD85"/>
      <c r="BL85"/>
      <c r="BT85"/>
      <c r="CB85"/>
      <c r="CJ85"/>
      <c r="CR85"/>
      <c r="CZ85"/>
      <c r="DH85"/>
      <c r="DP85"/>
      <c r="DX85"/>
      <c r="EF85"/>
      <c r="EN85"/>
      <c r="EV85"/>
      <c r="FD85"/>
      <c r="FL85"/>
      <c r="FT85"/>
      <c r="GB85"/>
      <c r="GJ85"/>
      <c r="GR85"/>
      <c r="GZ85"/>
    </row>
    <row r="86" spans="8:208" ht="14.4" x14ac:dyDescent="0.3">
      <c r="H86"/>
      <c r="P86"/>
      <c r="X86"/>
      <c r="AF86"/>
      <c r="AN86"/>
      <c r="AV86"/>
      <c r="BD86"/>
      <c r="BL86"/>
      <c r="BT86"/>
      <c r="CB86"/>
      <c r="CJ86"/>
      <c r="CR86"/>
      <c r="CZ86"/>
      <c r="DH86"/>
      <c r="DP86"/>
      <c r="DX86"/>
      <c r="EF86"/>
      <c r="EN86"/>
      <c r="EV86"/>
      <c r="FD86"/>
      <c r="FL86"/>
      <c r="FT86"/>
      <c r="GB86"/>
      <c r="GJ86"/>
      <c r="GR86"/>
      <c r="GZ86"/>
    </row>
    <row r="87" spans="8:208" ht="14.4" x14ac:dyDescent="0.3">
      <c r="H87"/>
      <c r="P87"/>
      <c r="X87"/>
      <c r="AF87"/>
      <c r="AN87"/>
      <c r="AV87"/>
      <c r="BD87"/>
      <c r="BL87"/>
      <c r="BT87"/>
      <c r="CB87"/>
      <c r="CJ87"/>
      <c r="CR87"/>
      <c r="CZ87"/>
      <c r="DH87"/>
      <c r="DP87"/>
      <c r="DX87"/>
      <c r="EF87"/>
      <c r="EN87"/>
      <c r="EV87"/>
      <c r="FD87"/>
      <c r="FL87"/>
      <c r="FT87"/>
      <c r="GB87"/>
      <c r="GJ87"/>
      <c r="GR87"/>
      <c r="GZ87"/>
    </row>
    <row r="88" spans="8:208" ht="14.4" x14ac:dyDescent="0.3">
      <c r="H88"/>
      <c r="P88"/>
      <c r="X88"/>
      <c r="AF88"/>
      <c r="AN88"/>
      <c r="AV88"/>
      <c r="BD88"/>
      <c r="BL88"/>
      <c r="BT88"/>
      <c r="CB88"/>
      <c r="CJ88"/>
      <c r="CR88"/>
      <c r="CZ88"/>
      <c r="DH88"/>
      <c r="DP88"/>
      <c r="DX88"/>
      <c r="EF88"/>
      <c r="EN88"/>
      <c r="EV88"/>
      <c r="FD88"/>
      <c r="FL88"/>
      <c r="FT88"/>
      <c r="GB88"/>
      <c r="GJ88"/>
      <c r="GR88"/>
      <c r="GZ88"/>
    </row>
    <row r="89" spans="8:208" ht="14.4" x14ac:dyDescent="0.3">
      <c r="H89"/>
      <c r="P89"/>
      <c r="X89"/>
      <c r="AF89"/>
      <c r="AN89"/>
      <c r="AV89"/>
      <c r="BD89"/>
      <c r="BL89"/>
      <c r="BT89"/>
      <c r="CB89"/>
      <c r="CJ89"/>
      <c r="CR89"/>
      <c r="CZ89"/>
      <c r="DH89"/>
      <c r="DP89"/>
      <c r="DX89"/>
      <c r="EF89"/>
      <c r="EN89"/>
      <c r="EV89"/>
      <c r="FD89"/>
      <c r="FL89"/>
      <c r="FT89"/>
      <c r="GB89"/>
      <c r="GJ89"/>
      <c r="GR89"/>
      <c r="GZ89"/>
    </row>
    <row r="90" spans="8:208" ht="14.4" x14ac:dyDescent="0.3">
      <c r="H90"/>
      <c r="P90"/>
      <c r="X90"/>
      <c r="AF90"/>
      <c r="AN90"/>
      <c r="AV90"/>
      <c r="BD90"/>
      <c r="BL90"/>
      <c r="BT90"/>
      <c r="CB90"/>
      <c r="CJ90"/>
      <c r="CR90"/>
      <c r="CZ90"/>
      <c r="DH90"/>
      <c r="DP90"/>
      <c r="DX90"/>
      <c r="EF90"/>
      <c r="EN90"/>
      <c r="EV90"/>
      <c r="FD90"/>
      <c r="FL90"/>
      <c r="FT90"/>
      <c r="GB90"/>
      <c r="GJ90"/>
      <c r="GR90"/>
      <c r="GZ90"/>
    </row>
    <row r="91" spans="8:208" ht="14.4" x14ac:dyDescent="0.3">
      <c r="H91"/>
      <c r="P91"/>
      <c r="X91"/>
      <c r="AF91"/>
      <c r="AN91"/>
      <c r="AV91"/>
      <c r="BD91"/>
      <c r="BL91"/>
      <c r="BT91"/>
      <c r="CB91"/>
      <c r="CJ91"/>
      <c r="CR91"/>
      <c r="CZ91"/>
      <c r="DH91"/>
      <c r="DP91"/>
      <c r="DX91"/>
      <c r="EF91"/>
      <c r="EN91"/>
      <c r="EV91"/>
      <c r="FD91"/>
      <c r="FL91"/>
      <c r="FT91"/>
      <c r="GB91"/>
      <c r="GJ91"/>
      <c r="GR91"/>
      <c r="GZ91"/>
    </row>
    <row r="92" spans="8:208" ht="14.4" x14ac:dyDescent="0.3">
      <c r="H92"/>
      <c r="P92"/>
      <c r="X92"/>
      <c r="AF92"/>
      <c r="AN92"/>
      <c r="AV92"/>
      <c r="BD92"/>
      <c r="BL92"/>
      <c r="BT92"/>
      <c r="CB92"/>
      <c r="CJ92"/>
      <c r="CR92"/>
      <c r="CZ92"/>
      <c r="DH92"/>
      <c r="DP92"/>
      <c r="DX92"/>
      <c r="EF92"/>
      <c r="EN92"/>
      <c r="EV92"/>
      <c r="FD92"/>
      <c r="FL92"/>
      <c r="FT92"/>
      <c r="GB92"/>
      <c r="GJ92"/>
      <c r="GR92"/>
      <c r="GZ92"/>
    </row>
    <row r="93" spans="8:208" ht="14.4" x14ac:dyDescent="0.3">
      <c r="H93"/>
      <c r="P93"/>
      <c r="X93"/>
      <c r="AF93"/>
      <c r="AN93"/>
      <c r="AV93"/>
      <c r="BD93"/>
      <c r="BL93"/>
      <c r="BT93"/>
      <c r="CB93"/>
      <c r="CJ93"/>
      <c r="CR93"/>
      <c r="CZ93"/>
      <c r="DH93"/>
      <c r="DP93"/>
      <c r="DX93"/>
      <c r="EF93"/>
      <c r="EN93"/>
      <c r="EV93"/>
      <c r="FD93"/>
      <c r="FL93"/>
      <c r="FT93"/>
      <c r="GB93"/>
      <c r="GJ93"/>
      <c r="GR93"/>
      <c r="GZ93"/>
    </row>
    <row r="94" spans="8:208" ht="14.4" x14ac:dyDescent="0.3">
      <c r="H94"/>
      <c r="P94"/>
      <c r="X94"/>
      <c r="AF94"/>
      <c r="AN94"/>
      <c r="AV94"/>
      <c r="BD94"/>
      <c r="BL94"/>
      <c r="BT94"/>
      <c r="CB94"/>
      <c r="CJ94"/>
      <c r="CR94"/>
      <c r="CZ94"/>
      <c r="DH94"/>
      <c r="DP94"/>
      <c r="DX94"/>
      <c r="EF94"/>
      <c r="EN94"/>
      <c r="EV94"/>
      <c r="FD94"/>
      <c r="FL94"/>
      <c r="FT94"/>
      <c r="GB94"/>
      <c r="GJ94"/>
      <c r="GR94"/>
      <c r="GZ94"/>
    </row>
    <row r="95" spans="8:208" ht="14.4" x14ac:dyDescent="0.3">
      <c r="H95"/>
      <c r="P95"/>
      <c r="X95"/>
      <c r="AF95"/>
      <c r="AN95"/>
      <c r="AV95"/>
      <c r="BD95"/>
      <c r="BL95"/>
      <c r="BT95"/>
      <c r="CB95"/>
      <c r="CJ95"/>
      <c r="CR95"/>
      <c r="CZ95"/>
      <c r="DH95"/>
      <c r="DP95"/>
      <c r="DX95"/>
      <c r="EF95"/>
      <c r="EN95"/>
      <c r="EV95"/>
      <c r="FD95"/>
      <c r="FL95"/>
      <c r="FT95"/>
      <c r="GB95"/>
      <c r="GJ95"/>
      <c r="GR95"/>
      <c r="GZ95"/>
    </row>
    <row r="96" spans="8:208" ht="14.4" x14ac:dyDescent="0.3">
      <c r="H96"/>
      <c r="P96"/>
      <c r="X96"/>
      <c r="AF96"/>
      <c r="AN96"/>
      <c r="AV96"/>
      <c r="BD96"/>
      <c r="BL96"/>
      <c r="BT96"/>
      <c r="CB96"/>
      <c r="CJ96"/>
      <c r="CR96"/>
      <c r="CZ96"/>
      <c r="DH96"/>
      <c r="DP96"/>
      <c r="DX96"/>
      <c r="EF96"/>
      <c r="EN96"/>
      <c r="EV96"/>
      <c r="FD96"/>
      <c r="FL96"/>
      <c r="FT96"/>
      <c r="GB96"/>
      <c r="GJ96"/>
      <c r="GR96"/>
      <c r="GZ96"/>
    </row>
    <row r="97" spans="8:208" ht="14.4" x14ac:dyDescent="0.3">
      <c r="H97"/>
      <c r="P97"/>
      <c r="X97"/>
      <c r="AF97"/>
      <c r="AN97"/>
      <c r="AV97"/>
      <c r="BD97"/>
      <c r="BL97"/>
      <c r="BT97"/>
      <c r="CB97"/>
      <c r="CJ97"/>
      <c r="CR97"/>
      <c r="CZ97"/>
      <c r="DH97"/>
      <c r="DP97"/>
      <c r="DX97"/>
      <c r="EF97"/>
      <c r="EN97"/>
      <c r="EV97"/>
      <c r="FD97"/>
      <c r="FL97"/>
      <c r="FT97"/>
      <c r="GB97"/>
      <c r="GJ97"/>
      <c r="GR97"/>
      <c r="GZ97"/>
    </row>
    <row r="98" spans="8:208" ht="14.4" x14ac:dyDescent="0.3">
      <c r="H98"/>
      <c r="P98"/>
      <c r="X98"/>
      <c r="AF98"/>
      <c r="AN98"/>
      <c r="AV98"/>
      <c r="BD98"/>
      <c r="BL98"/>
      <c r="BT98"/>
      <c r="CB98"/>
      <c r="CJ98"/>
      <c r="CR98"/>
      <c r="CZ98"/>
      <c r="DH98"/>
      <c r="DP98"/>
      <c r="DX98"/>
      <c r="EF98"/>
      <c r="EN98"/>
      <c r="EV98"/>
      <c r="FD98"/>
      <c r="FL98"/>
      <c r="FT98"/>
      <c r="GB98"/>
      <c r="GJ98"/>
      <c r="GR98"/>
      <c r="GZ98"/>
    </row>
    <row r="99" spans="8:208" ht="14.4" x14ac:dyDescent="0.3">
      <c r="H99"/>
      <c r="P99"/>
      <c r="X99"/>
      <c r="AF99"/>
      <c r="AN99"/>
      <c r="AV99"/>
      <c r="BD99"/>
      <c r="BL99"/>
      <c r="BT99"/>
      <c r="CB99"/>
      <c r="CJ99"/>
      <c r="CR99"/>
      <c r="CZ99"/>
      <c r="DH99"/>
      <c r="DP99"/>
      <c r="DX99"/>
      <c r="EF99"/>
      <c r="EN99"/>
      <c r="EV99"/>
      <c r="FD99"/>
      <c r="FL99"/>
      <c r="FT99"/>
      <c r="GB99"/>
      <c r="GJ99"/>
      <c r="GR99"/>
      <c r="GZ99"/>
    </row>
    <row r="100" spans="8:208" ht="14.4" x14ac:dyDescent="0.3">
      <c r="H100"/>
      <c r="P100"/>
      <c r="X100"/>
      <c r="AF100"/>
      <c r="AN100"/>
      <c r="AV100"/>
      <c r="BD100"/>
      <c r="BL100"/>
      <c r="BT100"/>
      <c r="CB100"/>
      <c r="CJ100"/>
      <c r="CR100"/>
      <c r="CZ100"/>
      <c r="DH100"/>
      <c r="DP100"/>
      <c r="DX100"/>
      <c r="EF100"/>
      <c r="EN100"/>
      <c r="EV100"/>
      <c r="FD100"/>
      <c r="FL100"/>
      <c r="FT100"/>
      <c r="GB100"/>
      <c r="GJ100"/>
      <c r="GR100"/>
      <c r="GZ100"/>
    </row>
    <row r="101" spans="8:208" ht="14.4" x14ac:dyDescent="0.3">
      <c r="H101"/>
      <c r="P101"/>
      <c r="X101"/>
      <c r="AF101"/>
      <c r="AN101"/>
      <c r="AV101"/>
      <c r="BD101"/>
      <c r="BL101"/>
      <c r="BT101"/>
      <c r="CB101"/>
      <c r="CJ101"/>
      <c r="CR101"/>
      <c r="CZ101"/>
      <c r="DH101"/>
      <c r="DP101"/>
      <c r="DX101"/>
      <c r="EF101"/>
      <c r="EN101"/>
      <c r="EV101"/>
      <c r="FD101"/>
      <c r="FL101"/>
      <c r="FT101"/>
      <c r="GB101"/>
      <c r="GJ101"/>
      <c r="GR101"/>
      <c r="GZ101"/>
    </row>
    <row r="102" spans="8:208" ht="14.4" x14ac:dyDescent="0.3">
      <c r="H102"/>
      <c r="P102"/>
      <c r="X102"/>
      <c r="AF102"/>
      <c r="AN102"/>
      <c r="AV102"/>
      <c r="BD102"/>
      <c r="BL102"/>
      <c r="BT102"/>
      <c r="CB102"/>
      <c r="CJ102"/>
      <c r="CR102"/>
      <c r="CZ102"/>
      <c r="DH102"/>
      <c r="DP102"/>
      <c r="DX102"/>
      <c r="EF102"/>
      <c r="EN102"/>
      <c r="EV102"/>
      <c r="FD102"/>
      <c r="FL102"/>
      <c r="FT102"/>
      <c r="GB102"/>
      <c r="GJ102"/>
      <c r="GR102"/>
      <c r="GZ102"/>
    </row>
    <row r="103" spans="8:208" ht="14.4" x14ac:dyDescent="0.3">
      <c r="H103"/>
      <c r="P103"/>
      <c r="X103"/>
      <c r="AF103"/>
      <c r="AN103"/>
      <c r="AV103"/>
      <c r="BD103"/>
      <c r="BL103"/>
      <c r="BT103"/>
      <c r="CB103"/>
      <c r="CJ103"/>
      <c r="CR103"/>
      <c r="CZ103"/>
      <c r="DH103"/>
      <c r="DP103"/>
      <c r="DX103"/>
      <c r="EF103"/>
      <c r="EN103"/>
      <c r="EV103"/>
      <c r="FD103"/>
      <c r="FL103"/>
      <c r="FT103"/>
      <c r="GB103"/>
      <c r="GJ103"/>
      <c r="GR103"/>
      <c r="GZ103"/>
    </row>
    <row r="104" spans="8:208" ht="14.4" x14ac:dyDescent="0.3">
      <c r="H104"/>
      <c r="P104"/>
      <c r="X104"/>
      <c r="AF104"/>
      <c r="AN104"/>
      <c r="AV104"/>
      <c r="BD104"/>
      <c r="BL104"/>
      <c r="BT104"/>
      <c r="CB104"/>
      <c r="CJ104"/>
      <c r="CR104"/>
      <c r="CZ104"/>
      <c r="DH104"/>
      <c r="DP104"/>
      <c r="DX104"/>
      <c r="EF104"/>
      <c r="EN104"/>
      <c r="EV104"/>
      <c r="FD104"/>
      <c r="FL104"/>
      <c r="FT104"/>
      <c r="GB104"/>
      <c r="GJ104"/>
      <c r="GR104"/>
      <c r="GZ104"/>
    </row>
    <row r="105" spans="8:208" ht="14.4" x14ac:dyDescent="0.3">
      <c r="H105"/>
      <c r="P105"/>
      <c r="X105"/>
      <c r="AF105"/>
      <c r="AN105"/>
      <c r="AV105"/>
      <c r="BD105"/>
      <c r="BL105"/>
      <c r="BT105"/>
      <c r="CB105"/>
      <c r="CJ105"/>
      <c r="CR105"/>
      <c r="CZ105"/>
      <c r="DH105"/>
      <c r="DP105"/>
      <c r="DX105"/>
      <c r="EF105"/>
      <c r="EN105"/>
      <c r="EV105"/>
      <c r="FD105"/>
      <c r="FL105"/>
      <c r="FT105"/>
      <c r="GB105"/>
      <c r="GJ105"/>
      <c r="GR105"/>
      <c r="GZ105"/>
    </row>
    <row r="106" spans="8:208" ht="14.4" x14ac:dyDescent="0.3">
      <c r="H106"/>
      <c r="P106"/>
      <c r="X106"/>
      <c r="AF106"/>
      <c r="AN106"/>
      <c r="AV106"/>
      <c r="BD106"/>
      <c r="BL106"/>
      <c r="BT106"/>
      <c r="CB106"/>
      <c r="CJ106"/>
      <c r="CR106"/>
      <c r="CZ106"/>
      <c r="DH106"/>
      <c r="DP106"/>
      <c r="DX106"/>
      <c r="EF106"/>
      <c r="EN106"/>
      <c r="EV106"/>
      <c r="FD106"/>
      <c r="FL106"/>
      <c r="FT106"/>
      <c r="GB106"/>
      <c r="GJ106"/>
      <c r="GR106"/>
      <c r="GZ106"/>
    </row>
    <row r="107" spans="8:208" ht="14.4" x14ac:dyDescent="0.3">
      <c r="H107"/>
      <c r="P107"/>
      <c r="X107"/>
      <c r="AF107"/>
      <c r="AN107"/>
      <c r="AV107"/>
      <c r="BD107"/>
      <c r="BL107"/>
      <c r="BT107"/>
      <c r="CB107"/>
      <c r="CJ107"/>
      <c r="CR107"/>
      <c r="CZ107"/>
      <c r="DH107"/>
      <c r="DP107"/>
      <c r="DX107"/>
      <c r="EF107"/>
      <c r="EN107"/>
      <c r="EV107"/>
      <c r="FD107"/>
      <c r="FL107"/>
      <c r="FT107"/>
      <c r="GB107"/>
      <c r="GJ107"/>
      <c r="GR107"/>
      <c r="GZ107"/>
    </row>
    <row r="108" spans="8:208" ht="14.4" x14ac:dyDescent="0.3">
      <c r="H108"/>
      <c r="P108"/>
      <c r="X108"/>
      <c r="AF108"/>
      <c r="AN108"/>
      <c r="AV108"/>
      <c r="BD108"/>
      <c r="BL108"/>
      <c r="BT108"/>
      <c r="CB108"/>
      <c r="CJ108"/>
      <c r="CR108"/>
      <c r="CZ108"/>
      <c r="DH108"/>
      <c r="DP108"/>
      <c r="DX108"/>
      <c r="EF108"/>
      <c r="EN108"/>
      <c r="EV108"/>
      <c r="FD108"/>
      <c r="FL108"/>
      <c r="FT108"/>
      <c r="GB108"/>
      <c r="GJ108"/>
      <c r="GR108"/>
      <c r="GZ108"/>
    </row>
    <row r="109" spans="8:208" ht="14.4" x14ac:dyDescent="0.3">
      <c r="H109"/>
      <c r="P109"/>
      <c r="X109"/>
      <c r="AF109"/>
      <c r="AN109"/>
      <c r="AV109"/>
      <c r="BD109"/>
      <c r="BL109"/>
      <c r="BT109"/>
      <c r="CB109"/>
      <c r="CJ109"/>
      <c r="CR109"/>
      <c r="CZ109"/>
      <c r="DH109"/>
      <c r="DP109"/>
      <c r="DX109"/>
      <c r="EF109"/>
      <c r="EN109"/>
      <c r="EV109"/>
      <c r="FD109"/>
      <c r="FL109"/>
      <c r="FT109"/>
      <c r="GB109"/>
      <c r="GJ109"/>
      <c r="GR109"/>
      <c r="GZ109"/>
    </row>
    <row r="110" spans="8:208" ht="14.4" x14ac:dyDescent="0.3">
      <c r="H110"/>
      <c r="P110"/>
      <c r="X110"/>
      <c r="AF110"/>
      <c r="AN110"/>
      <c r="AV110"/>
      <c r="BD110"/>
      <c r="BL110"/>
      <c r="BT110"/>
      <c r="CB110"/>
      <c r="CJ110"/>
      <c r="CR110"/>
      <c r="CZ110"/>
      <c r="DH110"/>
      <c r="DP110"/>
      <c r="DX110"/>
      <c r="EF110"/>
      <c r="EN110"/>
      <c r="EV110"/>
      <c r="FD110"/>
      <c r="FL110"/>
      <c r="FT110"/>
      <c r="GB110"/>
      <c r="GJ110"/>
      <c r="GR110"/>
      <c r="GZ110"/>
    </row>
    <row r="111" spans="8:208" ht="14.4" x14ac:dyDescent="0.3">
      <c r="H111"/>
      <c r="P111"/>
      <c r="X111"/>
      <c r="AF111"/>
      <c r="AN111"/>
      <c r="AV111"/>
      <c r="BD111"/>
      <c r="BL111"/>
      <c r="BT111"/>
      <c r="CB111"/>
      <c r="CJ111"/>
      <c r="CR111"/>
      <c r="CZ111"/>
      <c r="DH111"/>
      <c r="DP111"/>
      <c r="DX111"/>
      <c r="EF111"/>
      <c r="EN111"/>
      <c r="EV111"/>
      <c r="FD111"/>
      <c r="FL111"/>
      <c r="FT111"/>
      <c r="GB111"/>
      <c r="GJ111"/>
      <c r="GR111"/>
      <c r="GZ111"/>
    </row>
    <row r="112" spans="8:208" ht="14.4" x14ac:dyDescent="0.3">
      <c r="H112"/>
      <c r="P112"/>
      <c r="X112"/>
      <c r="AF112"/>
      <c r="AN112"/>
      <c r="AV112"/>
      <c r="BD112"/>
      <c r="BL112"/>
      <c r="BT112"/>
      <c r="CB112"/>
      <c r="CJ112"/>
      <c r="CR112"/>
      <c r="CZ112"/>
      <c r="DH112"/>
      <c r="DP112"/>
      <c r="DX112"/>
      <c r="EF112"/>
      <c r="EN112"/>
      <c r="EV112"/>
      <c r="FD112"/>
      <c r="FL112"/>
      <c r="FT112"/>
      <c r="GB112"/>
      <c r="GJ112"/>
      <c r="GR112"/>
      <c r="GZ112"/>
    </row>
    <row r="113" spans="8:208" ht="14.4" x14ac:dyDescent="0.3">
      <c r="H113"/>
      <c r="P113"/>
      <c r="X113"/>
      <c r="AF113"/>
      <c r="AN113"/>
      <c r="AV113"/>
      <c r="BD113"/>
      <c r="BL113"/>
      <c r="BT113"/>
      <c r="CB113"/>
      <c r="CJ113"/>
      <c r="CR113"/>
      <c r="CZ113"/>
      <c r="DH113"/>
      <c r="DP113"/>
      <c r="DX113"/>
      <c r="EF113"/>
      <c r="EN113"/>
      <c r="EV113"/>
      <c r="FD113"/>
      <c r="FL113"/>
      <c r="FT113"/>
      <c r="GB113"/>
      <c r="GJ113"/>
      <c r="GR113"/>
      <c r="GZ113"/>
    </row>
    <row r="114" spans="8:208" ht="14.4" x14ac:dyDescent="0.3">
      <c r="H114"/>
      <c r="P114"/>
      <c r="X114"/>
      <c r="AF114"/>
      <c r="AN114"/>
      <c r="AV114"/>
      <c r="BD114"/>
      <c r="BL114"/>
      <c r="BT114"/>
      <c r="CB114"/>
      <c r="CJ114"/>
      <c r="CR114"/>
      <c r="CZ114"/>
      <c r="DH114"/>
      <c r="DP114"/>
      <c r="DX114"/>
      <c r="EF114"/>
      <c r="EN114"/>
      <c r="EV114"/>
      <c r="FD114"/>
      <c r="FL114"/>
      <c r="FT114"/>
      <c r="GB114"/>
      <c r="GJ114"/>
      <c r="GR114"/>
      <c r="GZ114"/>
    </row>
    <row r="115" spans="8:208" ht="14.4" x14ac:dyDescent="0.3">
      <c r="H115"/>
      <c r="P115"/>
      <c r="X115"/>
      <c r="AF115"/>
      <c r="AN115"/>
      <c r="AV115"/>
      <c r="BD115"/>
      <c r="BL115"/>
      <c r="BT115"/>
      <c r="CB115"/>
      <c r="CJ115"/>
      <c r="CR115"/>
      <c r="CZ115"/>
      <c r="DH115"/>
      <c r="DP115"/>
      <c r="DX115"/>
      <c r="EF115"/>
      <c r="EN115"/>
      <c r="EV115"/>
      <c r="FD115"/>
      <c r="FL115"/>
      <c r="FT115"/>
      <c r="GB115"/>
      <c r="GJ115"/>
      <c r="GR115"/>
      <c r="GZ115"/>
    </row>
    <row r="116" spans="8:208" ht="14.4" x14ac:dyDescent="0.3">
      <c r="H116"/>
      <c r="P116"/>
      <c r="X116"/>
      <c r="AF116"/>
      <c r="AN116"/>
      <c r="AV116"/>
      <c r="BD116"/>
      <c r="BL116"/>
      <c r="BT116"/>
      <c r="CB116"/>
      <c r="CJ116"/>
      <c r="CR116"/>
      <c r="CZ116"/>
      <c r="DH116"/>
      <c r="DP116"/>
      <c r="DX116"/>
      <c r="EF116"/>
      <c r="EN116"/>
      <c r="EV116"/>
      <c r="FD116"/>
      <c r="FL116"/>
      <c r="FT116"/>
      <c r="GB116"/>
      <c r="GJ116"/>
      <c r="GR116"/>
      <c r="GZ116"/>
    </row>
    <row r="117" spans="8:208" ht="14.4" x14ac:dyDescent="0.3">
      <c r="H117"/>
      <c r="P117"/>
      <c r="X117"/>
      <c r="AF117"/>
      <c r="AN117"/>
      <c r="AV117"/>
      <c r="BD117"/>
      <c r="BL117"/>
      <c r="BT117"/>
      <c r="CB117"/>
      <c r="CJ117"/>
      <c r="CR117"/>
      <c r="CZ117"/>
      <c r="DH117"/>
      <c r="DP117"/>
      <c r="DX117"/>
      <c r="EF117"/>
      <c r="EN117"/>
      <c r="EV117"/>
      <c r="FD117"/>
      <c r="FL117"/>
      <c r="FT117"/>
      <c r="GB117"/>
      <c r="GJ117"/>
      <c r="GR117"/>
      <c r="GZ117"/>
    </row>
    <row r="118" spans="8:208" ht="14.4" x14ac:dyDescent="0.3">
      <c r="H118"/>
      <c r="P118"/>
      <c r="X118"/>
      <c r="AF118"/>
      <c r="AN118"/>
      <c r="AV118"/>
      <c r="BD118"/>
      <c r="BL118"/>
      <c r="BT118"/>
      <c r="CB118"/>
      <c r="CJ118"/>
      <c r="CR118"/>
      <c r="CZ118"/>
      <c r="DH118"/>
      <c r="DP118"/>
      <c r="DX118"/>
      <c r="EF118"/>
      <c r="EN118"/>
      <c r="EV118"/>
      <c r="FD118"/>
      <c r="FL118"/>
      <c r="FT118"/>
      <c r="GB118"/>
      <c r="GJ118"/>
      <c r="GR118"/>
      <c r="GZ118"/>
    </row>
    <row r="119" spans="8:208" ht="14.4" x14ac:dyDescent="0.3">
      <c r="H119"/>
      <c r="P119"/>
      <c r="X119"/>
      <c r="AF119"/>
      <c r="AN119"/>
      <c r="AV119"/>
      <c r="BD119"/>
      <c r="BL119"/>
      <c r="BT119"/>
      <c r="CB119"/>
      <c r="CJ119"/>
      <c r="CR119"/>
      <c r="CZ119"/>
      <c r="DH119"/>
      <c r="DP119"/>
      <c r="DX119"/>
      <c r="EF119"/>
      <c r="EN119"/>
      <c r="EV119"/>
      <c r="FD119"/>
      <c r="FL119"/>
      <c r="FT119"/>
      <c r="GB119"/>
      <c r="GJ119"/>
      <c r="GR119"/>
      <c r="GZ119"/>
    </row>
    <row r="120" spans="8:208" ht="14.4" x14ac:dyDescent="0.3">
      <c r="H120"/>
      <c r="P120"/>
      <c r="X120"/>
      <c r="AF120"/>
      <c r="AN120"/>
      <c r="AV120"/>
      <c r="BD120"/>
      <c r="BL120"/>
      <c r="BT120"/>
      <c r="CB120"/>
      <c r="CJ120"/>
      <c r="CR120"/>
      <c r="CZ120"/>
      <c r="DH120"/>
      <c r="DP120"/>
      <c r="DX120"/>
      <c r="EF120"/>
      <c r="EN120"/>
      <c r="EV120"/>
      <c r="FD120"/>
      <c r="FL120"/>
      <c r="FT120"/>
      <c r="GB120"/>
      <c r="GJ120"/>
      <c r="GR120"/>
      <c r="GZ120"/>
    </row>
    <row r="121" spans="8:208" ht="14.4" x14ac:dyDescent="0.3">
      <c r="H121"/>
      <c r="P121"/>
      <c r="X121"/>
      <c r="AF121"/>
      <c r="AN121"/>
      <c r="AV121"/>
      <c r="BD121"/>
      <c r="BL121"/>
      <c r="BT121"/>
      <c r="CB121"/>
      <c r="CJ121"/>
      <c r="CR121"/>
      <c r="CZ121"/>
      <c r="DH121"/>
      <c r="DP121"/>
      <c r="DX121"/>
      <c r="EF121"/>
      <c r="EN121"/>
      <c r="EV121"/>
      <c r="FD121"/>
      <c r="FL121"/>
      <c r="FT121"/>
      <c r="GB121"/>
      <c r="GJ121"/>
      <c r="GR121"/>
      <c r="GZ121"/>
    </row>
    <row r="122" spans="8:208" ht="14.4" x14ac:dyDescent="0.3">
      <c r="H122"/>
      <c r="P122"/>
      <c r="X122"/>
      <c r="AF122"/>
      <c r="AN122"/>
      <c r="AV122"/>
      <c r="BD122"/>
      <c r="BL122"/>
      <c r="BT122"/>
      <c r="CB122"/>
      <c r="CJ122"/>
      <c r="CR122"/>
      <c r="CZ122"/>
      <c r="DH122"/>
      <c r="DP122"/>
      <c r="DX122"/>
      <c r="EF122"/>
      <c r="EN122"/>
      <c r="EV122"/>
      <c r="FD122"/>
      <c r="FL122"/>
      <c r="FT122"/>
      <c r="GB122"/>
      <c r="GJ122"/>
      <c r="GR122"/>
      <c r="GZ122"/>
    </row>
    <row r="123" spans="8:208" ht="14.4" x14ac:dyDescent="0.3">
      <c r="H123"/>
      <c r="P123"/>
      <c r="X123"/>
      <c r="AF123"/>
      <c r="AN123"/>
      <c r="AV123"/>
      <c r="BD123"/>
      <c r="BL123"/>
      <c r="BT123"/>
      <c r="CB123"/>
      <c r="CJ123"/>
      <c r="CR123"/>
      <c r="CZ123"/>
      <c r="DH123"/>
      <c r="DP123"/>
      <c r="DX123"/>
      <c r="EF123"/>
      <c r="EN123"/>
      <c r="EV123"/>
      <c r="FD123"/>
      <c r="FL123"/>
      <c r="FT123"/>
      <c r="GB123"/>
      <c r="GJ123"/>
      <c r="GR123"/>
      <c r="GZ123"/>
    </row>
    <row r="124" spans="8:208" ht="14.4" x14ac:dyDescent="0.3">
      <c r="H124"/>
      <c r="P124"/>
      <c r="X124"/>
      <c r="AF124"/>
      <c r="AN124"/>
      <c r="AV124"/>
      <c r="BD124"/>
      <c r="BL124"/>
      <c r="BT124"/>
      <c r="CB124"/>
      <c r="CJ124"/>
      <c r="CR124"/>
      <c r="CZ124"/>
      <c r="DH124"/>
      <c r="DP124"/>
      <c r="DX124"/>
      <c r="EF124"/>
      <c r="EN124"/>
      <c r="EV124"/>
      <c r="FD124"/>
      <c r="FL124"/>
      <c r="FT124"/>
      <c r="GB124"/>
      <c r="GJ124"/>
      <c r="GR124"/>
      <c r="GZ124"/>
    </row>
    <row r="125" spans="8:208" ht="14.4" x14ac:dyDescent="0.3">
      <c r="H125"/>
      <c r="P125"/>
      <c r="X125"/>
      <c r="AF125"/>
      <c r="AN125"/>
      <c r="AV125"/>
      <c r="BD125"/>
      <c r="BL125"/>
      <c r="BT125"/>
      <c r="CB125"/>
      <c r="CJ125"/>
      <c r="CR125"/>
      <c r="CZ125"/>
      <c r="DH125"/>
      <c r="DP125"/>
      <c r="DX125"/>
      <c r="EF125"/>
      <c r="EN125"/>
      <c r="EV125"/>
      <c r="FD125"/>
      <c r="FL125"/>
      <c r="FT125"/>
      <c r="GB125"/>
      <c r="GJ125"/>
      <c r="GR125"/>
      <c r="GZ125"/>
    </row>
    <row r="126" spans="8:208" ht="14.4" x14ac:dyDescent="0.3">
      <c r="H126"/>
      <c r="P126"/>
      <c r="X126"/>
      <c r="AF126"/>
      <c r="AN126"/>
      <c r="AV126"/>
      <c r="BD126"/>
      <c r="BL126"/>
      <c r="BT126"/>
      <c r="CB126"/>
      <c r="CJ126"/>
      <c r="CR126"/>
      <c r="CZ126"/>
      <c r="DH126"/>
      <c r="DP126"/>
      <c r="DX126"/>
      <c r="EF126"/>
      <c r="EN126"/>
      <c r="EV126"/>
      <c r="FD126"/>
      <c r="FL126"/>
      <c r="FT126"/>
      <c r="GB126"/>
      <c r="GJ126"/>
      <c r="GR126"/>
      <c r="GZ126"/>
    </row>
    <row r="127" spans="8:208" ht="14.4" x14ac:dyDescent="0.3">
      <c r="H127"/>
      <c r="P127"/>
      <c r="X127"/>
      <c r="AF127"/>
      <c r="AN127"/>
      <c r="AV127"/>
      <c r="BD127"/>
      <c r="BL127"/>
      <c r="BT127"/>
      <c r="CB127"/>
      <c r="CJ127"/>
      <c r="CR127"/>
      <c r="CZ127"/>
      <c r="DH127"/>
      <c r="DP127"/>
      <c r="DX127"/>
      <c r="EF127"/>
      <c r="EN127"/>
      <c r="EV127"/>
      <c r="FD127"/>
      <c r="FL127"/>
      <c r="FT127"/>
      <c r="GB127"/>
      <c r="GJ127"/>
      <c r="GR127"/>
      <c r="GZ127"/>
    </row>
    <row r="128" spans="8:208" ht="14.4" x14ac:dyDescent="0.3">
      <c r="H128"/>
      <c r="P128"/>
      <c r="X128"/>
      <c r="AF128"/>
      <c r="AN128"/>
      <c r="AV128"/>
      <c r="BD128"/>
      <c r="BL128"/>
      <c r="BT128"/>
      <c r="CB128"/>
      <c r="CJ128"/>
      <c r="CR128"/>
      <c r="CZ128"/>
      <c r="DH128"/>
      <c r="DP128"/>
      <c r="DX128"/>
      <c r="EF128"/>
      <c r="EN128"/>
      <c r="EV128"/>
      <c r="FD128"/>
      <c r="FL128"/>
      <c r="FT128"/>
      <c r="GB128"/>
      <c r="GJ128"/>
      <c r="GR128"/>
      <c r="GZ128"/>
    </row>
    <row r="129" spans="8:208" ht="14.4" x14ac:dyDescent="0.3">
      <c r="H129"/>
      <c r="P129"/>
      <c r="X129"/>
      <c r="AF129"/>
      <c r="AN129"/>
      <c r="AV129"/>
      <c r="BD129"/>
      <c r="BL129"/>
      <c r="BT129"/>
      <c r="CB129"/>
      <c r="CJ129"/>
      <c r="CR129"/>
      <c r="CZ129"/>
      <c r="DH129"/>
      <c r="DP129"/>
      <c r="DX129"/>
      <c r="EF129"/>
      <c r="EN129"/>
      <c r="EV129"/>
      <c r="FD129"/>
      <c r="FL129"/>
      <c r="FT129"/>
      <c r="GB129"/>
      <c r="GJ129"/>
      <c r="GR129"/>
      <c r="GZ129"/>
    </row>
    <row r="130" spans="8:208" ht="14.4" x14ac:dyDescent="0.3">
      <c r="H130"/>
      <c r="P130"/>
      <c r="X130"/>
      <c r="AF130"/>
      <c r="AN130"/>
      <c r="AV130"/>
      <c r="BD130"/>
      <c r="BL130"/>
      <c r="BT130"/>
      <c r="CB130"/>
      <c r="CJ130"/>
      <c r="CR130"/>
      <c r="CZ130"/>
      <c r="DH130"/>
      <c r="DP130"/>
      <c r="DX130"/>
      <c r="EF130"/>
      <c r="EN130"/>
      <c r="EV130"/>
      <c r="FD130"/>
      <c r="FL130"/>
      <c r="FT130"/>
      <c r="GB130"/>
      <c r="GJ130"/>
      <c r="GR130"/>
      <c r="GZ130"/>
    </row>
    <row r="131" spans="8:208" ht="14.4" x14ac:dyDescent="0.3">
      <c r="H131"/>
      <c r="P131"/>
      <c r="X131"/>
      <c r="AF131"/>
      <c r="AN131"/>
      <c r="AV131"/>
      <c r="BD131"/>
      <c r="BL131"/>
      <c r="BT131"/>
      <c r="CB131"/>
      <c r="CJ131"/>
      <c r="CR131"/>
      <c r="CZ131"/>
      <c r="DH131"/>
      <c r="DP131"/>
      <c r="DX131"/>
      <c r="EF131"/>
      <c r="EN131"/>
      <c r="EV131"/>
      <c r="FD131"/>
      <c r="FL131"/>
      <c r="FT131"/>
      <c r="GB131"/>
      <c r="GJ131"/>
      <c r="GR131"/>
      <c r="GZ131"/>
    </row>
    <row r="132" spans="8:208" ht="14.4" x14ac:dyDescent="0.3">
      <c r="H132"/>
      <c r="P132"/>
      <c r="X132"/>
      <c r="AF132"/>
      <c r="AN132"/>
      <c r="AV132"/>
      <c r="BD132"/>
      <c r="BL132"/>
      <c r="BT132"/>
      <c r="CB132"/>
      <c r="CJ132"/>
      <c r="CR132"/>
      <c r="CZ132"/>
      <c r="DH132"/>
      <c r="DP132"/>
      <c r="DX132"/>
      <c r="EF132"/>
      <c r="EN132"/>
      <c r="EV132"/>
      <c r="FD132"/>
      <c r="FL132"/>
      <c r="FT132"/>
      <c r="GB132"/>
      <c r="GJ132"/>
      <c r="GR132"/>
      <c r="GZ132"/>
    </row>
    <row r="133" spans="8:208" ht="14.4" x14ac:dyDescent="0.3">
      <c r="H133"/>
      <c r="P133"/>
      <c r="X133"/>
      <c r="AF133"/>
      <c r="AN133"/>
      <c r="AV133"/>
      <c r="BD133"/>
      <c r="BL133"/>
      <c r="BT133"/>
      <c r="CB133"/>
      <c r="CJ133"/>
      <c r="CR133"/>
      <c r="CZ133"/>
      <c r="DH133"/>
      <c r="DP133"/>
      <c r="DX133"/>
      <c r="EF133"/>
      <c r="EN133"/>
      <c r="EV133"/>
      <c r="FD133"/>
      <c r="FL133"/>
      <c r="FT133"/>
      <c r="GB133"/>
      <c r="GJ133"/>
      <c r="GR133"/>
      <c r="GZ133"/>
    </row>
    <row r="134" spans="8:208" ht="14.4" x14ac:dyDescent="0.3">
      <c r="H134"/>
      <c r="P134"/>
      <c r="X134"/>
      <c r="AF134"/>
      <c r="AN134"/>
      <c r="AV134"/>
      <c r="BD134"/>
      <c r="BL134"/>
      <c r="BT134"/>
      <c r="CB134"/>
      <c r="CJ134"/>
      <c r="CR134"/>
      <c r="CZ134"/>
      <c r="DH134"/>
      <c r="DP134"/>
      <c r="DX134"/>
      <c r="EF134"/>
      <c r="EN134"/>
      <c r="EV134"/>
      <c r="FD134"/>
      <c r="FL134"/>
      <c r="FT134"/>
      <c r="GB134"/>
      <c r="GJ134"/>
      <c r="GR134"/>
      <c r="GZ134"/>
    </row>
    <row r="135" spans="8:208" ht="14.4" x14ac:dyDescent="0.3">
      <c r="H135"/>
      <c r="P135"/>
      <c r="X135"/>
      <c r="AF135"/>
      <c r="AN135"/>
      <c r="AV135"/>
      <c r="BD135"/>
      <c r="BL135"/>
      <c r="BT135"/>
      <c r="CB135"/>
      <c r="CJ135"/>
      <c r="CR135"/>
      <c r="CZ135"/>
      <c r="DH135"/>
      <c r="DP135"/>
      <c r="DX135"/>
      <c r="EF135"/>
      <c r="EN135"/>
      <c r="EV135"/>
      <c r="FD135"/>
      <c r="FL135"/>
      <c r="FT135"/>
      <c r="GB135"/>
      <c r="GJ135"/>
      <c r="GR135"/>
      <c r="GZ135"/>
    </row>
    <row r="136" spans="8:208" ht="14.4" x14ac:dyDescent="0.3">
      <c r="H136"/>
      <c r="P136"/>
      <c r="X136"/>
      <c r="AF136"/>
      <c r="AN136"/>
      <c r="AV136"/>
      <c r="BD136"/>
      <c r="BL136"/>
      <c r="BT136"/>
      <c r="CB136"/>
      <c r="CJ136"/>
      <c r="CR136"/>
      <c r="CZ136"/>
      <c r="DH136"/>
      <c r="DP136"/>
      <c r="DX136"/>
      <c r="EF136"/>
      <c r="EN136"/>
      <c r="EV136"/>
      <c r="FD136"/>
      <c r="FL136"/>
      <c r="FT136"/>
      <c r="GB136"/>
      <c r="GJ136"/>
      <c r="GR136"/>
      <c r="GZ136"/>
    </row>
    <row r="137" spans="8:208" ht="14.4" x14ac:dyDescent="0.3">
      <c r="H137"/>
      <c r="P137"/>
      <c r="X137"/>
      <c r="AF137"/>
      <c r="AN137"/>
      <c r="AV137"/>
      <c r="BD137"/>
      <c r="BL137"/>
      <c r="BT137"/>
      <c r="CB137"/>
      <c r="CJ137"/>
      <c r="CR137"/>
      <c r="CZ137"/>
      <c r="DH137"/>
      <c r="DP137"/>
      <c r="DX137"/>
      <c r="EF137"/>
      <c r="EN137"/>
      <c r="EV137"/>
      <c r="FD137"/>
      <c r="FL137"/>
      <c r="FT137"/>
      <c r="GB137"/>
      <c r="GJ137"/>
      <c r="GR137"/>
      <c r="GZ137"/>
    </row>
    <row r="138" spans="8:208" ht="14.4" x14ac:dyDescent="0.3">
      <c r="H138"/>
      <c r="P138"/>
      <c r="X138"/>
      <c r="AF138"/>
      <c r="AN138"/>
      <c r="AV138"/>
      <c r="BD138"/>
      <c r="BL138"/>
      <c r="BT138"/>
      <c r="CB138"/>
      <c r="CJ138"/>
      <c r="CR138"/>
      <c r="CZ138"/>
      <c r="DH138"/>
      <c r="DP138"/>
      <c r="DX138"/>
      <c r="EF138"/>
      <c r="EN138"/>
      <c r="EV138"/>
      <c r="FD138"/>
      <c r="FL138"/>
      <c r="FT138"/>
      <c r="GB138"/>
      <c r="GJ138"/>
      <c r="GR138"/>
      <c r="GZ138"/>
    </row>
    <row r="139" spans="8:208" ht="14.4" x14ac:dyDescent="0.3">
      <c r="H139"/>
      <c r="P139"/>
      <c r="X139"/>
      <c r="AF139"/>
      <c r="AN139"/>
      <c r="AV139"/>
      <c r="BD139"/>
      <c r="BL139"/>
      <c r="BT139"/>
      <c r="CB139"/>
      <c r="CJ139"/>
      <c r="CR139"/>
      <c r="CZ139"/>
      <c r="DH139"/>
      <c r="DP139"/>
      <c r="DX139"/>
      <c r="EF139"/>
      <c r="EN139"/>
      <c r="EV139"/>
      <c r="FD139"/>
      <c r="FL139"/>
      <c r="FT139"/>
      <c r="GB139"/>
      <c r="GJ139"/>
      <c r="GR139"/>
      <c r="GZ139"/>
    </row>
    <row r="140" spans="8:208" ht="14.4" x14ac:dyDescent="0.3">
      <c r="H140"/>
      <c r="P140"/>
      <c r="X140"/>
      <c r="AF140"/>
      <c r="AN140"/>
      <c r="AV140"/>
      <c r="BD140"/>
      <c r="BL140"/>
      <c r="BT140"/>
      <c r="CB140"/>
      <c r="CJ140"/>
      <c r="CR140"/>
      <c r="CZ140"/>
      <c r="DH140"/>
      <c r="DP140"/>
      <c r="DX140"/>
      <c r="EF140"/>
      <c r="EN140"/>
      <c r="EV140"/>
      <c r="FD140"/>
      <c r="FL140"/>
      <c r="FT140"/>
      <c r="GB140"/>
      <c r="GJ140"/>
      <c r="GR140"/>
      <c r="GZ140"/>
    </row>
    <row r="141" spans="8:208" ht="14.4" x14ac:dyDescent="0.3">
      <c r="H141"/>
      <c r="P141"/>
      <c r="X141"/>
      <c r="AF141"/>
      <c r="AN141"/>
      <c r="AV141"/>
      <c r="BD141"/>
      <c r="BL141"/>
      <c r="BT141"/>
      <c r="CB141"/>
      <c r="CJ141"/>
      <c r="CR141"/>
      <c r="CZ141"/>
      <c r="DH141"/>
      <c r="DP141"/>
      <c r="DX141"/>
      <c r="EF141"/>
      <c r="EN141"/>
      <c r="EV141"/>
      <c r="FD141"/>
      <c r="FL141"/>
      <c r="FT141"/>
      <c r="GB141"/>
      <c r="GJ141"/>
      <c r="GR141"/>
      <c r="GZ141"/>
    </row>
    <row r="142" spans="8:208" ht="14.4" x14ac:dyDescent="0.3">
      <c r="H142"/>
      <c r="P142"/>
      <c r="X142"/>
      <c r="AF142"/>
      <c r="AN142"/>
      <c r="AV142"/>
      <c r="BD142"/>
      <c r="BL142"/>
      <c r="BT142"/>
      <c r="CB142"/>
      <c r="CJ142"/>
      <c r="CR142"/>
      <c r="CZ142"/>
      <c r="DH142"/>
      <c r="DP142"/>
      <c r="DX142"/>
      <c r="EF142"/>
      <c r="EN142"/>
      <c r="EV142"/>
      <c r="FD142"/>
      <c r="FL142"/>
      <c r="FT142"/>
      <c r="GB142"/>
      <c r="GJ142"/>
      <c r="GR142"/>
      <c r="GZ142"/>
    </row>
    <row r="143" spans="8:208" ht="14.4" x14ac:dyDescent="0.3">
      <c r="H143"/>
      <c r="P143"/>
      <c r="X143"/>
      <c r="AF143"/>
      <c r="AN143"/>
      <c r="AV143"/>
      <c r="BD143"/>
      <c r="BL143"/>
      <c r="BT143"/>
      <c r="CB143"/>
      <c r="CJ143"/>
      <c r="CR143"/>
      <c r="CZ143"/>
      <c r="DH143"/>
      <c r="DP143"/>
      <c r="DX143"/>
      <c r="EF143"/>
      <c r="EN143"/>
      <c r="EV143"/>
      <c r="FD143"/>
      <c r="FL143"/>
      <c r="FT143"/>
      <c r="GB143"/>
      <c r="GJ143"/>
      <c r="GR143"/>
      <c r="GZ143"/>
    </row>
    <row r="144" spans="8:208" ht="14.4" x14ac:dyDescent="0.3">
      <c r="H144"/>
      <c r="P144"/>
      <c r="X144"/>
      <c r="AF144"/>
      <c r="AN144"/>
      <c r="AV144"/>
      <c r="BD144"/>
      <c r="BL144"/>
      <c r="BT144"/>
      <c r="CB144"/>
      <c r="CJ144"/>
      <c r="CR144"/>
      <c r="CZ144"/>
      <c r="DH144"/>
      <c r="DP144"/>
      <c r="DX144"/>
      <c r="EF144"/>
      <c r="EN144"/>
      <c r="EV144"/>
      <c r="FD144"/>
      <c r="FL144"/>
      <c r="FT144"/>
      <c r="GB144"/>
      <c r="GJ144"/>
      <c r="GR144"/>
      <c r="GZ144"/>
    </row>
    <row r="145" spans="8:208" ht="14.4" x14ac:dyDescent="0.3">
      <c r="H145"/>
      <c r="P145"/>
      <c r="X145"/>
      <c r="AF145"/>
      <c r="AN145"/>
      <c r="AV145"/>
      <c r="BD145"/>
      <c r="BL145"/>
      <c r="BT145"/>
      <c r="CB145"/>
      <c r="CJ145"/>
      <c r="CR145"/>
      <c r="CZ145"/>
      <c r="DH145"/>
      <c r="DP145"/>
      <c r="DX145"/>
      <c r="EF145"/>
      <c r="EN145"/>
      <c r="EV145"/>
      <c r="FD145"/>
      <c r="FL145"/>
      <c r="FT145"/>
      <c r="GB145"/>
      <c r="GJ145"/>
      <c r="GR145"/>
      <c r="GZ145"/>
    </row>
    <row r="146" spans="8:208" ht="14.4" x14ac:dyDescent="0.3">
      <c r="H146"/>
      <c r="P146"/>
      <c r="X146"/>
      <c r="AF146"/>
      <c r="AN146"/>
      <c r="AV146"/>
      <c r="BD146"/>
      <c r="BL146"/>
      <c r="BT146"/>
      <c r="CB146"/>
      <c r="CJ146"/>
      <c r="CR146"/>
      <c r="CZ146"/>
      <c r="DH146"/>
      <c r="DP146"/>
      <c r="DX146"/>
      <c r="EF146"/>
      <c r="EN146"/>
      <c r="EV146"/>
      <c r="FD146"/>
      <c r="FL146"/>
      <c r="FT146"/>
      <c r="GB146"/>
      <c r="GJ146"/>
      <c r="GR146"/>
      <c r="GZ146"/>
    </row>
    <row r="147" spans="8:208" ht="14.4" x14ac:dyDescent="0.3">
      <c r="H147"/>
      <c r="P147"/>
      <c r="X147"/>
      <c r="AF147"/>
      <c r="AN147"/>
      <c r="AV147"/>
      <c r="BD147"/>
      <c r="BL147"/>
      <c r="BT147"/>
      <c r="CB147"/>
      <c r="CJ147"/>
      <c r="CR147"/>
      <c r="CZ147"/>
      <c r="DH147"/>
      <c r="DP147"/>
      <c r="DX147"/>
      <c r="EF147"/>
      <c r="EN147"/>
      <c r="EV147"/>
      <c r="FD147"/>
      <c r="FL147"/>
      <c r="FT147"/>
      <c r="GB147"/>
      <c r="GJ147"/>
      <c r="GR147"/>
      <c r="GZ147"/>
    </row>
    <row r="148" spans="8:208" ht="14.4" x14ac:dyDescent="0.3">
      <c r="H148"/>
      <c r="P148"/>
      <c r="X148"/>
      <c r="AF148"/>
      <c r="AN148"/>
      <c r="AV148"/>
      <c r="BD148"/>
      <c r="BL148"/>
      <c r="BT148"/>
      <c r="CB148"/>
      <c r="CJ148"/>
      <c r="CR148"/>
      <c r="CZ148"/>
      <c r="DH148"/>
      <c r="DP148"/>
      <c r="DX148"/>
      <c r="EF148"/>
      <c r="EN148"/>
      <c r="EV148"/>
      <c r="FD148"/>
      <c r="FL148"/>
      <c r="FT148"/>
      <c r="GB148"/>
      <c r="GJ148"/>
      <c r="GR148"/>
      <c r="GZ148"/>
    </row>
    <row r="149" spans="8:208" ht="14.4" x14ac:dyDescent="0.3">
      <c r="H149"/>
      <c r="P149"/>
      <c r="X149"/>
      <c r="AF149"/>
      <c r="AN149"/>
      <c r="AV149"/>
      <c r="BD149"/>
      <c r="BL149"/>
      <c r="BT149"/>
      <c r="CB149"/>
      <c r="CJ149"/>
      <c r="CR149"/>
      <c r="CZ149"/>
      <c r="DH149"/>
      <c r="DP149"/>
      <c r="DX149"/>
      <c r="EF149"/>
      <c r="EN149"/>
      <c r="EV149"/>
      <c r="FD149"/>
      <c r="FL149"/>
      <c r="FT149"/>
      <c r="GB149"/>
      <c r="GJ149"/>
      <c r="GR149"/>
      <c r="GZ149"/>
    </row>
    <row r="150" spans="8:208" ht="14.4" x14ac:dyDescent="0.3">
      <c r="H150"/>
      <c r="P150"/>
      <c r="X150"/>
      <c r="AF150"/>
      <c r="AN150"/>
      <c r="AV150"/>
      <c r="BD150"/>
      <c r="BL150"/>
      <c r="BT150"/>
      <c r="CB150"/>
      <c r="CJ150"/>
      <c r="CR150"/>
      <c r="CZ150"/>
      <c r="DH150"/>
      <c r="DP150"/>
      <c r="DX150"/>
      <c r="EF150"/>
      <c r="EN150"/>
      <c r="EV150"/>
      <c r="FD150"/>
      <c r="FL150"/>
      <c r="FT150"/>
      <c r="GB150"/>
      <c r="GJ150"/>
      <c r="GR150"/>
      <c r="GZ150"/>
    </row>
    <row r="151" spans="8:208" ht="14.4" x14ac:dyDescent="0.3">
      <c r="H151"/>
      <c r="P151"/>
      <c r="X151"/>
      <c r="AF151"/>
      <c r="AN151"/>
      <c r="AV151"/>
      <c r="BD151"/>
      <c r="BL151"/>
      <c r="BT151"/>
      <c r="CB151"/>
      <c r="CJ151"/>
      <c r="CR151"/>
      <c r="CZ151"/>
      <c r="DH151"/>
      <c r="DP151"/>
      <c r="DX151"/>
      <c r="EF151"/>
      <c r="EN151"/>
      <c r="EV151"/>
      <c r="FD151"/>
      <c r="FL151"/>
      <c r="FT151"/>
      <c r="GB151"/>
      <c r="GJ151"/>
      <c r="GR151"/>
      <c r="GZ151"/>
    </row>
    <row r="152" spans="8:208" ht="14.4" x14ac:dyDescent="0.3">
      <c r="H152"/>
      <c r="P152"/>
      <c r="X152"/>
      <c r="AF152"/>
      <c r="AN152"/>
      <c r="AV152"/>
      <c r="BD152"/>
      <c r="BL152"/>
      <c r="BT152"/>
      <c r="CB152"/>
      <c r="CJ152"/>
      <c r="CR152"/>
      <c r="CZ152"/>
      <c r="DH152"/>
      <c r="DP152"/>
      <c r="DX152"/>
      <c r="EF152"/>
      <c r="EN152"/>
      <c r="EV152"/>
      <c r="FD152"/>
      <c r="FL152"/>
      <c r="FT152"/>
      <c r="GB152"/>
      <c r="GJ152"/>
      <c r="GR152"/>
      <c r="GZ152"/>
    </row>
    <row r="153" spans="8:208" ht="14.4" x14ac:dyDescent="0.3">
      <c r="H153"/>
      <c r="P153"/>
      <c r="X153"/>
      <c r="AF153"/>
      <c r="AN153"/>
      <c r="AV153"/>
      <c r="BD153"/>
      <c r="BL153"/>
      <c r="BT153"/>
      <c r="CB153"/>
      <c r="CJ153"/>
      <c r="CR153"/>
      <c r="CZ153"/>
      <c r="DH153"/>
      <c r="DP153"/>
      <c r="DX153"/>
      <c r="EF153"/>
      <c r="EN153"/>
      <c r="EV153"/>
      <c r="FD153"/>
      <c r="FL153"/>
      <c r="FT153"/>
      <c r="GB153"/>
      <c r="GJ153"/>
      <c r="GR153"/>
      <c r="GZ153"/>
    </row>
    <row r="154" spans="8:208" ht="14.4" x14ac:dyDescent="0.3">
      <c r="H154"/>
      <c r="P154"/>
      <c r="X154"/>
      <c r="AF154"/>
      <c r="AN154"/>
      <c r="AV154"/>
      <c r="BD154"/>
      <c r="BL154"/>
      <c r="BT154"/>
      <c r="CB154"/>
      <c r="CJ154"/>
      <c r="CR154"/>
      <c r="CZ154"/>
      <c r="DH154"/>
      <c r="DP154"/>
      <c r="DX154"/>
      <c r="EF154"/>
      <c r="EN154"/>
      <c r="EV154"/>
      <c r="FD154"/>
      <c r="FL154"/>
      <c r="FT154"/>
      <c r="GB154"/>
      <c r="GJ154"/>
      <c r="GR154"/>
      <c r="GZ154"/>
    </row>
    <row r="155" spans="8:208" ht="14.4" x14ac:dyDescent="0.3">
      <c r="H155"/>
      <c r="P155"/>
      <c r="X155"/>
      <c r="AF155"/>
      <c r="AN155"/>
      <c r="AV155"/>
      <c r="BD155"/>
      <c r="BL155"/>
      <c r="BT155"/>
      <c r="CB155"/>
      <c r="CJ155"/>
      <c r="CR155"/>
      <c r="CZ155"/>
      <c r="DH155"/>
      <c r="DP155"/>
      <c r="DX155"/>
      <c r="EF155"/>
      <c r="EN155"/>
      <c r="EV155"/>
      <c r="FD155"/>
      <c r="FL155"/>
      <c r="FT155"/>
      <c r="GB155"/>
      <c r="GJ155"/>
      <c r="GR155"/>
      <c r="GZ155"/>
    </row>
    <row r="156" spans="8:208" ht="14.4" x14ac:dyDescent="0.3">
      <c r="H156"/>
      <c r="P156"/>
      <c r="X156"/>
      <c r="AF156"/>
      <c r="AN156"/>
      <c r="AV156"/>
      <c r="BD156"/>
      <c r="BL156"/>
      <c r="BT156"/>
      <c r="CB156"/>
      <c r="CJ156"/>
      <c r="CR156"/>
      <c r="CZ156"/>
      <c r="DH156"/>
      <c r="DP156"/>
      <c r="DX156"/>
      <c r="EF156"/>
      <c r="EN156"/>
      <c r="EV156"/>
      <c r="FD156"/>
      <c r="FL156"/>
      <c r="FT156"/>
      <c r="GB156"/>
      <c r="GJ156"/>
      <c r="GR156"/>
      <c r="GZ156"/>
    </row>
    <row r="157" spans="8:208" ht="14.4" x14ac:dyDescent="0.3">
      <c r="H157"/>
      <c r="P157"/>
      <c r="X157"/>
      <c r="AF157"/>
      <c r="AN157"/>
      <c r="AV157"/>
      <c r="BD157"/>
      <c r="BL157"/>
      <c r="BT157"/>
      <c r="CB157"/>
      <c r="CJ157"/>
      <c r="CR157"/>
      <c r="CZ157"/>
      <c r="DH157"/>
      <c r="DP157"/>
      <c r="DX157"/>
      <c r="EF157"/>
      <c r="EN157"/>
      <c r="EV157"/>
      <c r="FD157"/>
      <c r="FL157"/>
      <c r="FT157"/>
      <c r="GB157"/>
      <c r="GJ157"/>
      <c r="GR157"/>
      <c r="GZ157"/>
    </row>
    <row r="158" spans="8:208" ht="14.4" x14ac:dyDescent="0.3">
      <c r="H158"/>
      <c r="P158"/>
      <c r="X158"/>
      <c r="AF158"/>
      <c r="AN158"/>
      <c r="AV158"/>
      <c r="BD158"/>
      <c r="BL158"/>
      <c r="BT158"/>
      <c r="CB158"/>
      <c r="CJ158"/>
      <c r="CR158"/>
      <c r="CZ158"/>
      <c r="DH158"/>
      <c r="DP158"/>
      <c r="DX158"/>
      <c r="EF158"/>
      <c r="EN158"/>
      <c r="EV158"/>
      <c r="FD158"/>
      <c r="FL158"/>
      <c r="FT158"/>
      <c r="GB158"/>
      <c r="GJ158"/>
      <c r="GR158"/>
      <c r="GZ158"/>
    </row>
    <row r="159" spans="8:208" ht="14.4" x14ac:dyDescent="0.3">
      <c r="H159"/>
      <c r="P159"/>
      <c r="X159"/>
      <c r="AF159"/>
      <c r="AN159"/>
      <c r="AV159"/>
      <c r="BD159"/>
      <c r="BL159"/>
      <c r="BT159"/>
      <c r="CB159"/>
      <c r="CJ159"/>
      <c r="CR159"/>
      <c r="CZ159"/>
      <c r="DH159"/>
      <c r="DP159"/>
      <c r="DX159"/>
      <c r="EF159"/>
      <c r="EN159"/>
      <c r="EV159"/>
      <c r="FD159"/>
      <c r="FL159"/>
      <c r="FT159"/>
      <c r="GB159"/>
      <c r="GJ159"/>
      <c r="GR159"/>
      <c r="GZ159"/>
    </row>
    <row r="160" spans="8:208" ht="14.4" x14ac:dyDescent="0.3">
      <c r="H160"/>
      <c r="P160"/>
      <c r="X160"/>
      <c r="AF160"/>
      <c r="AN160"/>
      <c r="AV160"/>
      <c r="BD160"/>
      <c r="BL160"/>
      <c r="BT160"/>
      <c r="CB160"/>
      <c r="CJ160"/>
      <c r="CR160"/>
      <c r="CZ160"/>
      <c r="DH160"/>
      <c r="DP160"/>
      <c r="DX160"/>
      <c r="EF160"/>
      <c r="EN160"/>
      <c r="EV160"/>
      <c r="FD160"/>
      <c r="FL160"/>
      <c r="FT160"/>
      <c r="GB160"/>
      <c r="GJ160"/>
      <c r="GR160"/>
      <c r="GZ160"/>
    </row>
    <row r="161" spans="8:208" ht="14.4" x14ac:dyDescent="0.3">
      <c r="H161"/>
      <c r="P161"/>
      <c r="X161"/>
      <c r="AF161"/>
      <c r="AN161"/>
      <c r="AV161"/>
      <c r="BD161"/>
      <c r="BL161"/>
      <c r="BT161"/>
      <c r="CB161"/>
      <c r="CJ161"/>
      <c r="CR161"/>
      <c r="CZ161"/>
      <c r="DH161"/>
      <c r="DP161"/>
      <c r="DX161"/>
      <c r="EF161"/>
      <c r="EN161"/>
      <c r="EV161"/>
      <c r="FD161"/>
      <c r="FL161"/>
      <c r="FT161"/>
      <c r="GB161"/>
      <c r="GJ161"/>
      <c r="GR161"/>
      <c r="GZ161"/>
    </row>
    <row r="162" spans="8:208" ht="14.4" x14ac:dyDescent="0.3">
      <c r="H162"/>
      <c r="P162"/>
      <c r="X162"/>
      <c r="AF162"/>
      <c r="AN162"/>
      <c r="AV162"/>
      <c r="BD162"/>
      <c r="BL162"/>
      <c r="BT162"/>
      <c r="CB162"/>
      <c r="CJ162"/>
      <c r="CR162"/>
      <c r="CZ162"/>
      <c r="DH162"/>
      <c r="DP162"/>
      <c r="DX162"/>
      <c r="EF162"/>
      <c r="EN162"/>
      <c r="EV162"/>
      <c r="FD162"/>
      <c r="FL162"/>
      <c r="FT162"/>
      <c r="GB162"/>
      <c r="GJ162"/>
      <c r="GR162"/>
      <c r="GZ162"/>
    </row>
    <row r="163" spans="8:208" ht="14.4" x14ac:dyDescent="0.3">
      <c r="H163"/>
      <c r="P163"/>
      <c r="X163"/>
      <c r="AF163"/>
      <c r="AN163"/>
      <c r="AV163"/>
      <c r="BD163"/>
      <c r="BL163"/>
      <c r="BT163"/>
      <c r="CB163"/>
      <c r="CJ163"/>
      <c r="CR163"/>
      <c r="CZ163"/>
      <c r="DH163"/>
      <c r="DP163"/>
      <c r="DX163"/>
      <c r="EF163"/>
      <c r="EN163"/>
      <c r="EV163"/>
      <c r="FD163"/>
      <c r="FL163"/>
      <c r="FT163"/>
      <c r="GB163"/>
      <c r="GJ163"/>
      <c r="GR163"/>
      <c r="GZ163"/>
    </row>
    <row r="164" spans="8:208" ht="14.4" x14ac:dyDescent="0.3">
      <c r="H164"/>
      <c r="P164"/>
      <c r="X164"/>
      <c r="AF164"/>
      <c r="AN164"/>
      <c r="AV164"/>
      <c r="BD164"/>
      <c r="BL164"/>
      <c r="BT164"/>
      <c r="CB164"/>
      <c r="CJ164"/>
      <c r="CR164"/>
      <c r="CZ164"/>
      <c r="DH164"/>
      <c r="DP164"/>
      <c r="DX164"/>
      <c r="EF164"/>
      <c r="EN164"/>
      <c r="EV164"/>
      <c r="FD164"/>
      <c r="FL164"/>
      <c r="FT164"/>
      <c r="GB164"/>
      <c r="GJ164"/>
      <c r="GR164"/>
      <c r="GZ164"/>
    </row>
    <row r="165" spans="8:208" ht="14.4" x14ac:dyDescent="0.3">
      <c r="H165"/>
      <c r="P165"/>
      <c r="X165"/>
      <c r="AF165"/>
      <c r="AN165"/>
      <c r="AV165"/>
      <c r="BD165"/>
      <c r="BL165"/>
      <c r="BT165"/>
      <c r="CB165"/>
      <c r="CJ165"/>
      <c r="CR165"/>
      <c r="CZ165"/>
      <c r="DH165"/>
      <c r="DP165"/>
      <c r="DX165"/>
      <c r="EF165"/>
      <c r="EN165"/>
      <c r="EV165"/>
      <c r="FD165"/>
      <c r="FL165"/>
      <c r="FT165"/>
      <c r="GB165"/>
      <c r="GJ165"/>
      <c r="GR165"/>
      <c r="GZ165"/>
    </row>
    <row r="166" spans="8:208" ht="14.4" x14ac:dyDescent="0.3">
      <c r="H166"/>
      <c r="P166"/>
      <c r="X166"/>
      <c r="AF166"/>
      <c r="AN166"/>
      <c r="AV166"/>
      <c r="BD166"/>
      <c r="BL166"/>
      <c r="BT166"/>
      <c r="CB166"/>
      <c r="CJ166"/>
      <c r="CR166"/>
      <c r="CZ166"/>
      <c r="DH166"/>
      <c r="DP166"/>
      <c r="DX166"/>
      <c r="EF166"/>
      <c r="EN166"/>
      <c r="EV166"/>
      <c r="FD166"/>
      <c r="FL166"/>
      <c r="FT166"/>
      <c r="GB166"/>
      <c r="GJ166"/>
      <c r="GR166"/>
      <c r="GZ166"/>
    </row>
    <row r="167" spans="8:208" ht="14.4" x14ac:dyDescent="0.3">
      <c r="H167"/>
      <c r="P167"/>
      <c r="X167"/>
      <c r="AF167"/>
      <c r="AN167"/>
      <c r="AV167"/>
      <c r="BD167"/>
      <c r="BL167"/>
      <c r="BT167"/>
      <c r="CB167"/>
      <c r="CJ167"/>
      <c r="CR167"/>
      <c r="CZ167"/>
      <c r="DH167"/>
      <c r="DP167"/>
      <c r="DX167"/>
      <c r="EF167"/>
      <c r="EN167"/>
      <c r="EV167"/>
      <c r="FD167"/>
      <c r="FL167"/>
      <c r="FT167"/>
      <c r="GB167"/>
      <c r="GJ167"/>
      <c r="GR167"/>
      <c r="GZ167"/>
    </row>
    <row r="168" spans="8:208" ht="14.4" x14ac:dyDescent="0.3">
      <c r="H168"/>
      <c r="P168"/>
      <c r="X168"/>
      <c r="AF168"/>
      <c r="AN168"/>
      <c r="AV168"/>
      <c r="BD168"/>
      <c r="BL168"/>
      <c r="BT168"/>
      <c r="CB168"/>
      <c r="CJ168"/>
      <c r="CR168"/>
      <c r="CZ168"/>
      <c r="DH168"/>
      <c r="DP168"/>
      <c r="DX168"/>
      <c r="EF168"/>
      <c r="EN168"/>
      <c r="EV168"/>
      <c r="FD168"/>
      <c r="FL168"/>
      <c r="FT168"/>
      <c r="GB168"/>
      <c r="GJ168"/>
      <c r="GR168"/>
      <c r="GZ168"/>
    </row>
    <row r="169" spans="8:208" ht="14.4" x14ac:dyDescent="0.3">
      <c r="H169"/>
      <c r="P169"/>
      <c r="X169"/>
      <c r="AF169"/>
      <c r="AN169"/>
      <c r="AV169"/>
      <c r="BD169"/>
      <c r="BL169"/>
      <c r="BT169"/>
      <c r="CB169"/>
      <c r="CJ169"/>
      <c r="CR169"/>
      <c r="CZ169"/>
      <c r="DH169"/>
      <c r="DP169"/>
      <c r="DX169"/>
      <c r="EF169"/>
      <c r="EN169"/>
      <c r="EV169"/>
      <c r="FD169"/>
      <c r="FL169"/>
      <c r="FT169"/>
      <c r="GB169"/>
      <c r="GJ169"/>
      <c r="GR169"/>
      <c r="GZ169"/>
    </row>
    <row r="170" spans="8:208" ht="14.4" x14ac:dyDescent="0.3">
      <c r="H170"/>
      <c r="P170"/>
      <c r="X170"/>
      <c r="AF170"/>
      <c r="AN170"/>
      <c r="AV170"/>
      <c r="BD170"/>
      <c r="BL170"/>
      <c r="BT170"/>
      <c r="CB170"/>
      <c r="CJ170"/>
      <c r="CR170"/>
      <c r="CZ170"/>
      <c r="DH170"/>
      <c r="DP170"/>
      <c r="DX170"/>
      <c r="EF170"/>
      <c r="EN170"/>
      <c r="EV170"/>
      <c r="FD170"/>
      <c r="FL170"/>
      <c r="FT170"/>
      <c r="GB170"/>
      <c r="GJ170"/>
      <c r="GR170"/>
      <c r="GZ170"/>
    </row>
    <row r="171" spans="8:208" ht="14.4" x14ac:dyDescent="0.3">
      <c r="H171"/>
      <c r="P171"/>
      <c r="X171"/>
      <c r="AF171"/>
      <c r="AN171"/>
      <c r="AV171"/>
      <c r="BD171"/>
      <c r="BL171"/>
      <c r="BT171"/>
      <c r="CB171"/>
      <c r="CJ171"/>
      <c r="CR171"/>
      <c r="CZ171"/>
      <c r="DH171"/>
      <c r="DP171"/>
      <c r="DX171"/>
      <c r="EF171"/>
      <c r="EN171"/>
      <c r="EV171"/>
      <c r="FD171"/>
      <c r="FL171"/>
      <c r="FT171"/>
      <c r="GB171"/>
      <c r="GJ171"/>
      <c r="GR171"/>
      <c r="GZ171"/>
    </row>
    <row r="172" spans="8:208" ht="14.4" x14ac:dyDescent="0.3">
      <c r="H172"/>
      <c r="P172"/>
      <c r="X172"/>
      <c r="AF172"/>
      <c r="AN172"/>
      <c r="AV172"/>
      <c r="BD172"/>
      <c r="BL172"/>
      <c r="BT172"/>
      <c r="CB172"/>
      <c r="CJ172"/>
      <c r="CR172"/>
      <c r="CZ172"/>
      <c r="DH172"/>
      <c r="DP172"/>
      <c r="DX172"/>
      <c r="EF172"/>
      <c r="EN172"/>
      <c r="EV172"/>
      <c r="FD172"/>
      <c r="FL172"/>
      <c r="FT172"/>
      <c r="GB172"/>
      <c r="GJ172"/>
      <c r="GR172"/>
      <c r="GZ172"/>
    </row>
    <row r="173" spans="8:208" ht="14.4" x14ac:dyDescent="0.3">
      <c r="H173"/>
      <c r="P173"/>
      <c r="X173"/>
      <c r="AF173"/>
      <c r="AN173"/>
      <c r="AV173"/>
      <c r="BD173"/>
      <c r="BL173"/>
      <c r="BT173"/>
      <c r="CB173"/>
      <c r="CJ173"/>
      <c r="CR173"/>
      <c r="CZ173"/>
      <c r="DH173"/>
      <c r="DP173"/>
      <c r="DX173"/>
      <c r="EF173"/>
      <c r="EN173"/>
      <c r="EV173"/>
      <c r="FD173"/>
      <c r="FL173"/>
      <c r="FT173"/>
      <c r="GB173"/>
      <c r="GJ173"/>
      <c r="GR173"/>
      <c r="GZ173"/>
    </row>
    <row r="174" spans="8:208" ht="14.4" x14ac:dyDescent="0.3">
      <c r="H174"/>
      <c r="P174"/>
      <c r="X174"/>
      <c r="AF174"/>
      <c r="AN174"/>
      <c r="AV174"/>
      <c r="BD174"/>
      <c r="BL174"/>
      <c r="BT174"/>
      <c r="CB174"/>
      <c r="CJ174"/>
      <c r="CR174"/>
      <c r="CZ174"/>
      <c r="DH174"/>
      <c r="DP174"/>
      <c r="DX174"/>
      <c r="EF174"/>
      <c r="EN174"/>
      <c r="EV174"/>
      <c r="FD174"/>
      <c r="FL174"/>
      <c r="FT174"/>
      <c r="GB174"/>
      <c r="GJ174"/>
      <c r="GR174"/>
      <c r="GZ174"/>
    </row>
    <row r="175" spans="8:208" ht="14.4" x14ac:dyDescent="0.3">
      <c r="H175"/>
      <c r="P175"/>
      <c r="X175"/>
      <c r="AF175"/>
      <c r="AN175"/>
      <c r="AV175"/>
      <c r="BD175"/>
      <c r="BL175"/>
      <c r="BT175"/>
      <c r="CB175"/>
      <c r="CJ175"/>
      <c r="CR175"/>
      <c r="CZ175"/>
      <c r="DH175"/>
      <c r="DP175"/>
      <c r="DX175"/>
      <c r="EF175"/>
      <c r="EN175"/>
      <c r="EV175"/>
      <c r="FD175"/>
      <c r="FL175"/>
      <c r="FT175"/>
      <c r="GB175"/>
      <c r="GJ175"/>
      <c r="GR175"/>
      <c r="GZ175"/>
    </row>
    <row r="176" spans="8:208" ht="14.4" x14ac:dyDescent="0.3">
      <c r="H176"/>
      <c r="P176"/>
      <c r="X176"/>
      <c r="AF176"/>
      <c r="AN176"/>
      <c r="AV176"/>
      <c r="BD176"/>
      <c r="BL176"/>
      <c r="BT176"/>
      <c r="CB176"/>
      <c r="CJ176"/>
      <c r="CR176"/>
      <c r="CZ176"/>
      <c r="DH176"/>
      <c r="DP176"/>
      <c r="DX176"/>
      <c r="EF176"/>
      <c r="EN176"/>
      <c r="EV176"/>
      <c r="FD176"/>
      <c r="FL176"/>
      <c r="FT176"/>
      <c r="GB176"/>
      <c r="GJ176"/>
      <c r="GR176"/>
      <c r="GZ176"/>
    </row>
    <row r="177" spans="8:208" ht="14.4" x14ac:dyDescent="0.3">
      <c r="H177"/>
      <c r="P177"/>
      <c r="X177"/>
      <c r="AF177"/>
      <c r="AN177"/>
      <c r="AV177"/>
      <c r="BD177"/>
      <c r="BL177"/>
      <c r="BT177"/>
      <c r="CB177"/>
      <c r="CJ177"/>
      <c r="CR177"/>
      <c r="CZ177"/>
      <c r="DH177"/>
      <c r="DP177"/>
      <c r="DX177"/>
      <c r="EF177"/>
      <c r="EN177"/>
      <c r="EV177"/>
      <c r="FD177"/>
      <c r="FL177"/>
      <c r="FT177"/>
      <c r="GB177"/>
      <c r="GJ177"/>
      <c r="GR177"/>
      <c r="GZ177"/>
    </row>
    <row r="178" spans="8:208" ht="14.4" x14ac:dyDescent="0.3">
      <c r="H178"/>
      <c r="P178"/>
      <c r="X178"/>
      <c r="AF178"/>
      <c r="AN178"/>
      <c r="AV178"/>
      <c r="BD178"/>
      <c r="BL178"/>
      <c r="BT178"/>
      <c r="CB178"/>
      <c r="CJ178"/>
      <c r="CR178"/>
      <c r="CZ178"/>
      <c r="DH178"/>
      <c r="DP178"/>
      <c r="DX178"/>
      <c r="EF178"/>
      <c r="EN178"/>
      <c r="EV178"/>
      <c r="FD178"/>
      <c r="FL178"/>
      <c r="FT178"/>
      <c r="GB178"/>
      <c r="GJ178"/>
      <c r="GR178"/>
      <c r="GZ178"/>
    </row>
    <row r="179" spans="8:208" ht="14.4" x14ac:dyDescent="0.3">
      <c r="H179"/>
      <c r="P179"/>
      <c r="X179"/>
      <c r="AF179"/>
      <c r="AN179"/>
      <c r="AV179"/>
      <c r="BD179"/>
      <c r="BL179"/>
      <c r="BT179"/>
      <c r="CB179"/>
      <c r="CJ179"/>
      <c r="CR179"/>
      <c r="CZ179"/>
      <c r="DH179"/>
      <c r="DP179"/>
      <c r="DX179"/>
      <c r="EF179"/>
      <c r="EN179"/>
      <c r="EV179"/>
      <c r="FD179"/>
      <c r="FL179"/>
      <c r="FT179"/>
      <c r="GB179"/>
      <c r="GJ179"/>
      <c r="GR179"/>
      <c r="GZ179"/>
    </row>
    <row r="180" spans="8:208" ht="14.4" x14ac:dyDescent="0.3">
      <c r="H180"/>
      <c r="P180"/>
      <c r="X180"/>
      <c r="AF180"/>
      <c r="AN180"/>
      <c r="AV180"/>
      <c r="BD180"/>
      <c r="BL180"/>
      <c r="BT180"/>
      <c r="CB180"/>
      <c r="CJ180"/>
      <c r="CR180"/>
      <c r="CZ180"/>
      <c r="DH180"/>
      <c r="DP180"/>
      <c r="DX180"/>
      <c r="EF180"/>
      <c r="EN180"/>
      <c r="EV180"/>
      <c r="FD180"/>
      <c r="FL180"/>
      <c r="FT180"/>
      <c r="GB180"/>
      <c r="GJ180"/>
      <c r="GR180"/>
      <c r="GZ180"/>
    </row>
    <row r="181" spans="8:208" ht="14.4" x14ac:dyDescent="0.3">
      <c r="H181"/>
      <c r="P181"/>
      <c r="X181"/>
      <c r="AF181"/>
      <c r="AN181"/>
      <c r="AV181"/>
      <c r="BD181"/>
      <c r="BL181"/>
      <c r="BT181"/>
      <c r="CB181"/>
      <c r="CJ181"/>
      <c r="CR181"/>
      <c r="CZ181"/>
      <c r="DH181"/>
      <c r="DP181"/>
      <c r="DX181"/>
      <c r="EF181"/>
      <c r="EN181"/>
      <c r="EV181"/>
      <c r="FD181"/>
      <c r="FL181"/>
      <c r="FT181"/>
      <c r="GB181"/>
      <c r="GJ181"/>
      <c r="GR181"/>
      <c r="GZ181"/>
    </row>
    <row r="182" spans="8:208" ht="14.4" x14ac:dyDescent="0.3">
      <c r="H182"/>
      <c r="P182"/>
      <c r="X182"/>
      <c r="AF182"/>
      <c r="AN182"/>
      <c r="AV182"/>
      <c r="BD182"/>
      <c r="BL182"/>
      <c r="BT182"/>
      <c r="CB182"/>
      <c r="CJ182"/>
      <c r="CR182"/>
      <c r="CZ182"/>
      <c r="DH182"/>
      <c r="DP182"/>
      <c r="DX182"/>
      <c r="EF182"/>
      <c r="EN182"/>
      <c r="EV182"/>
      <c r="FD182"/>
      <c r="FL182"/>
      <c r="FT182"/>
      <c r="GB182"/>
      <c r="GJ182"/>
      <c r="GR182"/>
      <c r="GZ182"/>
    </row>
    <row r="183" spans="8:208" ht="14.4" x14ac:dyDescent="0.3">
      <c r="H183"/>
      <c r="P183"/>
      <c r="X183"/>
      <c r="AF183"/>
      <c r="AN183"/>
      <c r="AV183"/>
      <c r="BD183"/>
      <c r="BL183"/>
      <c r="BT183"/>
      <c r="CB183"/>
      <c r="CJ183"/>
      <c r="CR183"/>
      <c r="CZ183"/>
      <c r="DH183"/>
      <c r="DP183"/>
      <c r="DX183"/>
      <c r="EF183"/>
      <c r="EN183"/>
      <c r="EV183"/>
      <c r="FD183"/>
      <c r="FL183"/>
      <c r="FT183"/>
      <c r="GB183"/>
      <c r="GJ183"/>
      <c r="GR183"/>
      <c r="GZ183"/>
    </row>
    <row r="184" spans="8:208" ht="14.4" x14ac:dyDescent="0.3">
      <c r="H184"/>
      <c r="P184"/>
      <c r="X184"/>
      <c r="AF184"/>
      <c r="AN184"/>
      <c r="AV184"/>
      <c r="BD184"/>
      <c r="BL184"/>
      <c r="BT184"/>
      <c r="CB184"/>
      <c r="CJ184"/>
      <c r="CR184"/>
      <c r="CZ184"/>
      <c r="DH184"/>
      <c r="DP184"/>
      <c r="DX184"/>
      <c r="EF184"/>
      <c r="EN184"/>
      <c r="EV184"/>
      <c r="FD184"/>
      <c r="FL184"/>
      <c r="FT184"/>
      <c r="GB184"/>
      <c r="GJ184"/>
      <c r="GR184"/>
      <c r="GZ184"/>
    </row>
    <row r="185" spans="8:208" ht="14.4" x14ac:dyDescent="0.3">
      <c r="H185"/>
      <c r="P185"/>
      <c r="X185"/>
      <c r="AF185"/>
      <c r="AN185"/>
      <c r="AV185"/>
      <c r="BD185"/>
      <c r="BL185"/>
      <c r="BT185"/>
      <c r="CB185"/>
      <c r="CJ185"/>
      <c r="CR185"/>
      <c r="CZ185"/>
      <c r="DH185"/>
      <c r="DP185"/>
      <c r="DX185"/>
      <c r="EF185"/>
      <c r="EN185"/>
      <c r="EV185"/>
      <c r="FD185"/>
      <c r="FL185"/>
      <c r="FT185"/>
      <c r="GB185"/>
      <c r="GJ185"/>
      <c r="GR185"/>
      <c r="GZ185"/>
    </row>
    <row r="186" spans="8:208" ht="14.4" x14ac:dyDescent="0.3">
      <c r="H186"/>
      <c r="P186"/>
      <c r="X186"/>
      <c r="AF186"/>
      <c r="AN186"/>
      <c r="AV186"/>
      <c r="BD186"/>
      <c r="BL186"/>
      <c r="BT186"/>
      <c r="CB186"/>
      <c r="CJ186"/>
      <c r="CR186"/>
      <c r="CZ186"/>
      <c r="DH186"/>
      <c r="DP186"/>
      <c r="DX186"/>
      <c r="EF186"/>
      <c r="EN186"/>
      <c r="EV186"/>
      <c r="FD186"/>
      <c r="FL186"/>
      <c r="FT186"/>
      <c r="GB186"/>
      <c r="GJ186"/>
      <c r="GR186"/>
      <c r="GZ186"/>
    </row>
    <row r="187" spans="8:208" ht="14.4" x14ac:dyDescent="0.3">
      <c r="H187"/>
      <c r="P187"/>
      <c r="X187"/>
      <c r="AF187"/>
      <c r="AN187"/>
      <c r="AV187"/>
      <c r="BD187"/>
      <c r="BL187"/>
      <c r="BT187"/>
      <c r="CB187"/>
      <c r="CJ187"/>
      <c r="CR187"/>
      <c r="CZ187"/>
      <c r="DH187"/>
      <c r="DP187"/>
      <c r="DX187"/>
      <c r="EF187"/>
      <c r="EN187"/>
      <c r="EV187"/>
      <c r="FD187"/>
      <c r="FL187"/>
      <c r="FT187"/>
      <c r="GB187"/>
      <c r="GJ187"/>
      <c r="GR187"/>
      <c r="GZ187"/>
    </row>
    <row r="188" spans="8:208" ht="14.4" x14ac:dyDescent="0.3">
      <c r="H188"/>
      <c r="P188"/>
      <c r="X188"/>
      <c r="AF188"/>
      <c r="AN188"/>
      <c r="AV188"/>
      <c r="BD188"/>
      <c r="BL188"/>
      <c r="BT188"/>
      <c r="CB188"/>
      <c r="CJ188"/>
      <c r="CR188"/>
      <c r="CZ188"/>
      <c r="DH188"/>
      <c r="DP188"/>
      <c r="DX188"/>
      <c r="EF188"/>
      <c r="EN188"/>
      <c r="EV188"/>
      <c r="FD188"/>
      <c r="FL188"/>
      <c r="FT188"/>
      <c r="GB188"/>
      <c r="GJ188"/>
      <c r="GR188"/>
      <c r="GZ188"/>
    </row>
    <row r="189" spans="8:208" ht="14.4" x14ac:dyDescent="0.3">
      <c r="H189"/>
      <c r="P189"/>
      <c r="X189"/>
      <c r="AF189"/>
      <c r="AN189"/>
      <c r="AV189"/>
      <c r="BD189"/>
      <c r="BL189"/>
      <c r="BT189"/>
      <c r="CB189"/>
      <c r="CJ189"/>
      <c r="CR189"/>
      <c r="CZ189"/>
      <c r="DH189"/>
      <c r="DP189"/>
      <c r="DX189"/>
      <c r="EF189"/>
      <c r="EN189"/>
      <c r="EV189"/>
      <c r="FD189"/>
      <c r="FL189"/>
      <c r="FT189"/>
      <c r="GB189"/>
      <c r="GJ189"/>
      <c r="GR189"/>
      <c r="GZ189"/>
    </row>
    <row r="190" spans="8:208" ht="14.4" x14ac:dyDescent="0.3">
      <c r="H190"/>
      <c r="P190"/>
      <c r="X190"/>
      <c r="AF190"/>
      <c r="AN190"/>
      <c r="AV190"/>
      <c r="BD190"/>
      <c r="BL190"/>
      <c r="BT190"/>
      <c r="CB190"/>
      <c r="CJ190"/>
      <c r="CR190"/>
      <c r="CZ190"/>
      <c r="DH190"/>
      <c r="DP190"/>
      <c r="DX190"/>
      <c r="EF190"/>
      <c r="EN190"/>
      <c r="EV190"/>
      <c r="FD190"/>
      <c r="FL190"/>
      <c r="FT190"/>
      <c r="GB190"/>
      <c r="GJ190"/>
      <c r="GR190"/>
      <c r="GZ190"/>
    </row>
    <row r="191" spans="8:208" ht="14.4" x14ac:dyDescent="0.3">
      <c r="H191"/>
      <c r="P191"/>
      <c r="X191"/>
      <c r="AF191"/>
      <c r="AN191"/>
      <c r="AV191"/>
      <c r="BD191"/>
      <c r="BL191"/>
      <c r="BT191"/>
      <c r="CB191"/>
      <c r="CJ191"/>
      <c r="CR191"/>
      <c r="CZ191"/>
      <c r="DH191"/>
      <c r="DP191"/>
      <c r="DX191"/>
      <c r="EF191"/>
      <c r="EN191"/>
      <c r="EV191"/>
      <c r="FD191"/>
      <c r="FL191"/>
      <c r="FT191"/>
      <c r="GB191"/>
      <c r="GJ191"/>
      <c r="GR191"/>
      <c r="GZ191"/>
    </row>
    <row r="192" spans="8:208" ht="14.4" x14ac:dyDescent="0.3">
      <c r="H192"/>
      <c r="P192"/>
      <c r="X192"/>
      <c r="AF192"/>
      <c r="AN192"/>
      <c r="AV192"/>
      <c r="BD192"/>
      <c r="BL192"/>
      <c r="BT192"/>
      <c r="CB192"/>
      <c r="CJ192"/>
      <c r="CR192"/>
      <c r="CZ192"/>
      <c r="DH192"/>
      <c r="DP192"/>
      <c r="DX192"/>
      <c r="EF192"/>
      <c r="EN192"/>
      <c r="EV192"/>
      <c r="FD192"/>
      <c r="FL192"/>
      <c r="FT192"/>
      <c r="GB192"/>
      <c r="GJ192"/>
      <c r="GR192"/>
      <c r="GZ192"/>
    </row>
    <row r="193" spans="8:208" ht="14.4" x14ac:dyDescent="0.3">
      <c r="H193"/>
      <c r="P193"/>
      <c r="X193"/>
      <c r="AF193"/>
      <c r="AN193"/>
      <c r="AV193"/>
      <c r="BD193"/>
      <c r="BL193"/>
      <c r="BT193"/>
      <c r="CB193"/>
      <c r="CJ193"/>
      <c r="CR193"/>
      <c r="CZ193"/>
      <c r="DH193"/>
      <c r="DP193"/>
      <c r="DX193"/>
      <c r="EF193"/>
      <c r="EN193"/>
      <c r="EV193"/>
      <c r="FD193"/>
      <c r="FL193"/>
      <c r="FT193"/>
      <c r="GB193"/>
      <c r="GJ193"/>
      <c r="GR193"/>
      <c r="GZ193"/>
    </row>
    <row r="194" spans="8:208" ht="14.4" x14ac:dyDescent="0.3">
      <c r="H194"/>
      <c r="P194"/>
      <c r="X194"/>
      <c r="AF194"/>
      <c r="AN194"/>
      <c r="AV194"/>
      <c r="BD194"/>
      <c r="BL194"/>
      <c r="BT194"/>
      <c r="CB194"/>
      <c r="CJ194"/>
      <c r="CR194"/>
      <c r="CZ194"/>
      <c r="DH194"/>
      <c r="DP194"/>
      <c r="DX194"/>
      <c r="EF194"/>
      <c r="EN194"/>
      <c r="EV194"/>
      <c r="FD194"/>
      <c r="FL194"/>
      <c r="FT194"/>
      <c r="GB194"/>
      <c r="GJ194"/>
      <c r="GR194"/>
      <c r="GZ194"/>
    </row>
    <row r="195" spans="8:208" ht="14.4" x14ac:dyDescent="0.3">
      <c r="H195"/>
      <c r="P195"/>
      <c r="X195"/>
      <c r="AF195"/>
      <c r="AN195"/>
      <c r="AV195"/>
      <c r="BD195"/>
      <c r="BL195"/>
      <c r="BT195"/>
      <c r="CB195"/>
      <c r="CJ195"/>
      <c r="CR195"/>
      <c r="CZ195"/>
      <c r="DH195"/>
      <c r="DP195"/>
      <c r="DX195"/>
      <c r="EF195"/>
      <c r="EN195"/>
      <c r="EV195"/>
      <c r="FD195"/>
      <c r="FL195"/>
      <c r="FT195"/>
      <c r="GB195"/>
      <c r="GJ195"/>
      <c r="GR195"/>
      <c r="GZ195"/>
    </row>
    <row r="196" spans="8:208" ht="14.4" x14ac:dyDescent="0.3">
      <c r="H196"/>
      <c r="P196"/>
      <c r="X196"/>
      <c r="AF196"/>
      <c r="AN196"/>
      <c r="AV196"/>
      <c r="BD196"/>
      <c r="BL196"/>
      <c r="BT196"/>
      <c r="CB196"/>
      <c r="CJ196"/>
      <c r="CR196"/>
      <c r="CZ196"/>
      <c r="DH196"/>
      <c r="DP196"/>
      <c r="DX196"/>
      <c r="EF196"/>
      <c r="EN196"/>
      <c r="EV196"/>
      <c r="FD196"/>
      <c r="FL196"/>
      <c r="FT196"/>
      <c r="GB196"/>
      <c r="GJ196"/>
      <c r="GR196"/>
      <c r="GZ196"/>
    </row>
    <row r="197" spans="8:208" ht="14.4" x14ac:dyDescent="0.3">
      <c r="H197"/>
      <c r="P197"/>
      <c r="X197"/>
      <c r="AF197"/>
      <c r="AN197"/>
      <c r="AV197"/>
      <c r="BD197"/>
      <c r="BL197"/>
      <c r="BT197"/>
      <c r="CB197"/>
      <c r="CJ197"/>
      <c r="CR197"/>
      <c r="CZ197"/>
      <c r="DH197"/>
      <c r="DP197"/>
      <c r="DX197"/>
      <c r="EF197"/>
      <c r="EN197"/>
      <c r="EV197"/>
      <c r="FD197"/>
      <c r="FL197"/>
      <c r="FT197"/>
      <c r="GB197"/>
      <c r="GJ197"/>
      <c r="GR197"/>
      <c r="GZ197"/>
    </row>
    <row r="198" spans="8:208" ht="14.4" x14ac:dyDescent="0.3">
      <c r="H198"/>
      <c r="P198"/>
      <c r="X198"/>
      <c r="AF198"/>
      <c r="AN198"/>
      <c r="AV198"/>
      <c r="BD198"/>
      <c r="BL198"/>
      <c r="BT198"/>
      <c r="CB198"/>
      <c r="CJ198"/>
      <c r="CR198"/>
      <c r="CZ198"/>
      <c r="DH198"/>
      <c r="DP198"/>
      <c r="DX198"/>
      <c r="EF198"/>
      <c r="EN198"/>
      <c r="EV198"/>
      <c r="FD198"/>
      <c r="FL198"/>
      <c r="FT198"/>
      <c r="GB198"/>
      <c r="GJ198"/>
      <c r="GR198"/>
      <c r="GZ198"/>
    </row>
    <row r="199" spans="8:208" ht="14.4" x14ac:dyDescent="0.3">
      <c r="H199"/>
      <c r="P199"/>
      <c r="X199"/>
      <c r="AF199"/>
      <c r="AN199"/>
      <c r="AV199"/>
      <c r="BD199"/>
      <c r="BL199"/>
      <c r="BT199"/>
      <c r="CB199"/>
      <c r="CJ199"/>
      <c r="CR199"/>
      <c r="CZ199"/>
      <c r="DH199"/>
      <c r="DP199"/>
      <c r="DX199"/>
      <c r="EF199"/>
      <c r="EN199"/>
      <c r="EV199"/>
      <c r="FD199"/>
      <c r="FL199"/>
      <c r="FT199"/>
      <c r="GB199"/>
      <c r="GJ199"/>
      <c r="GR199"/>
      <c r="GZ199"/>
    </row>
    <row r="200" spans="8:208" ht="14.4" x14ac:dyDescent="0.3">
      <c r="H200"/>
      <c r="P200"/>
      <c r="X200"/>
      <c r="AF200"/>
      <c r="AN200"/>
      <c r="AV200"/>
      <c r="BD200"/>
      <c r="BL200"/>
      <c r="BT200"/>
      <c r="CB200"/>
      <c r="CJ200"/>
      <c r="CR200"/>
      <c r="CZ200"/>
      <c r="DH200"/>
      <c r="DP200"/>
      <c r="DX200"/>
      <c r="EF200"/>
      <c r="EN200"/>
      <c r="EV200"/>
      <c r="FD200"/>
      <c r="FL200"/>
      <c r="FT200"/>
      <c r="GB200"/>
      <c r="GJ200"/>
      <c r="GR200"/>
      <c r="GZ200"/>
    </row>
    <row r="201" spans="8:208" ht="14.4" x14ac:dyDescent="0.3">
      <c r="H201"/>
      <c r="P201"/>
      <c r="X201"/>
      <c r="AF201"/>
      <c r="AN201"/>
      <c r="AV201"/>
      <c r="BD201"/>
      <c r="BL201"/>
      <c r="BT201"/>
      <c r="CB201"/>
      <c r="CJ201"/>
      <c r="CR201"/>
      <c r="CZ201"/>
      <c r="DH201"/>
      <c r="DP201"/>
      <c r="DX201"/>
      <c r="EF201"/>
      <c r="EN201"/>
      <c r="EV201"/>
      <c r="FD201"/>
      <c r="FL201"/>
      <c r="FT201"/>
      <c r="GB201"/>
      <c r="GJ201"/>
      <c r="GR201"/>
      <c r="GZ201"/>
    </row>
    <row r="202" spans="8:208" ht="14.4" x14ac:dyDescent="0.3">
      <c r="H202"/>
      <c r="P202"/>
      <c r="X202"/>
      <c r="AF202"/>
      <c r="AN202"/>
      <c r="AV202"/>
      <c r="BD202"/>
      <c r="BL202"/>
      <c r="BT202"/>
      <c r="CB202"/>
      <c r="CJ202"/>
      <c r="CR202"/>
      <c r="CZ202"/>
      <c r="DH202"/>
      <c r="DP202"/>
      <c r="DX202"/>
      <c r="EF202"/>
      <c r="EN202"/>
      <c r="EV202"/>
      <c r="FD202"/>
      <c r="FL202"/>
      <c r="FT202"/>
      <c r="GB202"/>
      <c r="GJ202"/>
      <c r="GR202"/>
      <c r="GZ202"/>
    </row>
    <row r="203" spans="8:208" ht="14.4" x14ac:dyDescent="0.3">
      <c r="H203"/>
      <c r="P203"/>
      <c r="X203"/>
      <c r="AF203"/>
      <c r="AN203"/>
      <c r="AV203"/>
      <c r="BD203"/>
      <c r="BL203"/>
      <c r="BT203"/>
      <c r="CB203"/>
      <c r="CJ203"/>
      <c r="CR203"/>
      <c r="CZ203"/>
      <c r="DH203"/>
      <c r="DP203"/>
      <c r="DX203"/>
      <c r="EF203"/>
      <c r="EN203"/>
      <c r="EV203"/>
      <c r="FD203"/>
      <c r="FL203"/>
      <c r="FT203"/>
      <c r="GB203"/>
      <c r="GJ203"/>
      <c r="GR203"/>
      <c r="GZ203"/>
    </row>
    <row r="204" spans="8:208" ht="14.4" x14ac:dyDescent="0.3">
      <c r="H204"/>
      <c r="P204"/>
      <c r="X204"/>
      <c r="AF204"/>
      <c r="AN204"/>
      <c r="AV204"/>
      <c r="BD204"/>
      <c r="BL204"/>
      <c r="BT204"/>
      <c r="CB204"/>
      <c r="CJ204"/>
      <c r="CR204"/>
      <c r="CZ204"/>
      <c r="DH204"/>
      <c r="DP204"/>
      <c r="DX204"/>
      <c r="EF204"/>
      <c r="EN204"/>
      <c r="EV204"/>
      <c r="FD204"/>
      <c r="FL204"/>
      <c r="FT204"/>
      <c r="GB204"/>
      <c r="GJ204"/>
      <c r="GR204"/>
      <c r="GZ204"/>
    </row>
    <row r="205" spans="8:208" ht="14.4" x14ac:dyDescent="0.3">
      <c r="H205"/>
      <c r="P205"/>
      <c r="X205"/>
      <c r="AF205"/>
      <c r="AN205"/>
      <c r="AV205"/>
      <c r="BD205"/>
      <c r="BL205"/>
      <c r="BT205"/>
      <c r="CB205"/>
      <c r="CJ205"/>
      <c r="CR205"/>
      <c r="CZ205"/>
      <c r="DH205"/>
      <c r="DP205"/>
      <c r="DX205"/>
      <c r="EF205"/>
      <c r="EN205"/>
      <c r="EV205"/>
      <c r="FD205"/>
      <c r="FL205"/>
      <c r="FT205"/>
      <c r="GB205"/>
      <c r="GJ205"/>
      <c r="GR205"/>
      <c r="GZ205"/>
    </row>
    <row r="206" spans="8:208" ht="14.4" x14ac:dyDescent="0.3">
      <c r="H206"/>
      <c r="P206"/>
      <c r="X206"/>
      <c r="AF206"/>
      <c r="AN206"/>
      <c r="AV206"/>
      <c r="BD206"/>
      <c r="BL206"/>
      <c r="BT206"/>
      <c r="CB206"/>
      <c r="CJ206"/>
      <c r="CR206"/>
      <c r="CZ206"/>
      <c r="DH206"/>
      <c r="DP206"/>
      <c r="DX206"/>
      <c r="EF206"/>
      <c r="EN206"/>
      <c r="EV206"/>
      <c r="FD206"/>
      <c r="FL206"/>
      <c r="FT206"/>
      <c r="GB206"/>
      <c r="GJ206"/>
      <c r="GR206"/>
      <c r="GZ206"/>
    </row>
    <row r="207" spans="8:208" ht="14.4" x14ac:dyDescent="0.3">
      <c r="H207"/>
      <c r="P207"/>
      <c r="X207"/>
      <c r="AF207"/>
      <c r="AN207"/>
      <c r="AV207"/>
      <c r="BD207"/>
      <c r="BL207"/>
      <c r="BT207"/>
      <c r="CB207"/>
      <c r="CJ207"/>
      <c r="CR207"/>
      <c r="CZ207"/>
      <c r="DH207"/>
      <c r="DP207"/>
      <c r="DX207"/>
      <c r="EF207"/>
      <c r="EN207"/>
      <c r="EV207"/>
      <c r="FD207"/>
      <c r="FL207"/>
      <c r="FT207"/>
      <c r="GB207"/>
      <c r="GJ207"/>
      <c r="GR207"/>
      <c r="GZ207"/>
    </row>
    <row r="208" spans="8:208" ht="14.4" x14ac:dyDescent="0.3">
      <c r="H208"/>
      <c r="P208"/>
      <c r="X208"/>
      <c r="AF208"/>
      <c r="AN208"/>
      <c r="AV208"/>
      <c r="BD208"/>
      <c r="BL208"/>
      <c r="BT208"/>
      <c r="CB208"/>
      <c r="CJ208"/>
      <c r="CR208"/>
      <c r="CZ208"/>
      <c r="DH208"/>
      <c r="DP208"/>
      <c r="DX208"/>
      <c r="EF208"/>
      <c r="EN208"/>
      <c r="EV208"/>
      <c r="FD208"/>
      <c r="FL208"/>
      <c r="FT208"/>
      <c r="GB208"/>
      <c r="GJ208"/>
      <c r="GR208"/>
      <c r="GZ208"/>
    </row>
    <row r="209" spans="8:208" ht="14.4" x14ac:dyDescent="0.3">
      <c r="H209"/>
      <c r="P209"/>
      <c r="X209"/>
      <c r="AF209"/>
      <c r="AN209"/>
      <c r="AV209"/>
      <c r="BD209"/>
      <c r="BL209"/>
      <c r="BT209"/>
      <c r="CB209"/>
      <c r="CJ209"/>
      <c r="CR209"/>
      <c r="CZ209"/>
      <c r="DH209"/>
      <c r="DP209"/>
      <c r="DX209"/>
      <c r="EF209"/>
      <c r="EN209"/>
      <c r="EV209"/>
      <c r="FD209"/>
      <c r="FL209"/>
      <c r="FT209"/>
      <c r="GB209"/>
      <c r="GJ209"/>
      <c r="GR209"/>
      <c r="GZ209"/>
    </row>
    <row r="210" spans="8:208" ht="14.4" x14ac:dyDescent="0.3">
      <c r="H210"/>
      <c r="P210"/>
      <c r="X210"/>
      <c r="AF210"/>
      <c r="AN210"/>
      <c r="AV210"/>
      <c r="BD210"/>
      <c r="BL210"/>
      <c r="BT210"/>
      <c r="CB210"/>
      <c r="CJ210"/>
      <c r="CR210"/>
      <c r="CZ210"/>
      <c r="DH210"/>
      <c r="DP210"/>
      <c r="DX210"/>
      <c r="EF210"/>
      <c r="EN210"/>
      <c r="EV210"/>
      <c r="FD210"/>
      <c r="FL210"/>
      <c r="FT210"/>
      <c r="GB210"/>
      <c r="GJ210"/>
      <c r="GR210"/>
      <c r="GZ210"/>
    </row>
    <row r="211" spans="8:208" ht="14.4" x14ac:dyDescent="0.3">
      <c r="H211"/>
      <c r="P211"/>
      <c r="X211"/>
      <c r="AF211"/>
      <c r="AN211"/>
      <c r="AV211"/>
      <c r="BD211"/>
      <c r="BL211"/>
      <c r="BT211"/>
      <c r="CB211"/>
      <c r="CJ211"/>
      <c r="CR211"/>
      <c r="CZ211"/>
      <c r="DH211"/>
      <c r="DP211"/>
      <c r="DX211"/>
      <c r="EF211"/>
      <c r="EN211"/>
      <c r="EV211"/>
      <c r="FD211"/>
      <c r="FL211"/>
      <c r="FT211"/>
      <c r="GB211"/>
      <c r="GJ211"/>
      <c r="GR211"/>
      <c r="GZ211"/>
    </row>
    <row r="212" spans="8:208" ht="14.4" x14ac:dyDescent="0.3">
      <c r="H212"/>
      <c r="P212"/>
      <c r="X212"/>
      <c r="AF212"/>
      <c r="AN212"/>
      <c r="AV212"/>
      <c r="BD212"/>
      <c r="BL212"/>
      <c r="BT212"/>
      <c r="CB212"/>
      <c r="CJ212"/>
      <c r="CR212"/>
      <c r="CZ212"/>
      <c r="DH212"/>
      <c r="DP212"/>
      <c r="DX212"/>
      <c r="EF212"/>
      <c r="EN212"/>
      <c r="EV212"/>
      <c r="FD212"/>
      <c r="FL212"/>
      <c r="FT212"/>
      <c r="GB212"/>
      <c r="GJ212"/>
      <c r="GR212"/>
      <c r="GZ212"/>
    </row>
    <row r="213" spans="8:208" ht="14.4" x14ac:dyDescent="0.3">
      <c r="H213"/>
      <c r="P213"/>
      <c r="X213"/>
      <c r="AF213"/>
      <c r="AN213"/>
      <c r="AV213"/>
      <c r="BD213"/>
      <c r="BL213"/>
      <c r="BT213"/>
      <c r="CB213"/>
      <c r="CJ213"/>
      <c r="CR213"/>
      <c r="CZ213"/>
      <c r="DH213"/>
      <c r="DP213"/>
      <c r="DX213"/>
      <c r="EF213"/>
      <c r="EN213"/>
      <c r="EV213"/>
      <c r="FD213"/>
      <c r="FL213"/>
      <c r="FT213"/>
      <c r="GB213"/>
      <c r="GJ213"/>
      <c r="GR213"/>
      <c r="GZ213"/>
    </row>
    <row r="214" spans="8:208" ht="14.4" x14ac:dyDescent="0.3">
      <c r="H214"/>
      <c r="P214"/>
      <c r="X214"/>
      <c r="AF214"/>
      <c r="AN214"/>
      <c r="AV214"/>
      <c r="BD214"/>
      <c r="BL214"/>
      <c r="BT214"/>
      <c r="CB214"/>
      <c r="CJ214"/>
      <c r="CR214"/>
      <c r="CZ214"/>
      <c r="DH214"/>
      <c r="DP214"/>
      <c r="DX214"/>
      <c r="EF214"/>
      <c r="EN214"/>
      <c r="EV214"/>
      <c r="FD214"/>
      <c r="FL214"/>
      <c r="FT214"/>
      <c r="GB214"/>
      <c r="GJ214"/>
      <c r="GR214"/>
      <c r="GZ214"/>
    </row>
    <row r="215" spans="8:208" ht="14.4" x14ac:dyDescent="0.3">
      <c r="H215"/>
      <c r="P215"/>
      <c r="X215"/>
      <c r="AF215"/>
      <c r="AN215"/>
      <c r="AV215"/>
      <c r="BD215"/>
      <c r="BL215"/>
      <c r="BT215"/>
      <c r="CB215"/>
      <c r="CJ215"/>
      <c r="CR215"/>
      <c r="CZ215"/>
      <c r="DH215"/>
      <c r="DP215"/>
      <c r="DX215"/>
      <c r="EF215"/>
      <c r="EN215"/>
      <c r="EV215"/>
      <c r="FD215"/>
      <c r="FL215"/>
      <c r="FT215"/>
      <c r="GB215"/>
      <c r="GJ215"/>
      <c r="GR215"/>
      <c r="GZ215"/>
    </row>
    <row r="216" spans="8:208" ht="14.4" x14ac:dyDescent="0.3">
      <c r="H216"/>
      <c r="P216"/>
      <c r="X216"/>
      <c r="AF216"/>
      <c r="AN216"/>
      <c r="AV216"/>
      <c r="BD216"/>
      <c r="BL216"/>
      <c r="BT216"/>
      <c r="CB216"/>
      <c r="CJ216"/>
      <c r="CR216"/>
      <c r="CZ216"/>
      <c r="DH216"/>
      <c r="DP216"/>
      <c r="DX216"/>
      <c r="EF216"/>
      <c r="EN216"/>
      <c r="EV216"/>
      <c r="FD216"/>
      <c r="FL216"/>
      <c r="FT216"/>
      <c r="GB216"/>
      <c r="GJ216"/>
      <c r="GR216"/>
      <c r="GZ216"/>
    </row>
    <row r="217" spans="8:208" ht="14.4" x14ac:dyDescent="0.3">
      <c r="H217"/>
      <c r="P217"/>
      <c r="X217"/>
      <c r="AF217"/>
      <c r="AN217"/>
      <c r="AV217"/>
      <c r="BD217"/>
      <c r="BL217"/>
      <c r="BT217"/>
      <c r="CB217"/>
      <c r="CJ217"/>
      <c r="CR217"/>
      <c r="CZ217"/>
      <c r="DH217"/>
      <c r="DP217"/>
      <c r="DX217"/>
      <c r="EF217"/>
      <c r="EN217"/>
      <c r="EV217"/>
      <c r="FD217"/>
      <c r="FL217"/>
      <c r="FT217"/>
      <c r="GB217"/>
      <c r="GJ217"/>
      <c r="GR217"/>
      <c r="GZ217"/>
    </row>
    <row r="218" spans="8:208" ht="14.4" x14ac:dyDescent="0.3">
      <c r="H218"/>
      <c r="P218"/>
      <c r="X218"/>
      <c r="AF218"/>
      <c r="AN218"/>
      <c r="AV218"/>
      <c r="BD218"/>
      <c r="BL218"/>
      <c r="BT218"/>
      <c r="CB218"/>
      <c r="CJ218"/>
      <c r="CR218"/>
      <c r="CZ218"/>
      <c r="DH218"/>
      <c r="DP218"/>
      <c r="DX218"/>
      <c r="EF218"/>
      <c r="EN218"/>
      <c r="EV218"/>
      <c r="FD218"/>
      <c r="FL218"/>
      <c r="FT218"/>
      <c r="GB218"/>
      <c r="GJ218"/>
      <c r="GR218"/>
      <c r="GZ218"/>
    </row>
    <row r="219" spans="8:208" ht="14.4" x14ac:dyDescent="0.3">
      <c r="H219"/>
      <c r="P219"/>
      <c r="X219"/>
      <c r="AF219"/>
      <c r="AN219"/>
      <c r="AV219"/>
      <c r="BD219"/>
      <c r="BL219"/>
      <c r="BT219"/>
      <c r="CB219"/>
      <c r="CJ219"/>
      <c r="CR219"/>
      <c r="CZ219"/>
      <c r="DH219"/>
      <c r="DP219"/>
      <c r="DX219"/>
      <c r="EF219"/>
      <c r="EN219"/>
      <c r="EV219"/>
      <c r="FD219"/>
      <c r="FL219"/>
      <c r="FT219"/>
      <c r="GB219"/>
      <c r="GJ219"/>
      <c r="GR219"/>
      <c r="GZ219"/>
    </row>
    <row r="220" spans="8:208" ht="14.4" x14ac:dyDescent="0.3">
      <c r="H220"/>
      <c r="P220"/>
      <c r="X220"/>
      <c r="AF220"/>
      <c r="AN220"/>
      <c r="AV220"/>
      <c r="BD220"/>
      <c r="BL220"/>
      <c r="BT220"/>
      <c r="CB220"/>
      <c r="CJ220"/>
      <c r="CR220"/>
      <c r="CZ220"/>
      <c r="DH220"/>
      <c r="DP220"/>
      <c r="DX220"/>
      <c r="EF220"/>
      <c r="EN220"/>
      <c r="EV220"/>
      <c r="FD220"/>
      <c r="FL220"/>
      <c r="FT220"/>
      <c r="GB220"/>
      <c r="GJ220"/>
      <c r="GR220"/>
      <c r="GZ220"/>
    </row>
    <row r="221" spans="8:208" ht="14.4" x14ac:dyDescent="0.3">
      <c r="H221"/>
      <c r="P221"/>
      <c r="X221"/>
      <c r="AF221"/>
      <c r="AN221"/>
      <c r="AV221"/>
      <c r="BD221"/>
      <c r="BL221"/>
      <c r="BT221"/>
      <c r="CB221"/>
      <c r="CJ221"/>
      <c r="CR221"/>
      <c r="CZ221"/>
      <c r="DH221"/>
      <c r="DP221"/>
      <c r="DX221"/>
      <c r="EF221"/>
      <c r="EN221"/>
      <c r="EV221"/>
      <c r="FD221"/>
      <c r="FL221"/>
      <c r="FT221"/>
      <c r="GB221"/>
      <c r="GJ221"/>
      <c r="GR221"/>
      <c r="GZ221"/>
    </row>
    <row r="222" spans="8:208" ht="14.4" x14ac:dyDescent="0.3">
      <c r="H222"/>
      <c r="P222"/>
      <c r="X222"/>
      <c r="AF222"/>
      <c r="AN222"/>
      <c r="AV222"/>
      <c r="BD222"/>
      <c r="BL222"/>
      <c r="BT222"/>
      <c r="CB222"/>
      <c r="CJ222"/>
      <c r="CR222"/>
      <c r="CZ222"/>
      <c r="DH222"/>
      <c r="DP222"/>
      <c r="DX222"/>
      <c r="EF222"/>
      <c r="EN222"/>
      <c r="EV222"/>
      <c r="FD222"/>
      <c r="FL222"/>
      <c r="FT222"/>
      <c r="GB222"/>
      <c r="GJ222"/>
      <c r="GR222"/>
      <c r="GZ222"/>
    </row>
    <row r="223" spans="8:208" ht="14.4" x14ac:dyDescent="0.3">
      <c r="H223"/>
      <c r="P223"/>
      <c r="X223"/>
      <c r="AF223"/>
      <c r="AN223"/>
      <c r="AV223"/>
      <c r="BD223"/>
      <c r="BL223"/>
      <c r="BT223"/>
      <c r="CB223"/>
      <c r="CJ223"/>
      <c r="CR223"/>
      <c r="CZ223"/>
      <c r="DH223"/>
      <c r="DP223"/>
      <c r="DX223"/>
      <c r="EF223"/>
      <c r="EN223"/>
      <c r="EV223"/>
      <c r="FD223"/>
      <c r="FL223"/>
      <c r="FT223"/>
      <c r="GB223"/>
      <c r="GJ223"/>
      <c r="GR223"/>
      <c r="GZ223"/>
    </row>
    <row r="224" spans="8:208" ht="14.4" x14ac:dyDescent="0.3">
      <c r="H224"/>
      <c r="P224"/>
      <c r="X224"/>
      <c r="AF224"/>
      <c r="AN224"/>
      <c r="AV224"/>
      <c r="BD224"/>
      <c r="BL224"/>
      <c r="BT224"/>
      <c r="CB224"/>
      <c r="CJ224"/>
      <c r="CR224"/>
      <c r="CZ224"/>
      <c r="DH224"/>
      <c r="DP224"/>
      <c r="DX224"/>
      <c r="EF224"/>
      <c r="EN224"/>
      <c r="EV224"/>
      <c r="FD224"/>
      <c r="FL224"/>
      <c r="FT224"/>
      <c r="GB224"/>
      <c r="GJ224"/>
      <c r="GR224"/>
      <c r="GZ224"/>
    </row>
    <row r="225" spans="8:208" ht="14.4" x14ac:dyDescent="0.3">
      <c r="H225"/>
      <c r="P225"/>
      <c r="X225"/>
      <c r="AF225"/>
      <c r="AN225"/>
      <c r="AV225"/>
      <c r="BD225"/>
      <c r="BL225"/>
      <c r="BT225"/>
      <c r="CB225"/>
      <c r="CJ225"/>
      <c r="CR225"/>
      <c r="CZ225"/>
      <c r="DH225"/>
      <c r="DP225"/>
      <c r="DX225"/>
      <c r="EF225"/>
      <c r="EN225"/>
      <c r="EV225"/>
      <c r="FD225"/>
      <c r="FL225"/>
      <c r="FT225"/>
      <c r="GB225"/>
      <c r="GJ225"/>
      <c r="GR225"/>
      <c r="GZ225"/>
    </row>
    <row r="226" spans="8:208" ht="14.4" x14ac:dyDescent="0.3">
      <c r="H226"/>
      <c r="P226"/>
      <c r="X226"/>
      <c r="AF226"/>
      <c r="AN226"/>
      <c r="AV226"/>
      <c r="BD226"/>
      <c r="BL226"/>
      <c r="BT226"/>
      <c r="CB226"/>
      <c r="CJ226"/>
      <c r="CR226"/>
      <c r="CZ226"/>
      <c r="DH226"/>
      <c r="DP226"/>
      <c r="DX226"/>
      <c r="EF226"/>
      <c r="EN226"/>
      <c r="EV226"/>
      <c r="FD226"/>
      <c r="FL226"/>
      <c r="FT226"/>
      <c r="GB226"/>
      <c r="GJ226"/>
      <c r="GR226"/>
      <c r="GZ226"/>
    </row>
    <row r="227" spans="8:208" ht="14.4" x14ac:dyDescent="0.3">
      <c r="H227"/>
      <c r="P227"/>
      <c r="X227"/>
      <c r="AF227"/>
      <c r="AN227"/>
      <c r="AV227"/>
      <c r="BD227"/>
      <c r="BL227"/>
      <c r="BT227"/>
      <c r="CB227"/>
      <c r="CJ227"/>
      <c r="CR227"/>
      <c r="CZ227"/>
      <c r="DH227"/>
      <c r="DP227"/>
      <c r="DX227"/>
      <c r="EF227"/>
      <c r="EN227"/>
      <c r="EV227"/>
      <c r="FD227"/>
      <c r="FL227"/>
      <c r="FT227"/>
      <c r="GB227"/>
      <c r="GJ227"/>
      <c r="GR227"/>
      <c r="GZ227"/>
    </row>
    <row r="228" spans="8:208" ht="14.4" x14ac:dyDescent="0.3">
      <c r="H228"/>
      <c r="P228"/>
      <c r="X228"/>
      <c r="AF228"/>
      <c r="AN228"/>
      <c r="AV228"/>
      <c r="BD228"/>
      <c r="BL228"/>
      <c r="BT228"/>
      <c r="CB228"/>
      <c r="CJ228"/>
      <c r="CR228"/>
      <c r="CZ228"/>
      <c r="DH228"/>
      <c r="DP228"/>
      <c r="DX228"/>
      <c r="EF228"/>
      <c r="EN228"/>
      <c r="EV228"/>
      <c r="FD228"/>
      <c r="FL228"/>
      <c r="FT228"/>
      <c r="GB228"/>
      <c r="GJ228"/>
      <c r="GR228"/>
      <c r="GZ228"/>
    </row>
    <row r="229" spans="8:208" ht="14.4" x14ac:dyDescent="0.3">
      <c r="H229"/>
      <c r="P229"/>
      <c r="X229"/>
      <c r="AF229"/>
      <c r="AN229"/>
      <c r="AV229"/>
      <c r="BD229"/>
      <c r="BL229"/>
      <c r="BT229"/>
      <c r="CB229"/>
      <c r="CJ229"/>
      <c r="CR229"/>
      <c r="CZ229"/>
      <c r="DH229"/>
      <c r="DP229"/>
      <c r="DX229"/>
      <c r="EF229"/>
      <c r="EN229"/>
      <c r="EV229"/>
      <c r="FD229"/>
      <c r="FL229"/>
      <c r="FT229"/>
      <c r="GB229"/>
      <c r="GJ229"/>
      <c r="GR229"/>
      <c r="GZ229"/>
    </row>
    <row r="230" spans="8:208" ht="14.4" x14ac:dyDescent="0.3">
      <c r="H230"/>
      <c r="P230"/>
      <c r="X230"/>
      <c r="AF230"/>
      <c r="AN230"/>
      <c r="AV230"/>
      <c r="BD230"/>
      <c r="BL230"/>
      <c r="BT230"/>
      <c r="CB230"/>
      <c r="CJ230"/>
      <c r="CR230"/>
      <c r="CZ230"/>
      <c r="DH230"/>
      <c r="DP230"/>
      <c r="DX230"/>
      <c r="EF230"/>
      <c r="EN230"/>
      <c r="EV230"/>
      <c r="FD230"/>
      <c r="FL230"/>
      <c r="FT230"/>
      <c r="GB230"/>
      <c r="GJ230"/>
      <c r="GR230"/>
      <c r="GZ230"/>
    </row>
    <row r="231" spans="8:208" ht="14.4" x14ac:dyDescent="0.3">
      <c r="H231"/>
      <c r="P231"/>
      <c r="X231"/>
      <c r="AF231"/>
      <c r="AN231"/>
      <c r="AV231"/>
      <c r="BD231"/>
      <c r="BL231"/>
      <c r="BT231"/>
      <c r="CB231"/>
      <c r="CJ231"/>
      <c r="CR231"/>
      <c r="CZ231"/>
      <c r="DH231"/>
      <c r="DP231"/>
      <c r="DX231"/>
      <c r="EF231"/>
      <c r="EN231"/>
      <c r="EV231"/>
      <c r="FD231"/>
      <c r="FL231"/>
      <c r="FT231"/>
      <c r="GB231"/>
      <c r="GJ231"/>
      <c r="GR231"/>
      <c r="GZ231"/>
    </row>
    <row r="232" spans="8:208" ht="14.4" x14ac:dyDescent="0.3">
      <c r="H232"/>
      <c r="P232"/>
      <c r="X232"/>
      <c r="AF232"/>
      <c r="AN232"/>
      <c r="AV232"/>
      <c r="BD232"/>
      <c r="BL232"/>
      <c r="BT232"/>
      <c r="CB232"/>
      <c r="CJ232"/>
      <c r="CR232"/>
      <c r="CZ232"/>
      <c r="DH232"/>
      <c r="DP232"/>
      <c r="DX232"/>
      <c r="EF232"/>
      <c r="EN232"/>
      <c r="EV232"/>
      <c r="FD232"/>
      <c r="FL232"/>
      <c r="FT232"/>
      <c r="GB232"/>
      <c r="GJ232"/>
      <c r="GR232"/>
      <c r="GZ232"/>
    </row>
    <row r="233" spans="8:208" ht="14.4" x14ac:dyDescent="0.3">
      <c r="H233"/>
      <c r="P233"/>
      <c r="X233"/>
      <c r="AF233"/>
      <c r="AN233"/>
      <c r="AV233"/>
      <c r="BD233"/>
      <c r="BL233"/>
      <c r="BT233"/>
      <c r="CB233"/>
      <c r="CJ233"/>
      <c r="CR233"/>
      <c r="CZ233"/>
      <c r="DH233"/>
      <c r="DP233"/>
      <c r="DX233"/>
      <c r="EF233"/>
      <c r="EN233"/>
      <c r="EV233"/>
      <c r="FD233"/>
      <c r="FL233"/>
      <c r="FT233"/>
      <c r="GB233"/>
      <c r="GJ233"/>
      <c r="GR233"/>
      <c r="GZ233"/>
    </row>
    <row r="234" spans="8:208" ht="14.4" x14ac:dyDescent="0.3">
      <c r="H234"/>
      <c r="P234"/>
      <c r="X234"/>
      <c r="AF234"/>
      <c r="AN234"/>
      <c r="AV234"/>
      <c r="BD234"/>
      <c r="BL234"/>
      <c r="BT234"/>
      <c r="CB234"/>
      <c r="CJ234"/>
      <c r="CR234"/>
      <c r="CZ234"/>
      <c r="DH234"/>
      <c r="DP234"/>
      <c r="DX234"/>
      <c r="EF234"/>
      <c r="EN234"/>
      <c r="EV234"/>
      <c r="FD234"/>
      <c r="FL234"/>
      <c r="FT234"/>
      <c r="GB234"/>
      <c r="GJ234"/>
      <c r="GR234"/>
      <c r="GZ234"/>
    </row>
    <row r="235" spans="8:208" ht="14.4" x14ac:dyDescent="0.3">
      <c r="H235"/>
      <c r="P235"/>
      <c r="X235"/>
      <c r="AF235"/>
      <c r="AN235"/>
      <c r="AV235"/>
      <c r="BD235"/>
      <c r="BL235"/>
      <c r="BT235"/>
      <c r="CB235"/>
      <c r="CJ235"/>
      <c r="CR235"/>
      <c r="CZ235"/>
      <c r="DH235"/>
      <c r="DP235"/>
      <c r="DX235"/>
      <c r="EF235"/>
      <c r="EN235"/>
      <c r="EV235"/>
      <c r="FD235"/>
      <c r="FL235"/>
      <c r="FT235"/>
      <c r="GB235"/>
      <c r="GJ235"/>
      <c r="GR235"/>
      <c r="GZ235"/>
    </row>
    <row r="236" spans="8:208" ht="14.4" x14ac:dyDescent="0.3">
      <c r="H236"/>
      <c r="P236"/>
      <c r="X236"/>
      <c r="AF236"/>
      <c r="AN236"/>
      <c r="AV236"/>
      <c r="BD236"/>
      <c r="BL236"/>
      <c r="BT236"/>
      <c r="CB236"/>
      <c r="CJ236"/>
      <c r="CR236"/>
      <c r="CZ236"/>
      <c r="DH236"/>
      <c r="DP236"/>
      <c r="DX236"/>
      <c r="EF236"/>
      <c r="EN236"/>
      <c r="EV236"/>
      <c r="FD236"/>
      <c r="FL236"/>
      <c r="FT236"/>
      <c r="GB236"/>
      <c r="GJ236"/>
      <c r="GR236"/>
      <c r="GZ236"/>
    </row>
    <row r="237" spans="8:208" ht="14.4" x14ac:dyDescent="0.3">
      <c r="H237"/>
      <c r="P237"/>
      <c r="X237"/>
      <c r="AF237"/>
      <c r="AN237"/>
      <c r="AV237"/>
      <c r="BD237"/>
      <c r="BL237"/>
      <c r="BT237"/>
      <c r="CB237"/>
      <c r="CJ237"/>
      <c r="CR237"/>
      <c r="CZ237"/>
      <c r="DH237"/>
      <c r="DP237"/>
      <c r="DX237"/>
      <c r="EF237"/>
      <c r="EN237"/>
      <c r="EV237"/>
      <c r="FD237"/>
      <c r="FL237"/>
      <c r="FT237"/>
      <c r="GB237"/>
      <c r="GJ237"/>
      <c r="GR237"/>
      <c r="GZ237"/>
    </row>
    <row r="238" spans="8:208" ht="14.4" x14ac:dyDescent="0.3">
      <c r="H238"/>
      <c r="P238"/>
      <c r="X238"/>
      <c r="AF238"/>
      <c r="AN238"/>
      <c r="AV238"/>
      <c r="BD238"/>
      <c r="BL238"/>
      <c r="BT238"/>
      <c r="CB238"/>
      <c r="CJ238"/>
      <c r="CR238"/>
      <c r="CZ238"/>
      <c r="DH238"/>
      <c r="DP238"/>
      <c r="DX238"/>
      <c r="EF238"/>
      <c r="EN238"/>
      <c r="EV238"/>
      <c r="FD238"/>
      <c r="FL238"/>
      <c r="FT238"/>
      <c r="GB238"/>
      <c r="GJ238"/>
      <c r="GR238"/>
      <c r="GZ238"/>
    </row>
    <row r="239" spans="8:208" ht="14.4" x14ac:dyDescent="0.3">
      <c r="H239"/>
      <c r="P239"/>
      <c r="X239"/>
      <c r="AF239"/>
      <c r="AN239"/>
      <c r="AV239"/>
      <c r="BD239"/>
      <c r="BL239"/>
      <c r="BT239"/>
      <c r="CB239"/>
      <c r="CJ239"/>
      <c r="CR239"/>
      <c r="CZ239"/>
      <c r="DH239"/>
      <c r="DP239"/>
      <c r="DX239"/>
      <c r="EF239"/>
      <c r="EN239"/>
      <c r="EV239"/>
      <c r="FD239"/>
      <c r="FL239"/>
      <c r="FT239"/>
      <c r="GB239"/>
      <c r="GJ239"/>
      <c r="GR239"/>
      <c r="GZ239"/>
    </row>
    <row r="240" spans="8:208" ht="14.4" x14ac:dyDescent="0.3">
      <c r="H240"/>
      <c r="P240"/>
      <c r="X240"/>
      <c r="AF240"/>
      <c r="AN240"/>
      <c r="AV240"/>
      <c r="BD240"/>
      <c r="BL240"/>
      <c r="BT240"/>
      <c r="CB240"/>
      <c r="CJ240"/>
      <c r="CR240"/>
      <c r="CZ240"/>
      <c r="DH240"/>
      <c r="DP240"/>
      <c r="DX240"/>
      <c r="EF240"/>
      <c r="EN240"/>
      <c r="EV240"/>
      <c r="FD240"/>
      <c r="FL240"/>
      <c r="FT240"/>
      <c r="GB240"/>
      <c r="GJ240"/>
      <c r="GR240"/>
      <c r="GZ240"/>
    </row>
    <row r="241" spans="8:208" ht="14.4" x14ac:dyDescent="0.3">
      <c r="H241"/>
      <c r="P241"/>
      <c r="X241"/>
      <c r="AF241"/>
      <c r="AN241"/>
      <c r="AV241"/>
      <c r="BD241"/>
      <c r="BL241"/>
      <c r="BT241"/>
      <c r="CB241"/>
      <c r="CJ241"/>
      <c r="CR241"/>
      <c r="CZ241"/>
      <c r="DH241"/>
      <c r="DP241"/>
      <c r="DX241"/>
      <c r="EF241"/>
      <c r="EN241"/>
      <c r="EV241"/>
      <c r="FD241"/>
      <c r="FL241"/>
      <c r="FT241"/>
      <c r="GB241"/>
      <c r="GJ241"/>
      <c r="GR241"/>
      <c r="GZ241"/>
    </row>
    <row r="242" spans="8:208" ht="14.4" x14ac:dyDescent="0.3">
      <c r="H242"/>
      <c r="P242"/>
      <c r="X242"/>
      <c r="AF242"/>
      <c r="AN242"/>
      <c r="AV242"/>
      <c r="BD242"/>
      <c r="BL242"/>
      <c r="BT242"/>
      <c r="CB242"/>
      <c r="CJ242"/>
      <c r="CR242"/>
      <c r="CZ242"/>
      <c r="DH242"/>
      <c r="DP242"/>
      <c r="DX242"/>
      <c r="EF242"/>
      <c r="EN242"/>
      <c r="EV242"/>
      <c r="FD242"/>
      <c r="FL242"/>
      <c r="FT242"/>
      <c r="GB242"/>
      <c r="GJ242"/>
      <c r="GR242"/>
      <c r="GZ242"/>
    </row>
    <row r="243" spans="8:208" ht="14.4" x14ac:dyDescent="0.3">
      <c r="H243"/>
      <c r="P243"/>
      <c r="X243"/>
      <c r="AF243"/>
      <c r="AN243"/>
      <c r="AV243"/>
      <c r="BD243"/>
      <c r="BL243"/>
      <c r="BT243"/>
      <c r="CB243"/>
      <c r="CJ243"/>
      <c r="CR243"/>
      <c r="CZ243"/>
      <c r="DH243"/>
      <c r="DP243"/>
      <c r="DX243"/>
      <c r="EF243"/>
      <c r="EN243"/>
      <c r="EV243"/>
      <c r="FD243"/>
      <c r="FL243"/>
      <c r="FT243"/>
      <c r="GB243"/>
      <c r="GJ243"/>
      <c r="GR243"/>
      <c r="GZ243"/>
    </row>
    <row r="244" spans="8:208" ht="14.4" x14ac:dyDescent="0.3">
      <c r="H244"/>
      <c r="P244"/>
      <c r="X244"/>
      <c r="AF244"/>
      <c r="AN244"/>
      <c r="AV244"/>
      <c r="BD244"/>
      <c r="BL244"/>
      <c r="BT244"/>
      <c r="CB244"/>
      <c r="CJ244"/>
      <c r="CR244"/>
      <c r="CZ244"/>
      <c r="DH244"/>
      <c r="DP244"/>
      <c r="DX244"/>
      <c r="EF244"/>
      <c r="EN244"/>
      <c r="EV244"/>
      <c r="FD244"/>
      <c r="FL244"/>
      <c r="FT244"/>
      <c r="GB244"/>
      <c r="GJ244"/>
      <c r="GR244"/>
      <c r="GZ244"/>
    </row>
    <row r="245" spans="8:208" ht="14.4" x14ac:dyDescent="0.3">
      <c r="H245"/>
      <c r="P245"/>
      <c r="X245"/>
      <c r="AF245"/>
      <c r="AN245"/>
      <c r="AV245"/>
      <c r="BD245"/>
      <c r="BL245"/>
      <c r="BT245"/>
      <c r="CB245"/>
      <c r="CJ245"/>
      <c r="CR245"/>
      <c r="CZ245"/>
      <c r="DH245"/>
      <c r="DP245"/>
      <c r="DX245"/>
      <c r="EF245"/>
      <c r="EN245"/>
      <c r="EV245"/>
      <c r="FD245"/>
      <c r="FL245"/>
      <c r="FT245"/>
      <c r="GB245"/>
      <c r="GJ245"/>
      <c r="GR245"/>
      <c r="GZ245"/>
    </row>
    <row r="246" spans="8:208" ht="14.4" x14ac:dyDescent="0.3">
      <c r="H246"/>
      <c r="P246"/>
      <c r="X246"/>
      <c r="AF246"/>
      <c r="AN246"/>
      <c r="AV246"/>
      <c r="BD246"/>
      <c r="BL246"/>
      <c r="BT246"/>
      <c r="CB246"/>
      <c r="CJ246"/>
      <c r="CR246"/>
      <c r="CZ246"/>
      <c r="DH246"/>
      <c r="DP246"/>
      <c r="DX246"/>
      <c r="EF246"/>
      <c r="EN246"/>
      <c r="EV246"/>
      <c r="FD246"/>
      <c r="FL246"/>
      <c r="FT246"/>
      <c r="GB246"/>
      <c r="GJ246"/>
      <c r="GR246"/>
      <c r="GZ246"/>
    </row>
    <row r="247" spans="8:208" ht="14.4" x14ac:dyDescent="0.3">
      <c r="H247"/>
      <c r="P247"/>
      <c r="X247"/>
      <c r="AF247"/>
      <c r="AN247"/>
      <c r="AV247"/>
      <c r="BD247"/>
      <c r="BL247"/>
      <c r="BT247"/>
      <c r="CB247"/>
      <c r="CJ247"/>
      <c r="CR247"/>
      <c r="CZ247"/>
      <c r="DH247"/>
      <c r="DP247"/>
      <c r="DX247"/>
      <c r="EF247"/>
      <c r="EN247"/>
      <c r="EV247"/>
      <c r="FD247"/>
      <c r="FL247"/>
      <c r="FT247"/>
      <c r="GB247"/>
      <c r="GJ247"/>
      <c r="GR247"/>
      <c r="GZ247"/>
    </row>
    <row r="248" spans="8:208" ht="14.4" x14ac:dyDescent="0.3">
      <c r="H248"/>
      <c r="P248"/>
      <c r="X248"/>
      <c r="AF248"/>
      <c r="AN248"/>
      <c r="AV248"/>
      <c r="BD248"/>
      <c r="BL248"/>
      <c r="BT248"/>
      <c r="CB248"/>
      <c r="CJ248"/>
      <c r="CR248"/>
      <c r="CZ248"/>
      <c r="DH248"/>
      <c r="DP248"/>
      <c r="DX248"/>
      <c r="EF248"/>
      <c r="EN248"/>
      <c r="EV248"/>
      <c r="FD248"/>
      <c r="FL248"/>
      <c r="FT248"/>
      <c r="GB248"/>
      <c r="GJ248"/>
      <c r="GR248"/>
      <c r="GZ248"/>
    </row>
    <row r="249" spans="8:208" ht="14.4" x14ac:dyDescent="0.3">
      <c r="H249"/>
      <c r="P249"/>
      <c r="X249"/>
      <c r="AF249"/>
      <c r="AN249"/>
      <c r="AV249"/>
      <c r="BD249"/>
      <c r="BL249"/>
      <c r="BT249"/>
      <c r="CB249"/>
      <c r="CJ249"/>
      <c r="CR249"/>
      <c r="CZ249"/>
      <c r="DH249"/>
      <c r="DP249"/>
      <c r="DX249"/>
      <c r="EF249"/>
      <c r="EN249"/>
      <c r="EV249"/>
      <c r="FD249"/>
      <c r="FL249"/>
      <c r="FT249"/>
      <c r="GB249"/>
      <c r="GJ249"/>
      <c r="GR249"/>
      <c r="GZ249"/>
    </row>
    <row r="250" spans="8:208" ht="14.4" x14ac:dyDescent="0.3">
      <c r="H250"/>
      <c r="P250"/>
      <c r="X250"/>
      <c r="AF250"/>
      <c r="AN250"/>
      <c r="AV250"/>
      <c r="BD250"/>
      <c r="BL250"/>
      <c r="BT250"/>
      <c r="CB250"/>
      <c r="CJ250"/>
      <c r="CR250"/>
      <c r="CZ250"/>
      <c r="DH250"/>
      <c r="DP250"/>
      <c r="DX250"/>
      <c r="EF250"/>
      <c r="EN250"/>
      <c r="EV250"/>
      <c r="FD250"/>
      <c r="FL250"/>
      <c r="FT250"/>
      <c r="GB250"/>
      <c r="GJ250"/>
      <c r="GR250"/>
      <c r="GZ250"/>
    </row>
    <row r="251" spans="8:208" ht="14.4" x14ac:dyDescent="0.3">
      <c r="H251"/>
      <c r="P251"/>
      <c r="X251"/>
      <c r="AF251"/>
      <c r="AN251"/>
      <c r="AV251"/>
      <c r="BD251"/>
      <c r="BL251"/>
      <c r="BT251"/>
      <c r="CB251"/>
      <c r="CJ251"/>
      <c r="CR251"/>
      <c r="CZ251"/>
      <c r="DH251"/>
      <c r="DP251"/>
      <c r="DX251"/>
      <c r="EF251"/>
      <c r="EN251"/>
      <c r="EV251"/>
      <c r="FD251"/>
      <c r="FL251"/>
      <c r="FT251"/>
      <c r="GB251"/>
      <c r="GJ251"/>
      <c r="GR251"/>
      <c r="GZ251"/>
    </row>
    <row r="252" spans="8:208" ht="14.4" x14ac:dyDescent="0.3">
      <c r="H252"/>
      <c r="P252"/>
      <c r="X252"/>
      <c r="AF252"/>
      <c r="AN252"/>
      <c r="AV252"/>
      <c r="BD252"/>
      <c r="BL252"/>
      <c r="BT252"/>
      <c r="CB252"/>
      <c r="CJ252"/>
      <c r="CR252"/>
      <c r="CZ252"/>
      <c r="DH252"/>
      <c r="DP252"/>
      <c r="DX252"/>
      <c r="EF252"/>
      <c r="EN252"/>
      <c r="EV252"/>
      <c r="FD252"/>
      <c r="FL252"/>
      <c r="FT252"/>
      <c r="GB252"/>
      <c r="GJ252"/>
      <c r="GR252"/>
      <c r="GZ252"/>
    </row>
    <row r="253" spans="8:208" ht="14.4" x14ac:dyDescent="0.3">
      <c r="H253"/>
      <c r="P253"/>
      <c r="X253"/>
      <c r="AF253"/>
      <c r="AN253"/>
      <c r="AV253"/>
      <c r="BD253"/>
      <c r="BL253"/>
      <c r="BT253"/>
      <c r="CB253"/>
      <c r="CJ253"/>
      <c r="CR253"/>
      <c r="CZ253"/>
      <c r="DH253"/>
      <c r="DP253"/>
      <c r="DX253"/>
      <c r="EF253"/>
      <c r="EN253"/>
      <c r="EV253"/>
      <c r="FD253"/>
      <c r="FL253"/>
      <c r="FT253"/>
      <c r="GB253"/>
      <c r="GJ253"/>
      <c r="GR253"/>
      <c r="GZ253"/>
    </row>
    <row r="254" spans="8:208" ht="14.4" x14ac:dyDescent="0.3">
      <c r="H254"/>
      <c r="P254"/>
      <c r="X254"/>
      <c r="AF254"/>
      <c r="AN254"/>
      <c r="AV254"/>
      <c r="BD254"/>
      <c r="BL254"/>
      <c r="BT254"/>
      <c r="CB254"/>
      <c r="CJ254"/>
      <c r="CR254"/>
      <c r="CZ254"/>
      <c r="DH254"/>
      <c r="DP254"/>
      <c r="DX254"/>
      <c r="EF254"/>
      <c r="EN254"/>
      <c r="EV254"/>
      <c r="FD254"/>
      <c r="FL254"/>
      <c r="FT254"/>
      <c r="GB254"/>
      <c r="GJ254"/>
      <c r="GR254"/>
      <c r="GZ254"/>
    </row>
    <row r="255" spans="8:208" ht="14.4" x14ac:dyDescent="0.3">
      <c r="H255"/>
      <c r="P255"/>
      <c r="X255"/>
      <c r="AF255"/>
      <c r="AN255"/>
      <c r="AV255"/>
      <c r="BD255"/>
      <c r="BL255"/>
      <c r="BT255"/>
      <c r="CB255"/>
      <c r="CJ255"/>
      <c r="CR255"/>
      <c r="CZ255"/>
      <c r="DH255"/>
      <c r="DP255"/>
      <c r="DX255"/>
      <c r="EF255"/>
      <c r="EN255"/>
      <c r="EV255"/>
      <c r="FD255"/>
      <c r="FL255"/>
      <c r="FT255"/>
      <c r="GB255"/>
      <c r="GJ255"/>
      <c r="GR255"/>
      <c r="GZ255"/>
    </row>
    <row r="256" spans="8:208" ht="14.4" x14ac:dyDescent="0.3">
      <c r="H256"/>
      <c r="P256"/>
      <c r="X256"/>
      <c r="AF256"/>
      <c r="AN256"/>
      <c r="AV256"/>
      <c r="BD256"/>
      <c r="BL256"/>
      <c r="BT256"/>
      <c r="CB256"/>
      <c r="CJ256"/>
      <c r="CR256"/>
      <c r="CZ256"/>
      <c r="DH256"/>
      <c r="DP256"/>
      <c r="DX256"/>
      <c r="EF256"/>
      <c r="EN256"/>
      <c r="EV256"/>
      <c r="FD256"/>
      <c r="FL256"/>
      <c r="FT256"/>
      <c r="GB256"/>
      <c r="GJ256"/>
      <c r="GR256"/>
      <c r="GZ256"/>
    </row>
    <row r="257" spans="16:16" ht="14.4" x14ac:dyDescent="0.3">
      <c r="P257"/>
    </row>
    <row r="258" spans="16:16" ht="14.4" x14ac:dyDescent="0.3">
      <c r="P258"/>
    </row>
  </sheetData>
  <dataValidations count="3">
    <dataValidation type="list" allowBlank="1" showInputMessage="1" showErrorMessage="1" sqref="DG8:DG13 DG5:DG6 GQ6:GQ38 GY4 GQ4 GI4 GA4 FS4 FK4 FC4 EU4:EU5 EM4 EE4 DW4 DO4 GY6:GY8 GI6:GI38 GA6:GA14 FS6:FS34 FK6:FK18 FC6:FC46 EU7:EU24 EM6:EM8 EE6:EE30 DW6:DW49 DO6:DO27 CY7:CY12 CY5">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10:Z12 Z4:Z9"/>
  </dataValidation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topLeftCell="B1" workbookViewId="0">
      <selection activeCell="E26" sqref="E26"/>
    </sheetView>
  </sheetViews>
  <sheetFormatPr defaultRowHeight="14.4" x14ac:dyDescent="0.3"/>
  <cols>
    <col min="2" max="2" width="14.5546875" customWidth="1"/>
    <col min="3" max="3" width="98" customWidth="1"/>
  </cols>
  <sheetData>
    <row r="1" spans="3:3" s="108" customFormat="1" ht="15" thickBot="1" x14ac:dyDescent="0.35"/>
    <row r="2" spans="3:3" s="108" customFormat="1" ht="18" thickBot="1" x14ac:dyDescent="0.4">
      <c r="C2" s="218" t="s">
        <v>1007</v>
      </c>
    </row>
    <row r="3" spans="3:3" s="108" customFormat="1" x14ac:dyDescent="0.3">
      <c r="C3" s="108" t="s">
        <v>1010</v>
      </c>
    </row>
    <row r="4" spans="3:3" s="108" customFormat="1" x14ac:dyDescent="0.3">
      <c r="C4" s="108" t="s">
        <v>1008</v>
      </c>
    </row>
    <row r="5" spans="3:3" s="108" customFormat="1" x14ac:dyDescent="0.3">
      <c r="C5" s="108" t="s">
        <v>1009</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1006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topLeftCell="A121" workbookViewId="0">
      <selection activeCell="C137" sqref="C137"/>
    </sheetView>
  </sheetViews>
  <sheetFormatPr defaultRowHeight="14.4" x14ac:dyDescent="0.3"/>
  <cols>
    <col min="2" max="2" width="38.6640625" customWidth="1"/>
    <col min="3" max="3" width="34.109375" customWidth="1"/>
    <col min="10" max="10" width="27.109375" customWidth="1"/>
  </cols>
  <sheetData>
    <row r="2" spans="1:10" x14ac:dyDescent="0.3">
      <c r="A2" t="s">
        <v>492</v>
      </c>
      <c r="J2" t="s">
        <v>492</v>
      </c>
    </row>
    <row r="3" spans="1:10" x14ac:dyDescent="0.3">
      <c r="B3" t="s">
        <v>1321</v>
      </c>
      <c r="C3" t="s">
        <v>1304</v>
      </c>
      <c r="J3" t="s">
        <v>473</v>
      </c>
    </row>
    <row r="4" spans="1:10" x14ac:dyDescent="0.3">
      <c r="B4" t="s">
        <v>1322</v>
      </c>
      <c r="C4" t="s">
        <v>840</v>
      </c>
      <c r="D4" s="108"/>
      <c r="J4" t="s">
        <v>279</v>
      </c>
    </row>
    <row r="5" spans="1:10" x14ac:dyDescent="0.3">
      <c r="B5" t="s">
        <v>1323</v>
      </c>
      <c r="C5" t="s">
        <v>850</v>
      </c>
      <c r="D5" s="108"/>
      <c r="J5" t="s">
        <v>166</v>
      </c>
    </row>
    <row r="6" spans="1:10" x14ac:dyDescent="0.3">
      <c r="B6" t="s">
        <v>1324</v>
      </c>
      <c r="C6" t="s">
        <v>1070</v>
      </c>
      <c r="D6" s="108"/>
      <c r="J6" t="s">
        <v>378</v>
      </c>
    </row>
    <row r="7" spans="1:10" x14ac:dyDescent="0.3">
      <c r="B7" t="s">
        <v>1325</v>
      </c>
      <c r="C7" t="s">
        <v>1070</v>
      </c>
      <c r="D7" s="108"/>
      <c r="J7" t="s">
        <v>77</v>
      </c>
    </row>
    <row r="8" spans="1:10" x14ac:dyDescent="0.3">
      <c r="B8" t="s">
        <v>1326</v>
      </c>
      <c r="C8" t="s">
        <v>1071</v>
      </c>
      <c r="D8" s="108"/>
      <c r="J8" t="s">
        <v>128</v>
      </c>
    </row>
    <row r="9" spans="1:10" x14ac:dyDescent="0.3">
      <c r="B9" t="s">
        <v>1327</v>
      </c>
      <c r="C9" t="s">
        <v>864</v>
      </c>
      <c r="D9" s="108"/>
      <c r="J9" t="s">
        <v>485</v>
      </c>
    </row>
    <row r="10" spans="1:10" x14ac:dyDescent="0.3">
      <c r="B10" s="108" t="s">
        <v>1451</v>
      </c>
      <c r="C10" s="108" t="s">
        <v>850</v>
      </c>
      <c r="J10" t="s">
        <v>484</v>
      </c>
    </row>
    <row r="11" spans="1:10" s="108" customFormat="1" x14ac:dyDescent="0.3"/>
    <row r="12" spans="1:10" x14ac:dyDescent="0.3">
      <c r="A12" t="s">
        <v>473</v>
      </c>
      <c r="J12" t="s">
        <v>342</v>
      </c>
    </row>
    <row r="13" spans="1:10" x14ac:dyDescent="0.3">
      <c r="B13" t="s">
        <v>1328</v>
      </c>
      <c r="C13" t="s">
        <v>1078</v>
      </c>
      <c r="J13" t="s">
        <v>76</v>
      </c>
    </row>
    <row r="14" spans="1:10" x14ac:dyDescent="0.3">
      <c r="B14" t="s">
        <v>1329</v>
      </c>
      <c r="C14" t="s">
        <v>1079</v>
      </c>
      <c r="J14" t="s">
        <v>395</v>
      </c>
    </row>
    <row r="15" spans="1:10" x14ac:dyDescent="0.3">
      <c r="J15" t="s">
        <v>36</v>
      </c>
    </row>
    <row r="16" spans="1:10" x14ac:dyDescent="0.3">
      <c r="A16" t="s">
        <v>279</v>
      </c>
      <c r="J16" t="s">
        <v>120</v>
      </c>
    </row>
    <row r="17" spans="2:10" x14ac:dyDescent="0.3">
      <c r="B17" t="s">
        <v>1330</v>
      </c>
      <c r="C17" t="s">
        <v>1103</v>
      </c>
      <c r="J17" t="s">
        <v>126</v>
      </c>
    </row>
    <row r="18" spans="2:10" x14ac:dyDescent="0.3">
      <c r="B18" t="s">
        <v>1331</v>
      </c>
      <c r="C18" t="s">
        <v>1114</v>
      </c>
      <c r="J18" t="s">
        <v>139</v>
      </c>
    </row>
    <row r="19" spans="2:10" x14ac:dyDescent="0.3">
      <c r="B19" t="s">
        <v>1332</v>
      </c>
      <c r="C19" t="s">
        <v>1118</v>
      </c>
      <c r="J19" t="s">
        <v>384</v>
      </c>
    </row>
    <row r="20" spans="2:10" x14ac:dyDescent="0.3">
      <c r="B20" t="s">
        <v>1333</v>
      </c>
      <c r="C20" t="s">
        <v>1115</v>
      </c>
      <c r="J20" t="s">
        <v>798</v>
      </c>
    </row>
    <row r="21" spans="2:10" x14ac:dyDescent="0.3">
      <c r="B21" t="s">
        <v>1334</v>
      </c>
      <c r="C21" t="s">
        <v>1100</v>
      </c>
      <c r="J21" t="s">
        <v>148</v>
      </c>
    </row>
    <row r="22" spans="2:10" x14ac:dyDescent="0.3">
      <c r="B22" t="s">
        <v>1335</v>
      </c>
      <c r="C22" t="s">
        <v>1100</v>
      </c>
      <c r="J22" t="s">
        <v>125</v>
      </c>
    </row>
    <row r="23" spans="2:10" x14ac:dyDescent="0.3">
      <c r="B23" t="s">
        <v>1336</v>
      </c>
      <c r="C23" t="s">
        <v>1123</v>
      </c>
      <c r="J23" t="s">
        <v>70</v>
      </c>
    </row>
    <row r="24" spans="2:10" x14ac:dyDescent="0.3">
      <c r="B24" t="s">
        <v>1337</v>
      </c>
      <c r="C24" t="s">
        <v>1117</v>
      </c>
      <c r="J24" t="s">
        <v>129</v>
      </c>
    </row>
    <row r="25" spans="2:10" x14ac:dyDescent="0.3">
      <c r="B25" t="s">
        <v>1338</v>
      </c>
      <c r="C25" t="s">
        <v>1119</v>
      </c>
      <c r="J25" t="s">
        <v>338</v>
      </c>
    </row>
    <row r="26" spans="2:10" x14ac:dyDescent="0.3">
      <c r="B26" t="s">
        <v>1329</v>
      </c>
      <c r="C26" t="s">
        <v>1079</v>
      </c>
      <c r="J26" t="s">
        <v>509</v>
      </c>
    </row>
    <row r="27" spans="2:10" x14ac:dyDescent="0.3">
      <c r="B27" t="s">
        <v>1339</v>
      </c>
      <c r="C27" t="s">
        <v>1101</v>
      </c>
    </row>
    <row r="28" spans="2:10" x14ac:dyDescent="0.3">
      <c r="B28" t="s">
        <v>1340</v>
      </c>
      <c r="C28" t="s">
        <v>1117</v>
      </c>
    </row>
    <row r="29" spans="2:10" x14ac:dyDescent="0.3">
      <c r="B29" t="s">
        <v>1341</v>
      </c>
      <c r="C29" t="s">
        <v>1086</v>
      </c>
    </row>
    <row r="30" spans="2:10" x14ac:dyDescent="0.3">
      <c r="B30" t="s">
        <v>1342</v>
      </c>
      <c r="C30" t="s">
        <v>1087</v>
      </c>
    </row>
    <row r="31" spans="2:10" x14ac:dyDescent="0.3">
      <c r="B31" t="s">
        <v>1343</v>
      </c>
      <c r="C31" t="s">
        <v>1307</v>
      </c>
    </row>
    <row r="32" spans="2:10" x14ac:dyDescent="0.3">
      <c r="B32" t="s">
        <v>1344</v>
      </c>
      <c r="C32" t="s">
        <v>1093</v>
      </c>
    </row>
    <row r="33" spans="2:3" x14ac:dyDescent="0.3">
      <c r="B33" t="s">
        <v>1345</v>
      </c>
      <c r="C33" t="s">
        <v>1094</v>
      </c>
    </row>
    <row r="34" spans="2:3" x14ac:dyDescent="0.3">
      <c r="B34" t="s">
        <v>1346</v>
      </c>
      <c r="C34" t="s">
        <v>1116</v>
      </c>
    </row>
    <row r="35" spans="2:3" x14ac:dyDescent="0.3">
      <c r="B35" t="s">
        <v>1347</v>
      </c>
      <c r="C35" t="s">
        <v>1117</v>
      </c>
    </row>
    <row r="36" spans="2:3" x14ac:dyDescent="0.3">
      <c r="B36" t="s">
        <v>1348</v>
      </c>
      <c r="C36" t="s">
        <v>1121</v>
      </c>
    </row>
    <row r="37" spans="2:3" x14ac:dyDescent="0.3">
      <c r="B37" t="s">
        <v>1349</v>
      </c>
      <c r="C37" t="s">
        <v>1120</v>
      </c>
    </row>
    <row r="38" spans="2:3" x14ac:dyDescent="0.3">
      <c r="B38" t="s">
        <v>1350</v>
      </c>
      <c r="C38" t="s">
        <v>1109</v>
      </c>
    </row>
    <row r="39" spans="2:3" x14ac:dyDescent="0.3">
      <c r="B39" t="s">
        <v>1351</v>
      </c>
      <c r="C39" t="s">
        <v>1308</v>
      </c>
    </row>
    <row r="40" spans="2:3" x14ac:dyDescent="0.3">
      <c r="B40" t="s">
        <v>1352</v>
      </c>
      <c r="C40" t="s">
        <v>1309</v>
      </c>
    </row>
    <row r="41" spans="2:3" x14ac:dyDescent="0.3">
      <c r="B41" t="s">
        <v>1353</v>
      </c>
      <c r="C41" t="s">
        <v>1098</v>
      </c>
    </row>
    <row r="42" spans="2:3" x14ac:dyDescent="0.3">
      <c r="B42" t="s">
        <v>1354</v>
      </c>
      <c r="C42" t="s">
        <v>1102</v>
      </c>
    </row>
    <row r="43" spans="2:3" x14ac:dyDescent="0.3">
      <c r="B43" t="s">
        <v>1355</v>
      </c>
      <c r="C43" t="s">
        <v>1310</v>
      </c>
    </row>
    <row r="44" spans="2:3" x14ac:dyDescent="0.3">
      <c r="B44" t="s">
        <v>1356</v>
      </c>
      <c r="C44" t="s">
        <v>981</v>
      </c>
    </row>
    <row r="45" spans="2:3" x14ac:dyDescent="0.3">
      <c r="B45" t="s">
        <v>1357</v>
      </c>
      <c r="C45" t="s">
        <v>1105</v>
      </c>
    </row>
    <row r="46" spans="2:3" x14ac:dyDescent="0.3">
      <c r="B46" t="s">
        <v>1358</v>
      </c>
      <c r="C46" t="s">
        <v>1108</v>
      </c>
    </row>
    <row r="47" spans="2:3" x14ac:dyDescent="0.3">
      <c r="B47" t="s">
        <v>1359</v>
      </c>
      <c r="C47" t="s">
        <v>1113</v>
      </c>
    </row>
    <row r="49" spans="1:3" x14ac:dyDescent="0.3">
      <c r="A49" t="s">
        <v>166</v>
      </c>
    </row>
    <row r="50" spans="1:3" x14ac:dyDescent="0.3">
      <c r="B50" t="s">
        <v>1360</v>
      </c>
      <c r="C50" t="s">
        <v>949</v>
      </c>
    </row>
    <row r="52" spans="1:3" x14ac:dyDescent="0.3">
      <c r="A52" t="s">
        <v>378</v>
      </c>
    </row>
    <row r="53" spans="1:3" x14ac:dyDescent="0.3">
      <c r="B53" t="s">
        <v>1361</v>
      </c>
      <c r="C53" t="s">
        <v>1362</v>
      </c>
    </row>
    <row r="54" spans="1:3" x14ac:dyDescent="0.3">
      <c r="B54" t="s">
        <v>1363</v>
      </c>
      <c r="C54" t="s">
        <v>1364</v>
      </c>
    </row>
    <row r="55" spans="1:3" x14ac:dyDescent="0.3">
      <c r="B55" t="s">
        <v>1365</v>
      </c>
      <c r="C55" t="s">
        <v>1366</v>
      </c>
    </row>
    <row r="56" spans="1:3" x14ac:dyDescent="0.3">
      <c r="B56" t="s">
        <v>1367</v>
      </c>
      <c r="C56" t="s">
        <v>1368</v>
      </c>
    </row>
    <row r="57" spans="1:3" x14ac:dyDescent="0.3">
      <c r="B57" t="s">
        <v>1369</v>
      </c>
      <c r="C57" t="s">
        <v>1370</v>
      </c>
    </row>
    <row r="59" spans="1:3" x14ac:dyDescent="0.3">
      <c r="A59" t="s">
        <v>77</v>
      </c>
    </row>
    <row r="60" spans="1:3" x14ac:dyDescent="0.3">
      <c r="B60" t="s">
        <v>833</v>
      </c>
      <c r="C60" t="s">
        <v>1371</v>
      </c>
    </row>
    <row r="61" spans="1:3" x14ac:dyDescent="0.3">
      <c r="B61" t="s">
        <v>829</v>
      </c>
      <c r="C61" t="s">
        <v>1372</v>
      </c>
    </row>
    <row r="62" spans="1:3" x14ac:dyDescent="0.3">
      <c r="B62" t="s">
        <v>1373</v>
      </c>
      <c r="C62" t="s">
        <v>1374</v>
      </c>
    </row>
    <row r="63" spans="1:3" x14ac:dyDescent="0.3">
      <c r="B63" t="s">
        <v>1375</v>
      </c>
    </row>
    <row r="65" spans="1:3" x14ac:dyDescent="0.3">
      <c r="A65" t="s">
        <v>128</v>
      </c>
    </row>
    <row r="66" spans="1:3" x14ac:dyDescent="0.3">
      <c r="B66" t="s">
        <v>1376</v>
      </c>
      <c r="C66" t="s">
        <v>829</v>
      </c>
    </row>
    <row r="67" spans="1:3" x14ac:dyDescent="0.3">
      <c r="B67" t="s">
        <v>1377</v>
      </c>
      <c r="C67" t="s">
        <v>1182</v>
      </c>
    </row>
    <row r="68" spans="1:3" x14ac:dyDescent="0.3">
      <c r="B68" t="s">
        <v>1378</v>
      </c>
      <c r="C68" t="s">
        <v>828</v>
      </c>
    </row>
    <row r="69" spans="1:3" x14ac:dyDescent="0.3">
      <c r="B69" t="s">
        <v>1379</v>
      </c>
      <c r="C69" t="s">
        <v>976</v>
      </c>
    </row>
    <row r="70" spans="1:3" x14ac:dyDescent="0.3">
      <c r="B70" t="s">
        <v>1380</v>
      </c>
      <c r="C70" t="s">
        <v>1311</v>
      </c>
    </row>
    <row r="71" spans="1:3" x14ac:dyDescent="0.3">
      <c r="B71" t="s">
        <v>1381</v>
      </c>
      <c r="C71" t="s">
        <v>1312</v>
      </c>
    </row>
    <row r="72" spans="1:3" x14ac:dyDescent="0.3">
      <c r="B72" t="s">
        <v>1382</v>
      </c>
      <c r="C72" t="s">
        <v>1005</v>
      </c>
    </row>
    <row r="74" spans="1:3" x14ac:dyDescent="0.3">
      <c r="A74" t="s">
        <v>485</v>
      </c>
    </row>
    <row r="75" spans="1:3" x14ac:dyDescent="0.3">
      <c r="B75" t="s">
        <v>1383</v>
      </c>
      <c r="C75" t="s">
        <v>140</v>
      </c>
    </row>
    <row r="77" spans="1:3" x14ac:dyDescent="0.3">
      <c r="A77" t="s">
        <v>484</v>
      </c>
    </row>
    <row r="78" spans="1:3" x14ac:dyDescent="0.3">
      <c r="B78" t="s">
        <v>1383</v>
      </c>
      <c r="C78" t="s">
        <v>140</v>
      </c>
    </row>
    <row r="80" spans="1:3" x14ac:dyDescent="0.3">
      <c r="A80" t="s">
        <v>342</v>
      </c>
    </row>
    <row r="81" spans="1:3" x14ac:dyDescent="0.3">
      <c r="B81" t="s">
        <v>1384</v>
      </c>
      <c r="C81" t="s">
        <v>1194</v>
      </c>
    </row>
    <row r="83" spans="1:3" x14ac:dyDescent="0.3">
      <c r="A83" t="s">
        <v>76</v>
      </c>
    </row>
    <row r="84" spans="1:3" x14ac:dyDescent="0.3">
      <c r="B84" t="s">
        <v>1385</v>
      </c>
      <c r="C84" t="s">
        <v>1197</v>
      </c>
    </row>
    <row r="85" spans="1:3" x14ac:dyDescent="0.3">
      <c r="B85" t="s">
        <v>1386</v>
      </c>
      <c r="C85" t="s">
        <v>1199</v>
      </c>
    </row>
    <row r="86" spans="1:3" x14ac:dyDescent="0.3">
      <c r="B86" t="s">
        <v>1387</v>
      </c>
      <c r="C86" t="s">
        <v>1197</v>
      </c>
    </row>
    <row r="87" spans="1:3" x14ac:dyDescent="0.3">
      <c r="B87" t="s">
        <v>1388</v>
      </c>
      <c r="C87" t="s">
        <v>102</v>
      </c>
    </row>
    <row r="88" spans="1:3" x14ac:dyDescent="0.3">
      <c r="B88" t="s">
        <v>1389</v>
      </c>
      <c r="C88" t="s">
        <v>1196</v>
      </c>
    </row>
    <row r="90" spans="1:3" x14ac:dyDescent="0.3">
      <c r="A90" t="s">
        <v>395</v>
      </c>
    </row>
    <row r="91" spans="1:3" x14ac:dyDescent="0.3">
      <c r="B91" t="s">
        <v>1390</v>
      </c>
      <c r="C91" t="s">
        <v>1202</v>
      </c>
    </row>
    <row r="92" spans="1:3" x14ac:dyDescent="0.3">
      <c r="B92" t="s">
        <v>1391</v>
      </c>
      <c r="C92" t="s">
        <v>1207</v>
      </c>
    </row>
    <row r="93" spans="1:3" x14ac:dyDescent="0.3">
      <c r="B93" t="s">
        <v>1392</v>
      </c>
      <c r="C93" t="s">
        <v>1203</v>
      </c>
    </row>
    <row r="94" spans="1:3" x14ac:dyDescent="0.3">
      <c r="B94" t="s">
        <v>1393</v>
      </c>
      <c r="C94" t="s">
        <v>1202</v>
      </c>
    </row>
    <row r="95" spans="1:3" x14ac:dyDescent="0.3">
      <c r="B95" t="s">
        <v>1395</v>
      </c>
      <c r="C95" t="s">
        <v>1208</v>
      </c>
    </row>
    <row r="96" spans="1:3" x14ac:dyDescent="0.3">
      <c r="B96" t="s">
        <v>1396</v>
      </c>
      <c r="C96" t="s">
        <v>143</v>
      </c>
    </row>
    <row r="97" spans="1:3" x14ac:dyDescent="0.3">
      <c r="B97" t="s">
        <v>1228</v>
      </c>
      <c r="C97" t="s">
        <v>1202</v>
      </c>
    </row>
    <row r="99" spans="1:3" x14ac:dyDescent="0.3">
      <c r="A99" t="s">
        <v>36</v>
      </c>
    </row>
    <row r="100" spans="1:3" x14ac:dyDescent="0.3">
      <c r="B100" t="s">
        <v>1383</v>
      </c>
      <c r="C100" t="s">
        <v>140</v>
      </c>
    </row>
    <row r="102" spans="1:3" x14ac:dyDescent="0.3">
      <c r="A102" t="s">
        <v>120</v>
      </c>
    </row>
    <row r="103" spans="1:3" x14ac:dyDescent="0.3">
      <c r="B103" t="s">
        <v>1397</v>
      </c>
      <c r="C103" t="s">
        <v>1210</v>
      </c>
    </row>
    <row r="104" spans="1:3" x14ac:dyDescent="0.3">
      <c r="B104" t="s">
        <v>1398</v>
      </c>
      <c r="C104" t="s">
        <v>1209</v>
      </c>
    </row>
    <row r="106" spans="1:3" x14ac:dyDescent="0.3">
      <c r="A106" t="s">
        <v>126</v>
      </c>
    </row>
    <row r="107" spans="1:3" x14ac:dyDescent="0.3">
      <c r="B107" t="s">
        <v>1399</v>
      </c>
      <c r="C107" t="s">
        <v>1313</v>
      </c>
    </row>
    <row r="108" spans="1:3" x14ac:dyDescent="0.3">
      <c r="B108" t="s">
        <v>1400</v>
      </c>
      <c r="C108" t="s">
        <v>1314</v>
      </c>
    </row>
    <row r="109" spans="1:3" x14ac:dyDescent="0.3">
      <c r="B109" t="s">
        <v>1401</v>
      </c>
      <c r="C109" t="s">
        <v>1315</v>
      </c>
    </row>
    <row r="110" spans="1:3" x14ac:dyDescent="0.3">
      <c r="B110" t="s">
        <v>1402</v>
      </c>
      <c r="C110" t="s">
        <v>1314</v>
      </c>
    </row>
    <row r="111" spans="1:3" s="108" customFormat="1" x14ac:dyDescent="0.3">
      <c r="B111" s="108" t="s">
        <v>1446</v>
      </c>
      <c r="C111" s="108" t="s">
        <v>1313</v>
      </c>
    </row>
    <row r="112" spans="1:3" s="108" customFormat="1" x14ac:dyDescent="0.3">
      <c r="B112" s="108" t="s">
        <v>1447</v>
      </c>
      <c r="C112" s="108" t="s">
        <v>1315</v>
      </c>
    </row>
    <row r="113" spans="1:3" s="108" customFormat="1" x14ac:dyDescent="0.3">
      <c r="B113" s="108" t="s">
        <v>1448</v>
      </c>
      <c r="C113" s="108" t="s">
        <v>1314</v>
      </c>
    </row>
    <row r="115" spans="1:3" x14ac:dyDescent="0.3">
      <c r="A115" t="s">
        <v>139</v>
      </c>
    </row>
    <row r="116" spans="1:3" x14ac:dyDescent="0.3">
      <c r="B116" t="s">
        <v>143</v>
      </c>
      <c r="C116" t="s">
        <v>141</v>
      </c>
    </row>
    <row r="118" spans="1:3" x14ac:dyDescent="0.3">
      <c r="A118" t="s">
        <v>384</v>
      </c>
    </row>
    <row r="119" spans="1:3" x14ac:dyDescent="0.3">
      <c r="B119" t="s">
        <v>1403</v>
      </c>
      <c r="C119" t="s">
        <v>1229</v>
      </c>
    </row>
    <row r="120" spans="1:3" x14ac:dyDescent="0.3">
      <c r="B120" t="s">
        <v>1404</v>
      </c>
      <c r="C120" t="s">
        <v>1230</v>
      </c>
    </row>
    <row r="121" spans="1:3" x14ac:dyDescent="0.3">
      <c r="B121" t="s">
        <v>1405</v>
      </c>
      <c r="C121" t="s">
        <v>501</v>
      </c>
    </row>
    <row r="122" spans="1:3" x14ac:dyDescent="0.3">
      <c r="B122" t="s">
        <v>1406</v>
      </c>
      <c r="C122" t="s">
        <v>1230</v>
      </c>
    </row>
    <row r="123" spans="1:3" x14ac:dyDescent="0.3">
      <c r="B123" t="s">
        <v>1407</v>
      </c>
      <c r="C123" t="s">
        <v>1229</v>
      </c>
    </row>
    <row r="124" spans="1:3" x14ac:dyDescent="0.3">
      <c r="B124" t="s">
        <v>1408</v>
      </c>
      <c r="C124" t="s">
        <v>506</v>
      </c>
    </row>
    <row r="125" spans="1:3" x14ac:dyDescent="0.3">
      <c r="B125" t="s">
        <v>1409</v>
      </c>
      <c r="C125" t="s">
        <v>1299</v>
      </c>
    </row>
    <row r="126" spans="1:3" x14ac:dyDescent="0.3">
      <c r="B126" t="s">
        <v>1410</v>
      </c>
      <c r="C126" t="s">
        <v>1223</v>
      </c>
    </row>
    <row r="127" spans="1:3" x14ac:dyDescent="0.3">
      <c r="B127" t="s">
        <v>1411</v>
      </c>
      <c r="C127" t="s">
        <v>1218</v>
      </c>
    </row>
    <row r="128" spans="1:3" x14ac:dyDescent="0.3">
      <c r="B128" t="s">
        <v>1412</v>
      </c>
      <c r="C128" t="s">
        <v>1230</v>
      </c>
    </row>
    <row r="129" spans="1:3" x14ac:dyDescent="0.3">
      <c r="B129" t="s">
        <v>1413</v>
      </c>
      <c r="C129" t="s">
        <v>1230</v>
      </c>
    </row>
    <row r="130" spans="1:3" x14ac:dyDescent="0.3">
      <c r="B130" t="s">
        <v>1414</v>
      </c>
      <c r="C130" t="s">
        <v>1219</v>
      </c>
    </row>
    <row r="131" spans="1:3" x14ac:dyDescent="0.3">
      <c r="B131" t="s">
        <v>1415</v>
      </c>
      <c r="C131" t="s">
        <v>1229</v>
      </c>
    </row>
    <row r="132" spans="1:3" x14ac:dyDescent="0.3">
      <c r="B132" t="s">
        <v>1416</v>
      </c>
      <c r="C132" t="s">
        <v>1299</v>
      </c>
    </row>
    <row r="134" spans="1:3" s="108" customFormat="1" x14ac:dyDescent="0.3">
      <c r="A134" s="108" t="s">
        <v>184</v>
      </c>
    </row>
    <row r="135" spans="1:3" s="108" customFormat="1" x14ac:dyDescent="0.3">
      <c r="B135" s="108" t="s">
        <v>1452</v>
      </c>
      <c r="C135" s="108" t="s">
        <v>1303</v>
      </c>
    </row>
    <row r="136" spans="1:3" s="108" customFormat="1" x14ac:dyDescent="0.3"/>
    <row r="137" spans="1:3" x14ac:dyDescent="0.3">
      <c r="A137" t="s">
        <v>798</v>
      </c>
    </row>
    <row r="138" spans="1:3" x14ac:dyDescent="0.3">
      <c r="B138" t="s">
        <v>1383</v>
      </c>
      <c r="C138" t="s">
        <v>140</v>
      </c>
    </row>
    <row r="140" spans="1:3" x14ac:dyDescent="0.3">
      <c r="A140" t="s">
        <v>148</v>
      </c>
    </row>
    <row r="141" spans="1:3" x14ac:dyDescent="0.3">
      <c r="B141" t="s">
        <v>1417</v>
      </c>
      <c r="C141" t="s">
        <v>901</v>
      </c>
    </row>
    <row r="143" spans="1:3" x14ac:dyDescent="0.3">
      <c r="A143" t="s">
        <v>125</v>
      </c>
    </row>
    <row r="144" spans="1:3" x14ac:dyDescent="0.3">
      <c r="B144" t="s">
        <v>1418</v>
      </c>
      <c r="C144" t="s">
        <v>1245</v>
      </c>
    </row>
    <row r="145" spans="2:3" x14ac:dyDescent="0.3">
      <c r="B145" t="s">
        <v>1419</v>
      </c>
      <c r="C145" t="s">
        <v>1246</v>
      </c>
    </row>
    <row r="146" spans="2:3" x14ac:dyDescent="0.3">
      <c r="B146" t="s">
        <v>1420</v>
      </c>
      <c r="C146" t="s">
        <v>1261</v>
      </c>
    </row>
    <row r="147" spans="2:3" x14ac:dyDescent="0.3">
      <c r="B147" t="s">
        <v>1421</v>
      </c>
      <c r="C147" t="s">
        <v>1273</v>
      </c>
    </row>
    <row r="148" spans="2:3" x14ac:dyDescent="0.3">
      <c r="B148" t="s">
        <v>1422</v>
      </c>
      <c r="C148" t="s">
        <v>1263</v>
      </c>
    </row>
    <row r="149" spans="2:3" x14ac:dyDescent="0.3">
      <c r="B149" t="s">
        <v>1423</v>
      </c>
      <c r="C149" t="s">
        <v>1249</v>
      </c>
    </row>
    <row r="150" spans="2:3" x14ac:dyDescent="0.3">
      <c r="B150" t="s">
        <v>1424</v>
      </c>
      <c r="C150" t="s">
        <v>1256</v>
      </c>
    </row>
    <row r="151" spans="2:3" x14ac:dyDescent="0.3">
      <c r="B151" t="s">
        <v>1425</v>
      </c>
      <c r="C151" t="s">
        <v>1269</v>
      </c>
    </row>
    <row r="152" spans="2:3" x14ac:dyDescent="0.3">
      <c r="B152" t="s">
        <v>1426</v>
      </c>
      <c r="C152" t="s">
        <v>1269</v>
      </c>
    </row>
    <row r="153" spans="2:3" x14ac:dyDescent="0.3">
      <c r="B153" t="s">
        <v>1427</v>
      </c>
      <c r="C153" t="s">
        <v>1269</v>
      </c>
    </row>
    <row r="154" spans="2:3" x14ac:dyDescent="0.3">
      <c r="B154" t="s">
        <v>1428</v>
      </c>
      <c r="C154" t="s">
        <v>1259</v>
      </c>
    </row>
    <row r="155" spans="2:3" x14ac:dyDescent="0.3">
      <c r="B155" t="s">
        <v>1429</v>
      </c>
      <c r="C155" t="s">
        <v>1253</v>
      </c>
    </row>
    <row r="156" spans="2:3" x14ac:dyDescent="0.3">
      <c r="B156" t="s">
        <v>1430</v>
      </c>
      <c r="C156" t="s">
        <v>1275</v>
      </c>
    </row>
    <row r="157" spans="2:3" x14ac:dyDescent="0.3">
      <c r="B157" t="s">
        <v>1431</v>
      </c>
      <c r="C157" t="s">
        <v>1248</v>
      </c>
    </row>
    <row r="158" spans="2:3" x14ac:dyDescent="0.3">
      <c r="B158" t="s">
        <v>1432</v>
      </c>
      <c r="C158" t="s">
        <v>1266</v>
      </c>
    </row>
    <row r="159" spans="2:3" x14ac:dyDescent="0.3">
      <c r="B159" t="s">
        <v>1433</v>
      </c>
      <c r="C159" t="s">
        <v>1260</v>
      </c>
    </row>
    <row r="160" spans="2:3" x14ac:dyDescent="0.3">
      <c r="B160" t="s">
        <v>1434</v>
      </c>
      <c r="C160" t="s">
        <v>1263</v>
      </c>
    </row>
    <row r="161" spans="1:3" x14ac:dyDescent="0.3">
      <c r="B161" t="s">
        <v>1435</v>
      </c>
      <c r="C161" t="s">
        <v>1268</v>
      </c>
    </row>
    <row r="162" spans="1:3" x14ac:dyDescent="0.3">
      <c r="B162" t="s">
        <v>1436</v>
      </c>
      <c r="C162" t="s">
        <v>1269</v>
      </c>
    </row>
    <row r="164" spans="1:3" x14ac:dyDescent="0.3">
      <c r="A164" t="s">
        <v>70</v>
      </c>
    </row>
    <row r="165" spans="1:3" x14ac:dyDescent="0.3">
      <c r="B165" t="s">
        <v>1394</v>
      </c>
      <c r="C165" t="s">
        <v>142</v>
      </c>
    </row>
    <row r="167" spans="1:3" x14ac:dyDescent="0.3">
      <c r="A167" t="s">
        <v>129</v>
      </c>
    </row>
    <row r="168" spans="1:3" x14ac:dyDescent="0.3">
      <c r="B168" t="s">
        <v>1437</v>
      </c>
      <c r="C168" t="s">
        <v>801</v>
      </c>
    </row>
    <row r="170" spans="1:3" x14ac:dyDescent="0.3">
      <c r="A170" t="s">
        <v>338</v>
      </c>
    </row>
    <row r="171" spans="1:3" x14ac:dyDescent="0.3">
      <c r="B171" t="s">
        <v>1438</v>
      </c>
      <c r="C171" t="s">
        <v>1284</v>
      </c>
    </row>
    <row r="172" spans="1:3" x14ac:dyDescent="0.3">
      <c r="B172" t="s">
        <v>1439</v>
      </c>
      <c r="C172" t="s">
        <v>1286</v>
      </c>
    </row>
    <row r="173" spans="1:3" x14ac:dyDescent="0.3">
      <c r="B173" t="s">
        <v>1440</v>
      </c>
      <c r="C173" t="s">
        <v>1284</v>
      </c>
    </row>
    <row r="174" spans="1:3" x14ac:dyDescent="0.3">
      <c r="B174" t="s">
        <v>1441</v>
      </c>
      <c r="C174" t="s">
        <v>1286</v>
      </c>
    </row>
    <row r="175" spans="1:3" x14ac:dyDescent="0.3">
      <c r="B175" t="s">
        <v>1442</v>
      </c>
      <c r="C175" t="s">
        <v>1287</v>
      </c>
    </row>
    <row r="176" spans="1:3" x14ac:dyDescent="0.3">
      <c r="B176" t="s">
        <v>1443</v>
      </c>
      <c r="C176" t="s">
        <v>344</v>
      </c>
    </row>
    <row r="177" spans="1:3" x14ac:dyDescent="0.3">
      <c r="B177" t="s">
        <v>1444</v>
      </c>
      <c r="C177" t="s">
        <v>1289</v>
      </c>
    </row>
    <row r="178" spans="1:3" s="108" customFormat="1" x14ac:dyDescent="0.3">
      <c r="B178" s="108" t="s">
        <v>1450</v>
      </c>
      <c r="C178" s="108" t="s">
        <v>1286</v>
      </c>
    </row>
    <row r="180" spans="1:3" x14ac:dyDescent="0.3">
      <c r="A180" t="s">
        <v>509</v>
      </c>
    </row>
    <row r="181" spans="1:3" x14ac:dyDescent="0.3">
      <c r="B181" t="s">
        <v>1445</v>
      </c>
      <c r="C181" t="s">
        <v>980</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52</vt:i4>
      </vt:variant>
      <vt:variant>
        <vt:lpstr>Named Ranges</vt:lpstr>
      </vt:variant>
      <vt:variant>
        <vt:i4>87</vt:i4>
      </vt:variant>
    </vt:vector>
  </HeadingPairs>
  <TitlesOfParts>
    <vt:vector size="139"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nCalcNutrientEfficiency</vt:lpstr>
      <vt:lpstr>nMgtPreAmend</vt:lpstr>
      <vt:lpstr>nMgtAmendments</vt:lpstr>
      <vt:lpstr>MgtPlanting</vt:lpstr>
      <vt:lpstr>MgtTillage</vt:lpstr>
      <vt:lpstr>MgtGrowthStages</vt:lpstr>
      <vt:lpstr>MgtResidue</vt:lpstr>
      <vt:lpstr>MgtGrazing</vt:lpstr>
      <vt:lpstr>aMgtAnimal</vt:lpstr>
      <vt:lpstr>MeasSoilPhys</vt:lpstr>
      <vt:lpstr>nMeasSoilChem</vt:lpstr>
      <vt:lpstr>MeasSoilBiol</vt:lpstr>
      <vt:lpstr>aMeasAgARSample</vt:lpstr>
      <vt:lpstr>aMeasARGenes</vt:lpstr>
      <vt:lpstr>bMeasSoilSOMpools</vt:lpstr>
      <vt:lpstr>bMeasSoilEnzymes</vt:lpstr>
      <vt:lpstr>bMeasSoilFAME</vt:lpstr>
      <vt:lpstr>bMeasSoilDNASeq</vt:lpstr>
      <vt:lpstr>bMeasSoilDNAqPCR</vt:lpstr>
      <vt:lpstr>MeasSoilCover</vt:lpstr>
      <vt:lpstr>nMeasPlantMonitoring</vt:lpstr>
      <vt:lpstr>nMeasYieldNutrientUptake</vt:lpstr>
      <vt:lpstr>nMeasBiomassMinAn</vt:lpstr>
      <vt:lpstr>nMeasCropForageQuality</vt:lpstr>
      <vt:lpstr>MeasGHGFlux</vt:lpstr>
      <vt:lpstr>nMeasNutrientCycling</vt:lpstr>
      <vt:lpstr>nMeasGasLeachingNutrientLoss</vt:lpstr>
      <vt:lpstr>nMeasWaterErosion</vt:lpstr>
      <vt:lpstr>nMeasWindErosion</vt:lpstr>
      <vt:lpstr>MeasBiomassCHO</vt:lpstr>
      <vt:lpstr>MeasBiomassEnergy</vt:lpstr>
      <vt:lpstr>nMeasGrazingPlants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CropMonitoring</vt:lpstr>
      <vt:lpstr>CropQuality</vt:lpstr>
      <vt:lpstr>DropDownHeaders</vt:lpstr>
      <vt:lpstr>Env_Biome</vt:lpstr>
      <vt:lpstr>Env_Feature</vt:lpstr>
      <vt:lpstr>Env_Material</vt:lpstr>
      <vt:lpstr>Exp_UnitID</vt:lpstr>
      <vt:lpstr>FAME</vt:lpstr>
      <vt:lpstr>Fertilizer_Amendment_Class</vt:lpstr>
      <vt:lpstr>FieldID</vt:lpstr>
      <vt:lpstr>ForwardPrimer</vt:lpstr>
      <vt:lpstr>Gene_Region</vt:lpstr>
      <vt:lpstr>Gene_Sequenced</vt:lpstr>
      <vt:lpstr>Grazing_Rate</vt:lpstr>
      <vt:lpstr>Growth_Stage</vt:lpstr>
      <vt:lpstr>Harvest_Fraction</vt:lpstr>
      <vt:lpstr>Harvested_Fraction</vt:lpstr>
      <vt:lpstr>HasRun</vt:lpstr>
      <vt:lpstr>Invalid_Data</vt:lpstr>
      <vt:lpstr>Irrigation_Type</vt:lpstr>
      <vt:lpstr>Landscape_Position</vt:lpstr>
      <vt:lpstr>Organism</vt:lpstr>
      <vt:lpstr>Pest_Placement</vt:lpstr>
      <vt:lpstr>Plant_Fraction</vt:lpstr>
      <vt:lpstr>Planting_Method</vt:lpstr>
      <vt:lpstr>Project_Name</vt:lpstr>
      <vt:lpstr>Project_Scenario</vt:lpstr>
      <vt:lpstr>Project_Type</vt:lpstr>
      <vt:lpstr>Reference_Type</vt:lpstr>
      <vt:lpstr>Research_Unit</vt:lpstr>
      <vt:lpstr>Residue_Removal</vt:lpstr>
      <vt:lpstr>ReversePrimer</vt:lpstr>
      <vt:lpstr>Sample_Type</vt:lpstr>
      <vt:lpstr>Sequencing_Method</vt:lpstr>
      <vt:lpstr>Sequencing_Platform</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Vad_MeasHarvestRemoval</vt:lpstr>
      <vt:lpstr>Vad_MeasPlantFraction</vt:lpstr>
      <vt:lpstr>Vad_MeasResidueMgnt</vt:lpstr>
      <vt:lpstr>Vad_MeasResidueMgt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lpstr>ZeroOne</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2017-05-24T16:50:24Z</dcterms:modified>
</cp:coreProperties>
</file>